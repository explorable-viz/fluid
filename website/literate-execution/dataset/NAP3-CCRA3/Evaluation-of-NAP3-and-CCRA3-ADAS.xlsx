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tables/table1.xml" ContentType="application/vnd.openxmlformats-officedocument.spreadsheetml.table+xml"/>
  <Override PartName="/xl/comments1.xml" ContentType="application/vnd.openxmlformats-officedocument.spreadsheetml.comments+xml"/>
  <Override PartName="/xl/comments2.xml" ContentType="application/vnd.openxmlformats-officedocument.spreadsheetml.comments+xml"/>
  <Override PartName="/xl/drawings/drawing2.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comments3.xml" ContentType="application/vnd.openxmlformats-officedocument.spreadsheetml.comments+xml"/>
  <Override PartName="/xl/comments4.xml" ContentType="application/vnd.openxmlformats-officedocument.spreadsheetml.comment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231"/>
  <workbookPr/>
  <mc:AlternateContent xmlns:mc="http://schemas.openxmlformats.org/markup-compatibility/2006">
    <mc:Choice Requires="x15">
      <x15ac:absPath xmlns:x15ac="http://schemas.microsoft.com/office/spreadsheetml/2010/11/ac" url="https://defra-my.sharepoint.com/personal/tom_dooks_theccc_org_uk/Documents/Desktop/"/>
    </mc:Choice>
  </mc:AlternateContent>
  <xr:revisionPtr revIDLastSave="1" documentId="8_{39E82ACA-D34E-4193-9219-9EA8429D1ACE}" xr6:coauthVersionLast="47" xr6:coauthVersionMax="47" xr10:uidLastSave="{8B033680-724E-4D6C-B814-2F79DE57FBCF}"/>
  <workbookProtection workbookAlgorithmName="SHA-512" workbookHashValue="MtChjZAf0FE2EtkoxvRcINW1eRD1gNG/tSu601qfN4KvzlKt2XY+bJyA9BnuC6wGFBPydbQmhRpQxDPdzVy2pQ==" workbookSaltValue="cirEmq0c3m7crpBCAE3sPw==" workbookSpinCount="100000" lockStructure="1"/>
  <bookViews>
    <workbookView xWindow="-120" yWindow="-120" windowWidth="29040" windowHeight="15840" firstSheet="2" activeTab="2" xr2:uid="{79761DA7-0211-4AC8-91ED-5D6CF98A988B}"/>
  </bookViews>
  <sheets>
    <sheet name="Contents" sheetId="25" state="hidden" r:id="rId1"/>
    <sheet name="Full scores" sheetId="24" state="hidden" r:id="rId2"/>
    <sheet name="Contents Page" sheetId="35" r:id="rId3"/>
    <sheet name="CCRA3 Risks" sheetId="26" r:id="rId4"/>
    <sheet name="CCRA3 Actions for NAP3" sheetId="27" r:id="rId5"/>
    <sheet name="Graphs" sheetId="29" r:id="rId6"/>
    <sheet name="PR23 Recommendations" sheetId="33" r:id="rId7"/>
    <sheet name="No. actions per risk" sheetId="31" r:id="rId8"/>
    <sheet name="Glossary" sheetId="34" r:id="rId9"/>
    <sheet name="Key" sheetId="28" r:id="rId10"/>
  </sheets>
  <definedNames>
    <definedName name="_xlnm._FilterDatabase" localSheetId="4" hidden="1">'CCRA3 Actions for NAP3'!$A$1:$AQ$252</definedName>
    <definedName name="_xlnm._FilterDatabase" localSheetId="3" hidden="1">'CCRA3 Risks'!$A$1:$AG$62</definedName>
    <definedName name="_xlnm._FilterDatabase" localSheetId="7" hidden="1">'No. actions per risk'!$A$1:$Q$62</definedName>
    <definedName name="_xlnm._FilterDatabase" localSheetId="6" hidden="1">'PR23 Recommendations'!$A$1:$I$95</definedName>
    <definedName name="Confidence">Key!$A$15:$A$17</definedName>
    <definedName name="EvalScore">Key!$A$22:$A$26</definedName>
    <definedName name="RiskRelevant">Key!$A$31:$A$33</definedName>
    <definedName name="Typology">Key!$A$6:$A$10</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27" i="29" l="1"/>
  <c r="R23" i="29"/>
  <c r="R22" i="29"/>
  <c r="R21" i="29"/>
  <c r="R20" i="29"/>
  <c r="R19" i="29"/>
  <c r="D40" i="29"/>
  <c r="D41" i="29"/>
  <c r="D42" i="29"/>
  <c r="D43" i="29"/>
  <c r="D39" i="29"/>
  <c r="D48" i="29"/>
  <c r="D49" i="29"/>
  <c r="D50" i="29"/>
  <c r="D51" i="29"/>
  <c r="D47" i="29"/>
  <c r="D56" i="29"/>
  <c r="D57" i="29"/>
  <c r="D58" i="29"/>
  <c r="D59" i="29"/>
  <c r="D55" i="29"/>
  <c r="D64" i="29"/>
  <c r="D65" i="29"/>
  <c r="D66" i="29"/>
  <c r="D67" i="29"/>
  <c r="D63" i="29"/>
  <c r="D71" i="29"/>
  <c r="D72" i="29"/>
  <c r="D75" i="29"/>
  <c r="D74" i="29"/>
  <c r="D73" i="29"/>
  <c r="Q20" i="29"/>
  <c r="Q21" i="29"/>
  <c r="Q22" i="29"/>
  <c r="Q23" i="29"/>
  <c r="Q19" i="29"/>
  <c r="C67" i="29"/>
  <c r="C64" i="29"/>
  <c r="C65" i="29"/>
  <c r="C66" i="29"/>
  <c r="C63" i="29"/>
  <c r="C147" i="29"/>
  <c r="D147" i="29"/>
  <c r="E147" i="29"/>
  <c r="F147" i="29"/>
  <c r="G147" i="29"/>
  <c r="C148" i="29"/>
  <c r="D148" i="29"/>
  <c r="E148" i="29"/>
  <c r="F148" i="29"/>
  <c r="G148" i="29"/>
  <c r="C149" i="29"/>
  <c r="D149" i="29"/>
  <c r="E149" i="29"/>
  <c r="F149" i="29"/>
  <c r="G149" i="29"/>
  <c r="C150" i="29"/>
  <c r="D150" i="29"/>
  <c r="E150" i="29"/>
  <c r="F150" i="29"/>
  <c r="G150" i="29"/>
  <c r="D146" i="29"/>
  <c r="E146" i="29"/>
  <c r="F146" i="29"/>
  <c r="G146" i="29"/>
  <c r="C146" i="29"/>
  <c r="C56" i="29"/>
  <c r="C57" i="29"/>
  <c r="C58" i="29"/>
  <c r="C59" i="29"/>
  <c r="C55" i="29"/>
  <c r="C72" i="29"/>
  <c r="C73" i="29"/>
  <c r="C74" i="29"/>
  <c r="C75" i="29"/>
  <c r="C71" i="29"/>
  <c r="C48" i="29"/>
  <c r="C49" i="29"/>
  <c r="C50" i="29"/>
  <c r="C51" i="29"/>
  <c r="C47" i="29"/>
  <c r="D85" i="29"/>
  <c r="E85" i="29"/>
  <c r="F85" i="29"/>
  <c r="G85" i="29"/>
  <c r="H85" i="29"/>
  <c r="I85" i="29"/>
  <c r="J85" i="29"/>
  <c r="K85" i="29"/>
  <c r="L85" i="29"/>
  <c r="M85" i="29"/>
  <c r="N85" i="29"/>
  <c r="D86" i="29"/>
  <c r="E86" i="29"/>
  <c r="F86" i="29"/>
  <c r="G86" i="29"/>
  <c r="H86" i="29"/>
  <c r="I86" i="29"/>
  <c r="J86" i="29"/>
  <c r="K86" i="29"/>
  <c r="L86" i="29"/>
  <c r="M86" i="29"/>
  <c r="N86" i="29"/>
  <c r="D87" i="29"/>
  <c r="E87" i="29"/>
  <c r="F87" i="29"/>
  <c r="G87" i="29"/>
  <c r="H87" i="29"/>
  <c r="I87" i="29"/>
  <c r="J87" i="29"/>
  <c r="K87" i="29"/>
  <c r="L87" i="29"/>
  <c r="M87" i="29"/>
  <c r="N87" i="29"/>
  <c r="D88" i="29"/>
  <c r="E88" i="29"/>
  <c r="F88" i="29"/>
  <c r="G88" i="29"/>
  <c r="H88" i="29"/>
  <c r="I88" i="29"/>
  <c r="J88" i="29"/>
  <c r="K88" i="29"/>
  <c r="L88" i="29"/>
  <c r="M88" i="29"/>
  <c r="N88" i="29"/>
  <c r="D89" i="29"/>
  <c r="E89" i="29"/>
  <c r="F89" i="29"/>
  <c r="G89" i="29"/>
  <c r="H89" i="29"/>
  <c r="I89" i="29"/>
  <c r="J89" i="29"/>
  <c r="K89" i="29"/>
  <c r="L89" i="29"/>
  <c r="M89" i="29"/>
  <c r="N89" i="29"/>
  <c r="C86" i="29"/>
  <c r="C87" i="29"/>
  <c r="C88" i="29"/>
  <c r="C89" i="29"/>
  <c r="C85" i="29"/>
  <c r="C40" i="29"/>
  <c r="C41" i="29"/>
  <c r="C42" i="29"/>
  <c r="C43" i="29"/>
  <c r="C39" i="29"/>
  <c r="C21" i="29"/>
  <c r="C22" i="29"/>
  <c r="C23" i="29"/>
  <c r="C24" i="29"/>
  <c r="C20" i="29"/>
  <c r="AC3" i="27"/>
  <c r="AD3" i="27"/>
  <c r="AE3" i="27"/>
  <c r="AF3" i="27"/>
  <c r="AG3" i="27"/>
  <c r="AH3" i="27"/>
  <c r="AI3" i="27"/>
  <c r="AJ3" i="27"/>
  <c r="AK3" i="27"/>
  <c r="AL3" i="27"/>
  <c r="AM3" i="27"/>
  <c r="AN3" i="27"/>
  <c r="AO3" i="27"/>
  <c r="AP3" i="27"/>
  <c r="AQ3" i="27"/>
  <c r="AC4" i="27"/>
  <c r="AD4" i="27"/>
  <c r="AE4" i="27"/>
  <c r="AF4" i="27"/>
  <c r="AG4" i="27"/>
  <c r="AH4" i="27"/>
  <c r="AI4" i="27"/>
  <c r="AJ4" i="27"/>
  <c r="AK4" i="27"/>
  <c r="AL4" i="27"/>
  <c r="AM4" i="27"/>
  <c r="AN4" i="27"/>
  <c r="AO4" i="27"/>
  <c r="AP4" i="27"/>
  <c r="AQ4" i="27"/>
  <c r="AC5" i="27"/>
  <c r="AD5" i="27"/>
  <c r="AE5" i="27"/>
  <c r="AF5" i="27"/>
  <c r="AG5" i="27"/>
  <c r="AH5" i="27"/>
  <c r="AI5" i="27"/>
  <c r="AJ5" i="27"/>
  <c r="AK5" i="27"/>
  <c r="AL5" i="27"/>
  <c r="AM5" i="27"/>
  <c r="AN5" i="27"/>
  <c r="AO5" i="27"/>
  <c r="AP5" i="27"/>
  <c r="AQ5" i="27"/>
  <c r="AC6" i="27"/>
  <c r="AD6" i="27"/>
  <c r="AE6" i="27"/>
  <c r="AF6" i="27"/>
  <c r="AG6" i="27"/>
  <c r="AH6" i="27"/>
  <c r="AI6" i="27"/>
  <c r="AJ6" i="27"/>
  <c r="AK6" i="27"/>
  <c r="AL6" i="27"/>
  <c r="AM6" i="27"/>
  <c r="AN6" i="27"/>
  <c r="AO6" i="27"/>
  <c r="AP6" i="27"/>
  <c r="AQ6" i="27"/>
  <c r="AC7" i="27"/>
  <c r="AD7" i="27"/>
  <c r="AE7" i="27"/>
  <c r="AF7" i="27"/>
  <c r="AG7" i="27"/>
  <c r="AH7" i="27"/>
  <c r="AI7" i="27"/>
  <c r="AJ7" i="27"/>
  <c r="AK7" i="27"/>
  <c r="AL7" i="27"/>
  <c r="AM7" i="27"/>
  <c r="AN7" i="27"/>
  <c r="AO7" i="27"/>
  <c r="AP7" i="27"/>
  <c r="AQ7" i="27"/>
  <c r="AC8" i="27"/>
  <c r="AD8" i="27"/>
  <c r="AE8" i="27"/>
  <c r="AF8" i="27"/>
  <c r="AG8" i="27"/>
  <c r="AH8" i="27"/>
  <c r="AI8" i="27"/>
  <c r="AJ8" i="27"/>
  <c r="AK8" i="27"/>
  <c r="AL8" i="27"/>
  <c r="AM8" i="27"/>
  <c r="AN8" i="27"/>
  <c r="AO8" i="27"/>
  <c r="AP8" i="27"/>
  <c r="AQ8" i="27"/>
  <c r="AC9" i="27"/>
  <c r="AD9" i="27"/>
  <c r="AE9" i="27"/>
  <c r="AF9" i="27"/>
  <c r="AG9" i="27"/>
  <c r="AH9" i="27"/>
  <c r="AI9" i="27"/>
  <c r="AJ9" i="27"/>
  <c r="AK9" i="27"/>
  <c r="AL9" i="27"/>
  <c r="AM9" i="27"/>
  <c r="AN9" i="27"/>
  <c r="AO9" i="27"/>
  <c r="AP9" i="27"/>
  <c r="AQ9" i="27"/>
  <c r="AC10" i="27"/>
  <c r="AD10" i="27"/>
  <c r="AE10" i="27"/>
  <c r="AF10" i="27"/>
  <c r="AG10" i="27"/>
  <c r="AH10" i="27"/>
  <c r="AI10" i="27"/>
  <c r="AJ10" i="27"/>
  <c r="AK10" i="27"/>
  <c r="AL10" i="27"/>
  <c r="AM10" i="27"/>
  <c r="AN10" i="27"/>
  <c r="AO10" i="27"/>
  <c r="AP10" i="27"/>
  <c r="AQ10" i="27"/>
  <c r="AC11" i="27"/>
  <c r="AD11" i="27"/>
  <c r="AE11" i="27"/>
  <c r="AF11" i="27"/>
  <c r="AG11" i="27"/>
  <c r="AH11" i="27"/>
  <c r="AI11" i="27"/>
  <c r="AJ11" i="27"/>
  <c r="AK11" i="27"/>
  <c r="AL11" i="27"/>
  <c r="AM11" i="27"/>
  <c r="AN11" i="27"/>
  <c r="AO11" i="27"/>
  <c r="AP11" i="27"/>
  <c r="AQ11" i="27"/>
  <c r="AC12" i="27"/>
  <c r="AD12" i="27"/>
  <c r="AE12" i="27"/>
  <c r="AF12" i="27"/>
  <c r="AG12" i="27"/>
  <c r="AH12" i="27"/>
  <c r="AI12" i="27"/>
  <c r="AJ12" i="27"/>
  <c r="AK12" i="27"/>
  <c r="AL12" i="27"/>
  <c r="AM12" i="27"/>
  <c r="AN12" i="27"/>
  <c r="AO12" i="27"/>
  <c r="AP12" i="27"/>
  <c r="AQ12" i="27"/>
  <c r="AC13" i="27"/>
  <c r="AD13" i="27"/>
  <c r="AE13" i="27"/>
  <c r="AF13" i="27"/>
  <c r="AG13" i="27"/>
  <c r="AH13" i="27"/>
  <c r="AI13" i="27"/>
  <c r="AJ13" i="27"/>
  <c r="AK13" i="27"/>
  <c r="AL13" i="27"/>
  <c r="AM13" i="27"/>
  <c r="AN13" i="27"/>
  <c r="AO13" i="27"/>
  <c r="AP13" i="27"/>
  <c r="AQ13" i="27"/>
  <c r="AC14" i="27"/>
  <c r="AD14" i="27"/>
  <c r="AE14" i="27"/>
  <c r="AF14" i="27"/>
  <c r="AG14" i="27"/>
  <c r="AH14" i="27"/>
  <c r="AI14" i="27"/>
  <c r="AJ14" i="27"/>
  <c r="AK14" i="27"/>
  <c r="AL14" i="27"/>
  <c r="AM14" i="27"/>
  <c r="AN14" i="27"/>
  <c r="AO14" i="27"/>
  <c r="AP14" i="27"/>
  <c r="AQ14" i="27"/>
  <c r="AC15" i="27"/>
  <c r="AD15" i="27"/>
  <c r="AE15" i="27"/>
  <c r="AF15" i="27"/>
  <c r="AG15" i="27"/>
  <c r="AH15" i="27"/>
  <c r="AI15" i="27"/>
  <c r="AJ15" i="27"/>
  <c r="AK15" i="27"/>
  <c r="AL15" i="27"/>
  <c r="AM15" i="27"/>
  <c r="AN15" i="27"/>
  <c r="AO15" i="27"/>
  <c r="AP15" i="27"/>
  <c r="AQ15" i="27"/>
  <c r="AC16" i="27"/>
  <c r="AD16" i="27"/>
  <c r="AE16" i="27"/>
  <c r="AF16" i="27"/>
  <c r="AG16" i="27"/>
  <c r="AH16" i="27"/>
  <c r="AI16" i="27"/>
  <c r="AJ16" i="27"/>
  <c r="AK16" i="27"/>
  <c r="AL16" i="27"/>
  <c r="AM16" i="27"/>
  <c r="AN16" i="27"/>
  <c r="AO16" i="27"/>
  <c r="AP16" i="27"/>
  <c r="AQ16" i="27"/>
  <c r="AC17" i="27"/>
  <c r="AD17" i="27"/>
  <c r="AE17" i="27"/>
  <c r="AF17" i="27"/>
  <c r="AG17" i="27"/>
  <c r="AH17" i="27"/>
  <c r="AI17" i="27"/>
  <c r="AJ17" i="27"/>
  <c r="AK17" i="27"/>
  <c r="AL17" i="27"/>
  <c r="AM17" i="27"/>
  <c r="AN17" i="27"/>
  <c r="AO17" i="27"/>
  <c r="AP17" i="27"/>
  <c r="AQ17" i="27"/>
  <c r="AC18" i="27"/>
  <c r="AD18" i="27"/>
  <c r="AE18" i="27"/>
  <c r="AF18" i="27"/>
  <c r="AG18" i="27"/>
  <c r="AH18" i="27"/>
  <c r="AI18" i="27"/>
  <c r="AJ18" i="27"/>
  <c r="AK18" i="27"/>
  <c r="AL18" i="27"/>
  <c r="AM18" i="27"/>
  <c r="AN18" i="27"/>
  <c r="AO18" i="27"/>
  <c r="AP18" i="27"/>
  <c r="AQ18" i="27"/>
  <c r="AC19" i="27"/>
  <c r="AD19" i="27"/>
  <c r="AE19" i="27"/>
  <c r="AF19" i="27"/>
  <c r="AG19" i="27"/>
  <c r="AH19" i="27"/>
  <c r="AI19" i="27"/>
  <c r="AJ19" i="27"/>
  <c r="AK19" i="27"/>
  <c r="AL19" i="27"/>
  <c r="AM19" i="27"/>
  <c r="AN19" i="27"/>
  <c r="AO19" i="27"/>
  <c r="AP19" i="27"/>
  <c r="AQ19" i="27"/>
  <c r="AC20" i="27"/>
  <c r="AD20" i="27"/>
  <c r="AE20" i="27"/>
  <c r="AF20" i="27"/>
  <c r="AG20" i="27"/>
  <c r="AH20" i="27"/>
  <c r="AI20" i="27"/>
  <c r="AJ20" i="27"/>
  <c r="AK20" i="27"/>
  <c r="AL20" i="27"/>
  <c r="AM20" i="27"/>
  <c r="AN20" i="27"/>
  <c r="AO20" i="27"/>
  <c r="AP20" i="27"/>
  <c r="AQ20" i="27"/>
  <c r="AC21" i="27"/>
  <c r="AD21" i="27"/>
  <c r="AE21" i="27"/>
  <c r="AF21" i="27"/>
  <c r="AG21" i="27"/>
  <c r="AH21" i="27"/>
  <c r="AI21" i="27"/>
  <c r="AJ21" i="27"/>
  <c r="AK21" i="27"/>
  <c r="AL21" i="27"/>
  <c r="AM21" i="27"/>
  <c r="AN21" i="27"/>
  <c r="AO21" i="27"/>
  <c r="AP21" i="27"/>
  <c r="AQ21" i="27"/>
  <c r="AC22" i="27"/>
  <c r="AD22" i="27"/>
  <c r="AE22" i="27"/>
  <c r="AF22" i="27"/>
  <c r="AG22" i="27"/>
  <c r="AH22" i="27"/>
  <c r="AI22" i="27"/>
  <c r="AJ22" i="27"/>
  <c r="AK22" i="27"/>
  <c r="AL22" i="27"/>
  <c r="AM22" i="27"/>
  <c r="AN22" i="27"/>
  <c r="AO22" i="27"/>
  <c r="AP22" i="27"/>
  <c r="AQ22" i="27"/>
  <c r="AC23" i="27"/>
  <c r="AD23" i="27"/>
  <c r="AE23" i="27"/>
  <c r="AF23" i="27"/>
  <c r="AG23" i="27"/>
  <c r="AH23" i="27"/>
  <c r="AI23" i="27"/>
  <c r="AJ23" i="27"/>
  <c r="AK23" i="27"/>
  <c r="AL23" i="27"/>
  <c r="AM23" i="27"/>
  <c r="AN23" i="27"/>
  <c r="AO23" i="27"/>
  <c r="AP23" i="27"/>
  <c r="AQ23" i="27"/>
  <c r="AC24" i="27"/>
  <c r="AD24" i="27"/>
  <c r="AE24" i="27"/>
  <c r="AF24" i="27"/>
  <c r="AG24" i="27"/>
  <c r="AH24" i="27"/>
  <c r="AI24" i="27"/>
  <c r="AJ24" i="27"/>
  <c r="AK24" i="27"/>
  <c r="AL24" i="27"/>
  <c r="AM24" i="27"/>
  <c r="AN24" i="27"/>
  <c r="AO24" i="27"/>
  <c r="AP24" i="27"/>
  <c r="AQ24" i="27"/>
  <c r="AC25" i="27"/>
  <c r="AD25" i="27"/>
  <c r="AE25" i="27"/>
  <c r="AF25" i="27"/>
  <c r="AG25" i="27"/>
  <c r="AH25" i="27"/>
  <c r="AI25" i="27"/>
  <c r="AJ25" i="27"/>
  <c r="AK25" i="27"/>
  <c r="AL25" i="27"/>
  <c r="AM25" i="27"/>
  <c r="AN25" i="27"/>
  <c r="AO25" i="27"/>
  <c r="AP25" i="27"/>
  <c r="AQ25" i="27"/>
  <c r="AC26" i="27"/>
  <c r="AD26" i="27"/>
  <c r="AE26" i="27"/>
  <c r="AF26" i="27"/>
  <c r="AG26" i="27"/>
  <c r="AH26" i="27"/>
  <c r="AI26" i="27"/>
  <c r="AJ26" i="27"/>
  <c r="AK26" i="27"/>
  <c r="AL26" i="27"/>
  <c r="AM26" i="27"/>
  <c r="AN26" i="27"/>
  <c r="AO26" i="27"/>
  <c r="AP26" i="27"/>
  <c r="AQ26" i="27"/>
  <c r="AC27" i="27"/>
  <c r="AD27" i="27"/>
  <c r="AE27" i="27"/>
  <c r="AF27" i="27"/>
  <c r="AG27" i="27"/>
  <c r="AH27" i="27"/>
  <c r="AI27" i="27"/>
  <c r="AJ27" i="27"/>
  <c r="AK27" i="27"/>
  <c r="AL27" i="27"/>
  <c r="AM27" i="27"/>
  <c r="AN27" i="27"/>
  <c r="AO27" i="27"/>
  <c r="AP27" i="27"/>
  <c r="AQ27" i="27"/>
  <c r="AC28" i="27"/>
  <c r="AD28" i="27"/>
  <c r="AE28" i="27"/>
  <c r="AF28" i="27"/>
  <c r="AG28" i="27"/>
  <c r="AH28" i="27"/>
  <c r="AI28" i="27"/>
  <c r="AJ28" i="27"/>
  <c r="AK28" i="27"/>
  <c r="AL28" i="27"/>
  <c r="AM28" i="27"/>
  <c r="AN28" i="27"/>
  <c r="AO28" i="27"/>
  <c r="AP28" i="27"/>
  <c r="AQ28" i="27"/>
  <c r="AC29" i="27"/>
  <c r="AD29" i="27"/>
  <c r="AE29" i="27"/>
  <c r="AF29" i="27"/>
  <c r="AG29" i="27"/>
  <c r="AH29" i="27"/>
  <c r="AI29" i="27"/>
  <c r="AJ29" i="27"/>
  <c r="AK29" i="27"/>
  <c r="AL29" i="27"/>
  <c r="AM29" i="27"/>
  <c r="AN29" i="27"/>
  <c r="AO29" i="27"/>
  <c r="AP29" i="27"/>
  <c r="AQ29" i="27"/>
  <c r="AC30" i="27"/>
  <c r="AD30" i="27"/>
  <c r="AE30" i="27"/>
  <c r="AF30" i="27"/>
  <c r="AG30" i="27"/>
  <c r="AH30" i="27"/>
  <c r="AI30" i="27"/>
  <c r="AJ30" i="27"/>
  <c r="AK30" i="27"/>
  <c r="AL30" i="27"/>
  <c r="AM30" i="27"/>
  <c r="AN30" i="27"/>
  <c r="AO30" i="27"/>
  <c r="AP30" i="27"/>
  <c r="AQ30" i="27"/>
  <c r="AC31" i="27"/>
  <c r="AD31" i="27"/>
  <c r="AE31" i="27"/>
  <c r="AF31" i="27"/>
  <c r="AG31" i="27"/>
  <c r="AH31" i="27"/>
  <c r="AI31" i="27"/>
  <c r="AJ31" i="27"/>
  <c r="AK31" i="27"/>
  <c r="AL31" i="27"/>
  <c r="AM31" i="27"/>
  <c r="AN31" i="27"/>
  <c r="AO31" i="27"/>
  <c r="AP31" i="27"/>
  <c r="AQ31" i="27"/>
  <c r="AC32" i="27"/>
  <c r="AD32" i="27"/>
  <c r="AE32" i="27"/>
  <c r="AF32" i="27"/>
  <c r="AG32" i="27"/>
  <c r="AH32" i="27"/>
  <c r="AI32" i="27"/>
  <c r="AJ32" i="27"/>
  <c r="AK32" i="27"/>
  <c r="AL32" i="27"/>
  <c r="AM32" i="27"/>
  <c r="AN32" i="27"/>
  <c r="AO32" i="27"/>
  <c r="AP32" i="27"/>
  <c r="AQ32" i="27"/>
  <c r="AC33" i="27"/>
  <c r="AD33" i="27"/>
  <c r="AE33" i="27"/>
  <c r="AF33" i="27"/>
  <c r="AG33" i="27"/>
  <c r="AH33" i="27"/>
  <c r="AI33" i="27"/>
  <c r="AJ33" i="27"/>
  <c r="AK33" i="27"/>
  <c r="AL33" i="27"/>
  <c r="AM33" i="27"/>
  <c r="AN33" i="27"/>
  <c r="AO33" i="27"/>
  <c r="AP33" i="27"/>
  <c r="AQ33" i="27"/>
  <c r="AC34" i="27"/>
  <c r="AD34" i="27"/>
  <c r="AE34" i="27"/>
  <c r="AF34" i="27"/>
  <c r="AG34" i="27"/>
  <c r="AH34" i="27"/>
  <c r="AI34" i="27"/>
  <c r="AJ34" i="27"/>
  <c r="AK34" i="27"/>
  <c r="AL34" i="27"/>
  <c r="AM34" i="27"/>
  <c r="AN34" i="27"/>
  <c r="AO34" i="27"/>
  <c r="AP34" i="27"/>
  <c r="AQ34" i="27"/>
  <c r="AC35" i="27"/>
  <c r="AD35" i="27"/>
  <c r="AE35" i="27"/>
  <c r="AF35" i="27"/>
  <c r="AG35" i="27"/>
  <c r="AH35" i="27"/>
  <c r="AI35" i="27"/>
  <c r="AJ35" i="27"/>
  <c r="AK35" i="27"/>
  <c r="AL35" i="27"/>
  <c r="AM35" i="27"/>
  <c r="AN35" i="27"/>
  <c r="AO35" i="27"/>
  <c r="AP35" i="27"/>
  <c r="AQ35" i="27"/>
  <c r="AC36" i="27"/>
  <c r="AD36" i="27"/>
  <c r="AE36" i="27"/>
  <c r="AF36" i="27"/>
  <c r="AG36" i="27"/>
  <c r="AH36" i="27"/>
  <c r="AI36" i="27"/>
  <c r="AJ36" i="27"/>
  <c r="AK36" i="27"/>
  <c r="AL36" i="27"/>
  <c r="AM36" i="27"/>
  <c r="AN36" i="27"/>
  <c r="AO36" i="27"/>
  <c r="AP36" i="27"/>
  <c r="AQ36" i="27"/>
  <c r="AC37" i="27"/>
  <c r="AD37" i="27"/>
  <c r="AE37" i="27"/>
  <c r="AF37" i="27"/>
  <c r="AG37" i="27"/>
  <c r="AH37" i="27"/>
  <c r="AI37" i="27"/>
  <c r="AJ37" i="27"/>
  <c r="AK37" i="27"/>
  <c r="AL37" i="27"/>
  <c r="AM37" i="27"/>
  <c r="AN37" i="27"/>
  <c r="AO37" i="27"/>
  <c r="AP37" i="27"/>
  <c r="AQ37" i="27"/>
  <c r="AC38" i="27"/>
  <c r="AD38" i="27"/>
  <c r="AE38" i="27"/>
  <c r="AF38" i="27"/>
  <c r="AG38" i="27"/>
  <c r="AH38" i="27"/>
  <c r="AI38" i="27"/>
  <c r="AJ38" i="27"/>
  <c r="AK38" i="27"/>
  <c r="AL38" i="27"/>
  <c r="AM38" i="27"/>
  <c r="AN38" i="27"/>
  <c r="AO38" i="27"/>
  <c r="AP38" i="27"/>
  <c r="AQ38" i="27"/>
  <c r="AC39" i="27"/>
  <c r="AD39" i="27"/>
  <c r="AE39" i="27"/>
  <c r="AF39" i="27"/>
  <c r="AG39" i="27"/>
  <c r="AH39" i="27"/>
  <c r="AI39" i="27"/>
  <c r="AJ39" i="27"/>
  <c r="AK39" i="27"/>
  <c r="AL39" i="27"/>
  <c r="AM39" i="27"/>
  <c r="AN39" i="27"/>
  <c r="AO39" i="27"/>
  <c r="AP39" i="27"/>
  <c r="AQ39" i="27"/>
  <c r="AC40" i="27"/>
  <c r="AD40" i="27"/>
  <c r="AE40" i="27"/>
  <c r="AF40" i="27"/>
  <c r="AG40" i="27"/>
  <c r="AH40" i="27"/>
  <c r="AI40" i="27"/>
  <c r="AJ40" i="27"/>
  <c r="AK40" i="27"/>
  <c r="AL40" i="27"/>
  <c r="AM40" i="27"/>
  <c r="AN40" i="27"/>
  <c r="AO40" i="27"/>
  <c r="AP40" i="27"/>
  <c r="AQ40" i="27"/>
  <c r="AC41" i="27"/>
  <c r="AD41" i="27"/>
  <c r="AE41" i="27"/>
  <c r="AF41" i="27"/>
  <c r="AG41" i="27"/>
  <c r="AH41" i="27"/>
  <c r="AI41" i="27"/>
  <c r="AJ41" i="27"/>
  <c r="AK41" i="27"/>
  <c r="AL41" i="27"/>
  <c r="AM41" i="27"/>
  <c r="AN41" i="27"/>
  <c r="AO41" i="27"/>
  <c r="AP41" i="27"/>
  <c r="AQ41" i="27"/>
  <c r="AC42" i="27"/>
  <c r="AD42" i="27"/>
  <c r="AE42" i="27"/>
  <c r="AF42" i="27"/>
  <c r="AG42" i="27"/>
  <c r="AH42" i="27"/>
  <c r="AI42" i="27"/>
  <c r="AJ42" i="27"/>
  <c r="AK42" i="27"/>
  <c r="AL42" i="27"/>
  <c r="AM42" i="27"/>
  <c r="AN42" i="27"/>
  <c r="AO42" i="27"/>
  <c r="AP42" i="27"/>
  <c r="AQ42" i="27"/>
  <c r="AC43" i="27"/>
  <c r="AD43" i="27"/>
  <c r="AE43" i="27"/>
  <c r="AF43" i="27"/>
  <c r="AG43" i="27"/>
  <c r="AH43" i="27"/>
  <c r="AI43" i="27"/>
  <c r="AJ43" i="27"/>
  <c r="AK43" i="27"/>
  <c r="AL43" i="27"/>
  <c r="AM43" i="27"/>
  <c r="AN43" i="27"/>
  <c r="AO43" i="27"/>
  <c r="AP43" i="27"/>
  <c r="AQ43" i="27"/>
  <c r="AC44" i="27"/>
  <c r="AD44" i="27"/>
  <c r="AE44" i="27"/>
  <c r="AF44" i="27"/>
  <c r="AG44" i="27"/>
  <c r="AH44" i="27"/>
  <c r="AI44" i="27"/>
  <c r="AJ44" i="27"/>
  <c r="AK44" i="27"/>
  <c r="AL44" i="27"/>
  <c r="AM44" i="27"/>
  <c r="AN44" i="27"/>
  <c r="AO44" i="27"/>
  <c r="AP44" i="27"/>
  <c r="AQ44" i="27"/>
  <c r="AC45" i="27"/>
  <c r="AD45" i="27"/>
  <c r="AE45" i="27"/>
  <c r="AF45" i="27"/>
  <c r="AG45" i="27"/>
  <c r="AH45" i="27"/>
  <c r="AI45" i="27"/>
  <c r="AJ45" i="27"/>
  <c r="AK45" i="27"/>
  <c r="AL45" i="27"/>
  <c r="AM45" i="27"/>
  <c r="AN45" i="27"/>
  <c r="AO45" i="27"/>
  <c r="AP45" i="27"/>
  <c r="AQ45" i="27"/>
  <c r="AC46" i="27"/>
  <c r="AD46" i="27"/>
  <c r="AE46" i="27"/>
  <c r="AF46" i="27"/>
  <c r="AG46" i="27"/>
  <c r="AH46" i="27"/>
  <c r="AI46" i="27"/>
  <c r="AJ46" i="27"/>
  <c r="AK46" i="27"/>
  <c r="AL46" i="27"/>
  <c r="AM46" i="27"/>
  <c r="AN46" i="27"/>
  <c r="AO46" i="27"/>
  <c r="AP46" i="27"/>
  <c r="AQ46" i="27"/>
  <c r="AC47" i="27"/>
  <c r="AD47" i="27"/>
  <c r="AE47" i="27"/>
  <c r="AF47" i="27"/>
  <c r="AG47" i="27"/>
  <c r="AH47" i="27"/>
  <c r="AI47" i="27"/>
  <c r="AJ47" i="27"/>
  <c r="AK47" i="27"/>
  <c r="AL47" i="27"/>
  <c r="AM47" i="27"/>
  <c r="AN47" i="27"/>
  <c r="AO47" i="27"/>
  <c r="AP47" i="27"/>
  <c r="AQ47" i="27"/>
  <c r="AC48" i="27"/>
  <c r="AD48" i="27"/>
  <c r="AE48" i="27"/>
  <c r="AF48" i="27"/>
  <c r="AG48" i="27"/>
  <c r="AH48" i="27"/>
  <c r="AI48" i="27"/>
  <c r="AJ48" i="27"/>
  <c r="AK48" i="27"/>
  <c r="AL48" i="27"/>
  <c r="AM48" i="27"/>
  <c r="AN48" i="27"/>
  <c r="AO48" i="27"/>
  <c r="AP48" i="27"/>
  <c r="AQ48" i="27"/>
  <c r="AC49" i="27"/>
  <c r="AD49" i="27"/>
  <c r="AE49" i="27"/>
  <c r="AF49" i="27"/>
  <c r="AG49" i="27"/>
  <c r="AH49" i="27"/>
  <c r="AI49" i="27"/>
  <c r="AJ49" i="27"/>
  <c r="AK49" i="27"/>
  <c r="AL49" i="27"/>
  <c r="AM49" i="27"/>
  <c r="AN49" i="27"/>
  <c r="AO49" i="27"/>
  <c r="AP49" i="27"/>
  <c r="AQ49" i="27"/>
  <c r="AC50" i="27"/>
  <c r="AD50" i="27"/>
  <c r="AE50" i="27"/>
  <c r="AF50" i="27"/>
  <c r="AG50" i="27"/>
  <c r="AH50" i="27"/>
  <c r="AI50" i="27"/>
  <c r="AJ50" i="27"/>
  <c r="AK50" i="27"/>
  <c r="AL50" i="27"/>
  <c r="AM50" i="27"/>
  <c r="AN50" i="27"/>
  <c r="AO50" i="27"/>
  <c r="AP50" i="27"/>
  <c r="AQ50" i="27"/>
  <c r="AC51" i="27"/>
  <c r="AD51" i="27"/>
  <c r="AE51" i="27"/>
  <c r="AF51" i="27"/>
  <c r="AG51" i="27"/>
  <c r="AH51" i="27"/>
  <c r="AI51" i="27"/>
  <c r="AJ51" i="27"/>
  <c r="AK51" i="27"/>
  <c r="AL51" i="27"/>
  <c r="AM51" i="27"/>
  <c r="AN51" i="27"/>
  <c r="AO51" i="27"/>
  <c r="AP51" i="27"/>
  <c r="AQ51" i="27"/>
  <c r="AC52" i="27"/>
  <c r="AD52" i="27"/>
  <c r="AE52" i="27"/>
  <c r="AF52" i="27"/>
  <c r="AG52" i="27"/>
  <c r="AH52" i="27"/>
  <c r="AI52" i="27"/>
  <c r="AJ52" i="27"/>
  <c r="AK52" i="27"/>
  <c r="AL52" i="27"/>
  <c r="AM52" i="27"/>
  <c r="AN52" i="27"/>
  <c r="AO52" i="27"/>
  <c r="AP52" i="27"/>
  <c r="AQ52" i="27"/>
  <c r="AC53" i="27"/>
  <c r="AD53" i="27"/>
  <c r="AE53" i="27"/>
  <c r="AF53" i="27"/>
  <c r="AG53" i="27"/>
  <c r="AH53" i="27"/>
  <c r="AI53" i="27"/>
  <c r="AJ53" i="27"/>
  <c r="AK53" i="27"/>
  <c r="AL53" i="27"/>
  <c r="AM53" i="27"/>
  <c r="AN53" i="27"/>
  <c r="AO53" i="27"/>
  <c r="AP53" i="27"/>
  <c r="AQ53" i="27"/>
  <c r="AC54" i="27"/>
  <c r="AD54" i="27"/>
  <c r="AE54" i="27"/>
  <c r="AF54" i="27"/>
  <c r="AG54" i="27"/>
  <c r="AH54" i="27"/>
  <c r="AI54" i="27"/>
  <c r="AJ54" i="27"/>
  <c r="AK54" i="27"/>
  <c r="AL54" i="27"/>
  <c r="AM54" i="27"/>
  <c r="AN54" i="27"/>
  <c r="AO54" i="27"/>
  <c r="AP54" i="27"/>
  <c r="AQ54" i="27"/>
  <c r="AC55" i="27"/>
  <c r="AD55" i="27"/>
  <c r="AE55" i="27"/>
  <c r="AF55" i="27"/>
  <c r="AG55" i="27"/>
  <c r="AH55" i="27"/>
  <c r="AI55" i="27"/>
  <c r="AJ55" i="27"/>
  <c r="AK55" i="27"/>
  <c r="AL55" i="27"/>
  <c r="AM55" i="27"/>
  <c r="AN55" i="27"/>
  <c r="AO55" i="27"/>
  <c r="AP55" i="27"/>
  <c r="AQ55" i="27"/>
  <c r="AC56" i="27"/>
  <c r="AD56" i="27"/>
  <c r="AE56" i="27"/>
  <c r="AF56" i="27"/>
  <c r="AG56" i="27"/>
  <c r="AH56" i="27"/>
  <c r="AI56" i="27"/>
  <c r="AJ56" i="27"/>
  <c r="AK56" i="27"/>
  <c r="AL56" i="27"/>
  <c r="AM56" i="27"/>
  <c r="AN56" i="27"/>
  <c r="AO56" i="27"/>
  <c r="AP56" i="27"/>
  <c r="AQ56" i="27"/>
  <c r="AC57" i="27"/>
  <c r="AD57" i="27"/>
  <c r="AE57" i="27"/>
  <c r="AF57" i="27"/>
  <c r="AG57" i="27"/>
  <c r="AH57" i="27"/>
  <c r="AI57" i="27"/>
  <c r="AJ57" i="27"/>
  <c r="AK57" i="27"/>
  <c r="AL57" i="27"/>
  <c r="AM57" i="27"/>
  <c r="AN57" i="27"/>
  <c r="AO57" i="27"/>
  <c r="AP57" i="27"/>
  <c r="AQ57" i="27"/>
  <c r="AC58" i="27"/>
  <c r="AD58" i="27"/>
  <c r="AE58" i="27"/>
  <c r="AF58" i="27"/>
  <c r="AG58" i="27"/>
  <c r="AH58" i="27"/>
  <c r="AI58" i="27"/>
  <c r="AJ58" i="27"/>
  <c r="AK58" i="27"/>
  <c r="AL58" i="27"/>
  <c r="AM58" i="27"/>
  <c r="AN58" i="27"/>
  <c r="AO58" i="27"/>
  <c r="AP58" i="27"/>
  <c r="AQ58" i="27"/>
  <c r="AC59" i="27"/>
  <c r="AD59" i="27"/>
  <c r="AE59" i="27"/>
  <c r="AF59" i="27"/>
  <c r="AG59" i="27"/>
  <c r="AH59" i="27"/>
  <c r="AI59" i="27"/>
  <c r="AJ59" i="27"/>
  <c r="AK59" i="27"/>
  <c r="AL59" i="27"/>
  <c r="AM59" i="27"/>
  <c r="AN59" i="27"/>
  <c r="AO59" i="27"/>
  <c r="AP59" i="27"/>
  <c r="AQ59" i="27"/>
  <c r="AC60" i="27"/>
  <c r="AD60" i="27"/>
  <c r="AE60" i="27"/>
  <c r="AF60" i="27"/>
  <c r="AG60" i="27"/>
  <c r="AH60" i="27"/>
  <c r="AI60" i="27"/>
  <c r="AJ60" i="27"/>
  <c r="AK60" i="27"/>
  <c r="AL60" i="27"/>
  <c r="AM60" i="27"/>
  <c r="AN60" i="27"/>
  <c r="AO60" i="27"/>
  <c r="AP60" i="27"/>
  <c r="AQ60" i="27"/>
  <c r="AC61" i="27"/>
  <c r="AD61" i="27"/>
  <c r="AE61" i="27"/>
  <c r="AF61" i="27"/>
  <c r="AG61" i="27"/>
  <c r="AH61" i="27"/>
  <c r="AI61" i="27"/>
  <c r="AJ61" i="27"/>
  <c r="AK61" i="27"/>
  <c r="AL61" i="27"/>
  <c r="AM61" i="27"/>
  <c r="AN61" i="27"/>
  <c r="AO61" i="27"/>
  <c r="AP61" i="27"/>
  <c r="AQ61" i="27"/>
  <c r="AC62" i="27"/>
  <c r="AD62" i="27"/>
  <c r="AE62" i="27"/>
  <c r="AF62" i="27"/>
  <c r="AG62" i="27"/>
  <c r="AH62" i="27"/>
  <c r="AI62" i="27"/>
  <c r="AJ62" i="27"/>
  <c r="AK62" i="27"/>
  <c r="AL62" i="27"/>
  <c r="AM62" i="27"/>
  <c r="AN62" i="27"/>
  <c r="AO62" i="27"/>
  <c r="AP62" i="27"/>
  <c r="AQ62" i="27"/>
  <c r="AC63" i="27"/>
  <c r="AD63" i="27"/>
  <c r="AE63" i="27"/>
  <c r="AF63" i="27"/>
  <c r="AG63" i="27"/>
  <c r="AH63" i="27"/>
  <c r="AI63" i="27"/>
  <c r="AJ63" i="27"/>
  <c r="AK63" i="27"/>
  <c r="AL63" i="27"/>
  <c r="AM63" i="27"/>
  <c r="AN63" i="27"/>
  <c r="AO63" i="27"/>
  <c r="AP63" i="27"/>
  <c r="AQ63" i="27"/>
  <c r="AC64" i="27"/>
  <c r="AD64" i="27"/>
  <c r="AE64" i="27"/>
  <c r="AF64" i="27"/>
  <c r="AG64" i="27"/>
  <c r="AH64" i="27"/>
  <c r="AI64" i="27"/>
  <c r="AJ64" i="27"/>
  <c r="AK64" i="27"/>
  <c r="AL64" i="27"/>
  <c r="AM64" i="27"/>
  <c r="AN64" i="27"/>
  <c r="AO64" i="27"/>
  <c r="AP64" i="27"/>
  <c r="AQ64" i="27"/>
  <c r="AC65" i="27"/>
  <c r="AD65" i="27"/>
  <c r="AE65" i="27"/>
  <c r="AF65" i="27"/>
  <c r="AG65" i="27"/>
  <c r="AH65" i="27"/>
  <c r="AI65" i="27"/>
  <c r="AJ65" i="27"/>
  <c r="AK65" i="27"/>
  <c r="AL65" i="27"/>
  <c r="AM65" i="27"/>
  <c r="AN65" i="27"/>
  <c r="AO65" i="27"/>
  <c r="AP65" i="27"/>
  <c r="AQ65" i="27"/>
  <c r="AC66" i="27"/>
  <c r="AD66" i="27"/>
  <c r="AE66" i="27"/>
  <c r="AF66" i="27"/>
  <c r="AG66" i="27"/>
  <c r="AH66" i="27"/>
  <c r="AI66" i="27"/>
  <c r="AJ66" i="27"/>
  <c r="AK66" i="27"/>
  <c r="AL66" i="27"/>
  <c r="AM66" i="27"/>
  <c r="AN66" i="27"/>
  <c r="AO66" i="27"/>
  <c r="AP66" i="27"/>
  <c r="AQ66" i="27"/>
  <c r="AC67" i="27"/>
  <c r="AD67" i="27"/>
  <c r="AE67" i="27"/>
  <c r="AF67" i="27"/>
  <c r="AG67" i="27"/>
  <c r="AH67" i="27"/>
  <c r="AI67" i="27"/>
  <c r="AJ67" i="27"/>
  <c r="AK67" i="27"/>
  <c r="AL67" i="27"/>
  <c r="AM67" i="27"/>
  <c r="AN67" i="27"/>
  <c r="AO67" i="27"/>
  <c r="AP67" i="27"/>
  <c r="AQ67" i="27"/>
  <c r="AC68" i="27"/>
  <c r="AD68" i="27"/>
  <c r="AE68" i="27"/>
  <c r="AF68" i="27"/>
  <c r="AG68" i="27"/>
  <c r="AH68" i="27"/>
  <c r="AI68" i="27"/>
  <c r="AJ68" i="27"/>
  <c r="AK68" i="27"/>
  <c r="AL68" i="27"/>
  <c r="AM68" i="27"/>
  <c r="AN68" i="27"/>
  <c r="AO68" i="27"/>
  <c r="AP68" i="27"/>
  <c r="AQ68" i="27"/>
  <c r="AC69" i="27"/>
  <c r="AD69" i="27"/>
  <c r="AE69" i="27"/>
  <c r="AF69" i="27"/>
  <c r="AG69" i="27"/>
  <c r="AH69" i="27"/>
  <c r="AI69" i="27"/>
  <c r="AJ69" i="27"/>
  <c r="AK69" i="27"/>
  <c r="AL69" i="27"/>
  <c r="AM69" i="27"/>
  <c r="AN69" i="27"/>
  <c r="AO69" i="27"/>
  <c r="AP69" i="27"/>
  <c r="AQ69" i="27"/>
  <c r="AC70" i="27"/>
  <c r="AD70" i="27"/>
  <c r="AE70" i="27"/>
  <c r="AF70" i="27"/>
  <c r="AG70" i="27"/>
  <c r="AH70" i="27"/>
  <c r="AI70" i="27"/>
  <c r="AJ70" i="27"/>
  <c r="AK70" i="27"/>
  <c r="AL70" i="27"/>
  <c r="AM70" i="27"/>
  <c r="AN70" i="27"/>
  <c r="AO70" i="27"/>
  <c r="AP70" i="27"/>
  <c r="AQ70" i="27"/>
  <c r="AC71" i="27"/>
  <c r="AD71" i="27"/>
  <c r="AE71" i="27"/>
  <c r="AF71" i="27"/>
  <c r="AG71" i="27"/>
  <c r="AH71" i="27"/>
  <c r="AI71" i="27"/>
  <c r="AJ71" i="27"/>
  <c r="AK71" i="27"/>
  <c r="AL71" i="27"/>
  <c r="AM71" i="27"/>
  <c r="AN71" i="27"/>
  <c r="AO71" i="27"/>
  <c r="AP71" i="27"/>
  <c r="AQ71" i="27"/>
  <c r="AC72" i="27"/>
  <c r="AD72" i="27"/>
  <c r="AE72" i="27"/>
  <c r="AF72" i="27"/>
  <c r="AG72" i="27"/>
  <c r="AH72" i="27"/>
  <c r="AI72" i="27"/>
  <c r="AJ72" i="27"/>
  <c r="AK72" i="27"/>
  <c r="AL72" i="27"/>
  <c r="AM72" i="27"/>
  <c r="AN72" i="27"/>
  <c r="AO72" i="27"/>
  <c r="AP72" i="27"/>
  <c r="AQ72" i="27"/>
  <c r="AC73" i="27"/>
  <c r="AD73" i="27"/>
  <c r="AE73" i="27"/>
  <c r="AF73" i="27"/>
  <c r="AG73" i="27"/>
  <c r="AH73" i="27"/>
  <c r="AI73" i="27"/>
  <c r="AJ73" i="27"/>
  <c r="AK73" i="27"/>
  <c r="AL73" i="27"/>
  <c r="AM73" i="27"/>
  <c r="AN73" i="27"/>
  <c r="AO73" i="27"/>
  <c r="AP73" i="27"/>
  <c r="AQ73" i="27"/>
  <c r="AC74" i="27"/>
  <c r="AD74" i="27"/>
  <c r="AE74" i="27"/>
  <c r="AF74" i="27"/>
  <c r="AG74" i="27"/>
  <c r="AH74" i="27"/>
  <c r="AI74" i="27"/>
  <c r="AJ74" i="27"/>
  <c r="AK74" i="27"/>
  <c r="AL74" i="27"/>
  <c r="AM74" i="27"/>
  <c r="AN74" i="27"/>
  <c r="AO74" i="27"/>
  <c r="AP74" i="27"/>
  <c r="AQ74" i="27"/>
  <c r="AC75" i="27"/>
  <c r="AD75" i="27"/>
  <c r="AE75" i="27"/>
  <c r="AF75" i="27"/>
  <c r="AG75" i="27"/>
  <c r="AH75" i="27"/>
  <c r="AI75" i="27"/>
  <c r="AJ75" i="27"/>
  <c r="AK75" i="27"/>
  <c r="AL75" i="27"/>
  <c r="AM75" i="27"/>
  <c r="AN75" i="27"/>
  <c r="AO75" i="27"/>
  <c r="AP75" i="27"/>
  <c r="AQ75" i="27"/>
  <c r="AC76" i="27"/>
  <c r="AD76" i="27"/>
  <c r="AE76" i="27"/>
  <c r="AF76" i="27"/>
  <c r="AG76" i="27"/>
  <c r="AH76" i="27"/>
  <c r="AI76" i="27"/>
  <c r="AJ76" i="27"/>
  <c r="AK76" i="27"/>
  <c r="AL76" i="27"/>
  <c r="AM76" i="27"/>
  <c r="AN76" i="27"/>
  <c r="AO76" i="27"/>
  <c r="AP76" i="27"/>
  <c r="AQ76" i="27"/>
  <c r="AC77" i="27"/>
  <c r="AD77" i="27"/>
  <c r="AE77" i="27"/>
  <c r="AF77" i="27"/>
  <c r="AG77" i="27"/>
  <c r="AH77" i="27"/>
  <c r="AI77" i="27"/>
  <c r="AJ77" i="27"/>
  <c r="AK77" i="27"/>
  <c r="AL77" i="27"/>
  <c r="AM77" i="27"/>
  <c r="AN77" i="27"/>
  <c r="AO77" i="27"/>
  <c r="AP77" i="27"/>
  <c r="AQ77" i="27"/>
  <c r="AC78" i="27"/>
  <c r="AD78" i="27"/>
  <c r="AE78" i="27"/>
  <c r="AF78" i="27"/>
  <c r="AG78" i="27"/>
  <c r="AH78" i="27"/>
  <c r="AI78" i="27"/>
  <c r="AJ78" i="27"/>
  <c r="AK78" i="27"/>
  <c r="AL78" i="27"/>
  <c r="AM78" i="27"/>
  <c r="AN78" i="27"/>
  <c r="AO78" i="27"/>
  <c r="AP78" i="27"/>
  <c r="AQ78" i="27"/>
  <c r="AC79" i="27"/>
  <c r="AD79" i="27"/>
  <c r="AE79" i="27"/>
  <c r="AF79" i="27"/>
  <c r="AG79" i="27"/>
  <c r="AH79" i="27"/>
  <c r="AI79" i="27"/>
  <c r="AJ79" i="27"/>
  <c r="AK79" i="27"/>
  <c r="AL79" i="27"/>
  <c r="AM79" i="27"/>
  <c r="AN79" i="27"/>
  <c r="AO79" i="27"/>
  <c r="AP79" i="27"/>
  <c r="AQ79" i="27"/>
  <c r="AC80" i="27"/>
  <c r="AD80" i="27"/>
  <c r="AE80" i="27"/>
  <c r="AF80" i="27"/>
  <c r="AG80" i="27"/>
  <c r="AH80" i="27"/>
  <c r="AI80" i="27"/>
  <c r="AJ80" i="27"/>
  <c r="AK80" i="27"/>
  <c r="AL80" i="27"/>
  <c r="AM80" i="27"/>
  <c r="AN80" i="27"/>
  <c r="AO80" i="27"/>
  <c r="AP80" i="27"/>
  <c r="AQ80" i="27"/>
  <c r="AC81" i="27"/>
  <c r="AD81" i="27"/>
  <c r="AE81" i="27"/>
  <c r="AF81" i="27"/>
  <c r="AG81" i="27"/>
  <c r="AH81" i="27"/>
  <c r="AI81" i="27"/>
  <c r="AJ81" i="27"/>
  <c r="AK81" i="27"/>
  <c r="AL81" i="27"/>
  <c r="AM81" i="27"/>
  <c r="AN81" i="27"/>
  <c r="AO81" i="27"/>
  <c r="AP81" i="27"/>
  <c r="AQ81" i="27"/>
  <c r="AC82" i="27"/>
  <c r="AD82" i="27"/>
  <c r="AE82" i="27"/>
  <c r="AF82" i="27"/>
  <c r="AG82" i="27"/>
  <c r="AH82" i="27"/>
  <c r="AI82" i="27"/>
  <c r="AJ82" i="27"/>
  <c r="AK82" i="27"/>
  <c r="AL82" i="27"/>
  <c r="AM82" i="27"/>
  <c r="AN82" i="27"/>
  <c r="AO82" i="27"/>
  <c r="AP82" i="27"/>
  <c r="AQ82" i="27"/>
  <c r="AC83" i="27"/>
  <c r="AD83" i="27"/>
  <c r="AE83" i="27"/>
  <c r="AF83" i="27"/>
  <c r="AG83" i="27"/>
  <c r="AH83" i="27"/>
  <c r="AI83" i="27"/>
  <c r="AJ83" i="27"/>
  <c r="AK83" i="27"/>
  <c r="AL83" i="27"/>
  <c r="AM83" i="27"/>
  <c r="AN83" i="27"/>
  <c r="AO83" i="27"/>
  <c r="AP83" i="27"/>
  <c r="AQ83" i="27"/>
  <c r="AC84" i="27"/>
  <c r="AD84" i="27"/>
  <c r="AE84" i="27"/>
  <c r="AF84" i="27"/>
  <c r="AG84" i="27"/>
  <c r="AH84" i="27"/>
  <c r="AI84" i="27"/>
  <c r="AJ84" i="27"/>
  <c r="AK84" i="27"/>
  <c r="AL84" i="27"/>
  <c r="AM84" i="27"/>
  <c r="AN84" i="27"/>
  <c r="AO84" i="27"/>
  <c r="AP84" i="27"/>
  <c r="AQ84" i="27"/>
  <c r="AC85" i="27"/>
  <c r="AD85" i="27"/>
  <c r="AE85" i="27"/>
  <c r="AF85" i="27"/>
  <c r="AG85" i="27"/>
  <c r="AH85" i="27"/>
  <c r="AI85" i="27"/>
  <c r="AJ85" i="27"/>
  <c r="AK85" i="27"/>
  <c r="AL85" i="27"/>
  <c r="AM85" i="27"/>
  <c r="AN85" i="27"/>
  <c r="AO85" i="27"/>
  <c r="AP85" i="27"/>
  <c r="AQ85" i="27"/>
  <c r="AC86" i="27"/>
  <c r="AD86" i="27"/>
  <c r="AE86" i="27"/>
  <c r="AF86" i="27"/>
  <c r="AG86" i="27"/>
  <c r="AH86" i="27"/>
  <c r="AI86" i="27"/>
  <c r="AJ86" i="27"/>
  <c r="AK86" i="27"/>
  <c r="AL86" i="27"/>
  <c r="AM86" i="27"/>
  <c r="AN86" i="27"/>
  <c r="AO86" i="27"/>
  <c r="AP86" i="27"/>
  <c r="AQ86" i="27"/>
  <c r="AC87" i="27"/>
  <c r="AD87" i="27"/>
  <c r="AE87" i="27"/>
  <c r="AF87" i="27"/>
  <c r="AG87" i="27"/>
  <c r="AH87" i="27"/>
  <c r="AI87" i="27"/>
  <c r="AJ87" i="27"/>
  <c r="AK87" i="27"/>
  <c r="AL87" i="27"/>
  <c r="AM87" i="27"/>
  <c r="AN87" i="27"/>
  <c r="AO87" i="27"/>
  <c r="AP87" i="27"/>
  <c r="AQ87" i="27"/>
  <c r="AC88" i="27"/>
  <c r="AD88" i="27"/>
  <c r="AE88" i="27"/>
  <c r="AF88" i="27"/>
  <c r="AG88" i="27"/>
  <c r="AH88" i="27"/>
  <c r="AI88" i="27"/>
  <c r="AJ88" i="27"/>
  <c r="AK88" i="27"/>
  <c r="AL88" i="27"/>
  <c r="AM88" i="27"/>
  <c r="AN88" i="27"/>
  <c r="AO88" i="27"/>
  <c r="AP88" i="27"/>
  <c r="AQ88" i="27"/>
  <c r="AC89" i="27"/>
  <c r="AD89" i="27"/>
  <c r="AE89" i="27"/>
  <c r="AF89" i="27"/>
  <c r="AG89" i="27"/>
  <c r="AH89" i="27"/>
  <c r="AI89" i="27"/>
  <c r="AJ89" i="27"/>
  <c r="AK89" i="27"/>
  <c r="AL89" i="27"/>
  <c r="AM89" i="27"/>
  <c r="AN89" i="27"/>
  <c r="AO89" i="27"/>
  <c r="AP89" i="27"/>
  <c r="AQ89" i="27"/>
  <c r="AC90" i="27"/>
  <c r="AD90" i="27"/>
  <c r="AE90" i="27"/>
  <c r="AF90" i="27"/>
  <c r="AG90" i="27"/>
  <c r="AH90" i="27"/>
  <c r="AI90" i="27"/>
  <c r="AJ90" i="27"/>
  <c r="AK90" i="27"/>
  <c r="AL90" i="27"/>
  <c r="AM90" i="27"/>
  <c r="AN90" i="27"/>
  <c r="AO90" i="27"/>
  <c r="AP90" i="27"/>
  <c r="AQ90" i="27"/>
  <c r="AC91" i="27"/>
  <c r="AD91" i="27"/>
  <c r="AE91" i="27"/>
  <c r="AF91" i="27"/>
  <c r="AG91" i="27"/>
  <c r="AH91" i="27"/>
  <c r="AI91" i="27"/>
  <c r="AJ91" i="27"/>
  <c r="AK91" i="27"/>
  <c r="AL91" i="27"/>
  <c r="AM91" i="27"/>
  <c r="AN91" i="27"/>
  <c r="AO91" i="27"/>
  <c r="AP91" i="27"/>
  <c r="AQ91" i="27"/>
  <c r="AC92" i="27"/>
  <c r="AD92" i="27"/>
  <c r="AE92" i="27"/>
  <c r="AF92" i="27"/>
  <c r="AG92" i="27"/>
  <c r="AH92" i="27"/>
  <c r="AI92" i="27"/>
  <c r="AJ92" i="27"/>
  <c r="AK92" i="27"/>
  <c r="AL92" i="27"/>
  <c r="AM92" i="27"/>
  <c r="AN92" i="27"/>
  <c r="AO92" i="27"/>
  <c r="AP92" i="27"/>
  <c r="AQ92" i="27"/>
  <c r="AC93" i="27"/>
  <c r="AD93" i="27"/>
  <c r="AE93" i="27"/>
  <c r="AF93" i="27"/>
  <c r="AG93" i="27"/>
  <c r="AH93" i="27"/>
  <c r="AI93" i="27"/>
  <c r="AJ93" i="27"/>
  <c r="AK93" i="27"/>
  <c r="AL93" i="27"/>
  <c r="AM93" i="27"/>
  <c r="AN93" i="27"/>
  <c r="AO93" i="27"/>
  <c r="AP93" i="27"/>
  <c r="AQ93" i="27"/>
  <c r="AC94" i="27"/>
  <c r="AD94" i="27"/>
  <c r="AE94" i="27"/>
  <c r="AF94" i="27"/>
  <c r="AG94" i="27"/>
  <c r="AH94" i="27"/>
  <c r="AI94" i="27"/>
  <c r="AJ94" i="27"/>
  <c r="AK94" i="27"/>
  <c r="AL94" i="27"/>
  <c r="AM94" i="27"/>
  <c r="AN94" i="27"/>
  <c r="AO94" i="27"/>
  <c r="AP94" i="27"/>
  <c r="AQ94" i="27"/>
  <c r="AC95" i="27"/>
  <c r="AD95" i="27"/>
  <c r="AE95" i="27"/>
  <c r="AF95" i="27"/>
  <c r="AG95" i="27"/>
  <c r="AH95" i="27"/>
  <c r="AI95" i="27"/>
  <c r="AJ95" i="27"/>
  <c r="AK95" i="27"/>
  <c r="AL95" i="27"/>
  <c r="AM95" i="27"/>
  <c r="AN95" i="27"/>
  <c r="AO95" i="27"/>
  <c r="AP95" i="27"/>
  <c r="AQ95" i="27"/>
  <c r="AC96" i="27"/>
  <c r="AD96" i="27"/>
  <c r="AE96" i="27"/>
  <c r="AF96" i="27"/>
  <c r="AG96" i="27"/>
  <c r="AH96" i="27"/>
  <c r="AI96" i="27"/>
  <c r="AJ96" i="27"/>
  <c r="AK96" i="27"/>
  <c r="AL96" i="27"/>
  <c r="AM96" i="27"/>
  <c r="AN96" i="27"/>
  <c r="AO96" i="27"/>
  <c r="AP96" i="27"/>
  <c r="AQ96" i="27"/>
  <c r="AC97" i="27"/>
  <c r="AD97" i="27"/>
  <c r="AE97" i="27"/>
  <c r="AF97" i="27"/>
  <c r="AG97" i="27"/>
  <c r="AH97" i="27"/>
  <c r="AI97" i="27"/>
  <c r="AJ97" i="27"/>
  <c r="AK97" i="27"/>
  <c r="AL97" i="27"/>
  <c r="AM97" i="27"/>
  <c r="AN97" i="27"/>
  <c r="AO97" i="27"/>
  <c r="AP97" i="27"/>
  <c r="AQ97" i="27"/>
  <c r="AC98" i="27"/>
  <c r="AD98" i="27"/>
  <c r="AE98" i="27"/>
  <c r="AF98" i="27"/>
  <c r="AG98" i="27"/>
  <c r="AH98" i="27"/>
  <c r="AI98" i="27"/>
  <c r="AJ98" i="27"/>
  <c r="AK98" i="27"/>
  <c r="AL98" i="27"/>
  <c r="AM98" i="27"/>
  <c r="AN98" i="27"/>
  <c r="AO98" i="27"/>
  <c r="AP98" i="27"/>
  <c r="AQ98" i="27"/>
  <c r="AC99" i="27"/>
  <c r="AD99" i="27"/>
  <c r="AE99" i="27"/>
  <c r="AF99" i="27"/>
  <c r="AG99" i="27"/>
  <c r="AH99" i="27"/>
  <c r="AI99" i="27"/>
  <c r="AJ99" i="27"/>
  <c r="AK99" i="27"/>
  <c r="AL99" i="27"/>
  <c r="AM99" i="27"/>
  <c r="AN99" i="27"/>
  <c r="AO99" i="27"/>
  <c r="AP99" i="27"/>
  <c r="AQ99" i="27"/>
  <c r="AC100" i="27"/>
  <c r="AD100" i="27"/>
  <c r="AE100" i="27"/>
  <c r="AF100" i="27"/>
  <c r="AG100" i="27"/>
  <c r="AH100" i="27"/>
  <c r="AI100" i="27"/>
  <c r="AJ100" i="27"/>
  <c r="AK100" i="27"/>
  <c r="AL100" i="27"/>
  <c r="AM100" i="27"/>
  <c r="AN100" i="27"/>
  <c r="AO100" i="27"/>
  <c r="AP100" i="27"/>
  <c r="AQ100" i="27"/>
  <c r="AC101" i="27"/>
  <c r="AD101" i="27"/>
  <c r="AE101" i="27"/>
  <c r="AF101" i="27"/>
  <c r="AG101" i="27"/>
  <c r="AH101" i="27"/>
  <c r="AI101" i="27"/>
  <c r="AJ101" i="27"/>
  <c r="AK101" i="27"/>
  <c r="AL101" i="27"/>
  <c r="AM101" i="27"/>
  <c r="AN101" i="27"/>
  <c r="AO101" i="27"/>
  <c r="AP101" i="27"/>
  <c r="AQ101" i="27"/>
  <c r="AC102" i="27"/>
  <c r="AD102" i="27"/>
  <c r="AE102" i="27"/>
  <c r="AF102" i="27"/>
  <c r="AG102" i="27"/>
  <c r="AH102" i="27"/>
  <c r="AI102" i="27"/>
  <c r="AJ102" i="27"/>
  <c r="AK102" i="27"/>
  <c r="AL102" i="27"/>
  <c r="AM102" i="27"/>
  <c r="AN102" i="27"/>
  <c r="AO102" i="27"/>
  <c r="AP102" i="27"/>
  <c r="AQ102" i="27"/>
  <c r="AC103" i="27"/>
  <c r="AD103" i="27"/>
  <c r="AE103" i="27"/>
  <c r="AF103" i="27"/>
  <c r="AG103" i="27"/>
  <c r="AH103" i="27"/>
  <c r="AI103" i="27"/>
  <c r="AJ103" i="27"/>
  <c r="AK103" i="27"/>
  <c r="AL103" i="27"/>
  <c r="AM103" i="27"/>
  <c r="AN103" i="27"/>
  <c r="AO103" i="27"/>
  <c r="AP103" i="27"/>
  <c r="AQ103" i="27"/>
  <c r="AC104" i="27"/>
  <c r="AD104" i="27"/>
  <c r="AE104" i="27"/>
  <c r="AF104" i="27"/>
  <c r="AG104" i="27"/>
  <c r="AH104" i="27"/>
  <c r="AI104" i="27"/>
  <c r="AJ104" i="27"/>
  <c r="AK104" i="27"/>
  <c r="AL104" i="27"/>
  <c r="AM104" i="27"/>
  <c r="AN104" i="27"/>
  <c r="AO104" i="27"/>
  <c r="AP104" i="27"/>
  <c r="AQ104" i="27"/>
  <c r="AC105" i="27"/>
  <c r="AD105" i="27"/>
  <c r="AE105" i="27"/>
  <c r="AF105" i="27"/>
  <c r="AG105" i="27"/>
  <c r="AH105" i="27"/>
  <c r="AI105" i="27"/>
  <c r="AJ105" i="27"/>
  <c r="AK105" i="27"/>
  <c r="AL105" i="27"/>
  <c r="AM105" i="27"/>
  <c r="AN105" i="27"/>
  <c r="AO105" i="27"/>
  <c r="AP105" i="27"/>
  <c r="AQ105" i="27"/>
  <c r="AC106" i="27"/>
  <c r="AD106" i="27"/>
  <c r="AE106" i="27"/>
  <c r="AF106" i="27"/>
  <c r="AG106" i="27"/>
  <c r="AH106" i="27"/>
  <c r="AI106" i="27"/>
  <c r="AJ106" i="27"/>
  <c r="AK106" i="27"/>
  <c r="AL106" i="27"/>
  <c r="AM106" i="27"/>
  <c r="AN106" i="27"/>
  <c r="AO106" i="27"/>
  <c r="AP106" i="27"/>
  <c r="AQ106" i="27"/>
  <c r="AC107" i="27"/>
  <c r="AD107" i="27"/>
  <c r="AE107" i="27"/>
  <c r="AF107" i="27"/>
  <c r="AG107" i="27"/>
  <c r="AH107" i="27"/>
  <c r="AI107" i="27"/>
  <c r="AJ107" i="27"/>
  <c r="AK107" i="27"/>
  <c r="AL107" i="27"/>
  <c r="AM107" i="27"/>
  <c r="AN107" i="27"/>
  <c r="AO107" i="27"/>
  <c r="AP107" i="27"/>
  <c r="AQ107" i="27"/>
  <c r="AC108" i="27"/>
  <c r="AD108" i="27"/>
  <c r="AE108" i="27"/>
  <c r="AF108" i="27"/>
  <c r="AG108" i="27"/>
  <c r="AH108" i="27"/>
  <c r="AI108" i="27"/>
  <c r="AJ108" i="27"/>
  <c r="AK108" i="27"/>
  <c r="AL108" i="27"/>
  <c r="AM108" i="27"/>
  <c r="AN108" i="27"/>
  <c r="AO108" i="27"/>
  <c r="AP108" i="27"/>
  <c r="AQ108" i="27"/>
  <c r="AC109" i="27"/>
  <c r="AD109" i="27"/>
  <c r="AE109" i="27"/>
  <c r="AF109" i="27"/>
  <c r="AG109" i="27"/>
  <c r="AH109" i="27"/>
  <c r="AI109" i="27"/>
  <c r="AJ109" i="27"/>
  <c r="AK109" i="27"/>
  <c r="AL109" i="27"/>
  <c r="AM109" i="27"/>
  <c r="AN109" i="27"/>
  <c r="AO109" i="27"/>
  <c r="AP109" i="27"/>
  <c r="AQ109" i="27"/>
  <c r="AC110" i="27"/>
  <c r="AD110" i="27"/>
  <c r="AE110" i="27"/>
  <c r="AF110" i="27"/>
  <c r="AG110" i="27"/>
  <c r="AH110" i="27"/>
  <c r="AI110" i="27"/>
  <c r="AJ110" i="27"/>
  <c r="AK110" i="27"/>
  <c r="AL110" i="27"/>
  <c r="AM110" i="27"/>
  <c r="AN110" i="27"/>
  <c r="AO110" i="27"/>
  <c r="AP110" i="27"/>
  <c r="AQ110" i="27"/>
  <c r="AC111" i="27"/>
  <c r="AD111" i="27"/>
  <c r="AE111" i="27"/>
  <c r="AF111" i="27"/>
  <c r="AG111" i="27"/>
  <c r="AH111" i="27"/>
  <c r="AI111" i="27"/>
  <c r="AJ111" i="27"/>
  <c r="AK111" i="27"/>
  <c r="AL111" i="27"/>
  <c r="AM111" i="27"/>
  <c r="AN111" i="27"/>
  <c r="AO111" i="27"/>
  <c r="AP111" i="27"/>
  <c r="AQ111" i="27"/>
  <c r="AC112" i="27"/>
  <c r="AD112" i="27"/>
  <c r="AE112" i="27"/>
  <c r="AF112" i="27"/>
  <c r="AG112" i="27"/>
  <c r="AH112" i="27"/>
  <c r="AI112" i="27"/>
  <c r="AJ112" i="27"/>
  <c r="AK112" i="27"/>
  <c r="AL112" i="27"/>
  <c r="AM112" i="27"/>
  <c r="AN112" i="27"/>
  <c r="AO112" i="27"/>
  <c r="AP112" i="27"/>
  <c r="AQ112" i="27"/>
  <c r="AC113" i="27"/>
  <c r="AD113" i="27"/>
  <c r="AE113" i="27"/>
  <c r="AF113" i="27"/>
  <c r="AG113" i="27"/>
  <c r="AH113" i="27"/>
  <c r="AI113" i="27"/>
  <c r="AJ113" i="27"/>
  <c r="AK113" i="27"/>
  <c r="AL113" i="27"/>
  <c r="AM113" i="27"/>
  <c r="AN113" i="27"/>
  <c r="AO113" i="27"/>
  <c r="AP113" i="27"/>
  <c r="AQ113" i="27"/>
  <c r="AC114" i="27"/>
  <c r="AD114" i="27"/>
  <c r="AE114" i="27"/>
  <c r="AF114" i="27"/>
  <c r="AG114" i="27"/>
  <c r="AH114" i="27"/>
  <c r="AI114" i="27"/>
  <c r="AJ114" i="27"/>
  <c r="AK114" i="27"/>
  <c r="AL114" i="27"/>
  <c r="AM114" i="27"/>
  <c r="AN114" i="27"/>
  <c r="AO114" i="27"/>
  <c r="AP114" i="27"/>
  <c r="AQ114" i="27"/>
  <c r="AC115" i="27"/>
  <c r="AD115" i="27"/>
  <c r="AE115" i="27"/>
  <c r="AF115" i="27"/>
  <c r="AG115" i="27"/>
  <c r="AH115" i="27"/>
  <c r="AI115" i="27"/>
  <c r="AJ115" i="27"/>
  <c r="AK115" i="27"/>
  <c r="AL115" i="27"/>
  <c r="AM115" i="27"/>
  <c r="AN115" i="27"/>
  <c r="AO115" i="27"/>
  <c r="AP115" i="27"/>
  <c r="AQ115" i="27"/>
  <c r="AC116" i="27"/>
  <c r="AD116" i="27"/>
  <c r="AE116" i="27"/>
  <c r="AF116" i="27"/>
  <c r="AG116" i="27"/>
  <c r="AH116" i="27"/>
  <c r="AI116" i="27"/>
  <c r="AJ116" i="27"/>
  <c r="AK116" i="27"/>
  <c r="AL116" i="27"/>
  <c r="AM116" i="27"/>
  <c r="AN116" i="27"/>
  <c r="AO116" i="27"/>
  <c r="AP116" i="27"/>
  <c r="AQ116" i="27"/>
  <c r="AC117" i="27"/>
  <c r="AD117" i="27"/>
  <c r="AE117" i="27"/>
  <c r="AF117" i="27"/>
  <c r="AG117" i="27"/>
  <c r="AH117" i="27"/>
  <c r="AI117" i="27"/>
  <c r="AJ117" i="27"/>
  <c r="AK117" i="27"/>
  <c r="AL117" i="27"/>
  <c r="AM117" i="27"/>
  <c r="AN117" i="27"/>
  <c r="AO117" i="27"/>
  <c r="AP117" i="27"/>
  <c r="AQ117" i="27"/>
  <c r="AC118" i="27"/>
  <c r="AD118" i="27"/>
  <c r="AE118" i="27"/>
  <c r="AF118" i="27"/>
  <c r="AG118" i="27"/>
  <c r="AH118" i="27"/>
  <c r="AI118" i="27"/>
  <c r="AJ118" i="27"/>
  <c r="AK118" i="27"/>
  <c r="AL118" i="27"/>
  <c r="AM118" i="27"/>
  <c r="AN118" i="27"/>
  <c r="AO118" i="27"/>
  <c r="AP118" i="27"/>
  <c r="AQ118" i="27"/>
  <c r="AC119" i="27"/>
  <c r="AD119" i="27"/>
  <c r="AE119" i="27"/>
  <c r="AF119" i="27"/>
  <c r="AG119" i="27"/>
  <c r="AH119" i="27"/>
  <c r="AI119" i="27"/>
  <c r="AJ119" i="27"/>
  <c r="AK119" i="27"/>
  <c r="AL119" i="27"/>
  <c r="AM119" i="27"/>
  <c r="AN119" i="27"/>
  <c r="AO119" i="27"/>
  <c r="AP119" i="27"/>
  <c r="AQ119" i="27"/>
  <c r="AC120" i="27"/>
  <c r="AD120" i="27"/>
  <c r="AE120" i="27"/>
  <c r="AF120" i="27"/>
  <c r="AG120" i="27"/>
  <c r="AH120" i="27"/>
  <c r="AI120" i="27"/>
  <c r="AJ120" i="27"/>
  <c r="AK120" i="27"/>
  <c r="AL120" i="27"/>
  <c r="AM120" i="27"/>
  <c r="AN120" i="27"/>
  <c r="AO120" i="27"/>
  <c r="AP120" i="27"/>
  <c r="AQ120" i="27"/>
  <c r="AC121" i="27"/>
  <c r="AD121" i="27"/>
  <c r="AE121" i="27"/>
  <c r="AF121" i="27"/>
  <c r="AG121" i="27"/>
  <c r="AH121" i="27"/>
  <c r="AI121" i="27"/>
  <c r="AJ121" i="27"/>
  <c r="AK121" i="27"/>
  <c r="AL121" i="27"/>
  <c r="AM121" i="27"/>
  <c r="AN121" i="27"/>
  <c r="AO121" i="27"/>
  <c r="AP121" i="27"/>
  <c r="AQ121" i="27"/>
  <c r="AC122" i="27"/>
  <c r="AD122" i="27"/>
  <c r="AE122" i="27"/>
  <c r="AF122" i="27"/>
  <c r="AG122" i="27"/>
  <c r="AH122" i="27"/>
  <c r="AI122" i="27"/>
  <c r="AJ122" i="27"/>
  <c r="AK122" i="27"/>
  <c r="AL122" i="27"/>
  <c r="AM122" i="27"/>
  <c r="AN122" i="27"/>
  <c r="AO122" i="27"/>
  <c r="AP122" i="27"/>
  <c r="AQ122" i="27"/>
  <c r="AC123" i="27"/>
  <c r="AD123" i="27"/>
  <c r="AE123" i="27"/>
  <c r="AF123" i="27"/>
  <c r="AG123" i="27"/>
  <c r="AH123" i="27"/>
  <c r="AI123" i="27"/>
  <c r="AJ123" i="27"/>
  <c r="AK123" i="27"/>
  <c r="AL123" i="27"/>
  <c r="AM123" i="27"/>
  <c r="AN123" i="27"/>
  <c r="AO123" i="27"/>
  <c r="AP123" i="27"/>
  <c r="AQ123" i="27"/>
  <c r="AC124" i="27"/>
  <c r="AD124" i="27"/>
  <c r="AE124" i="27"/>
  <c r="AF124" i="27"/>
  <c r="AG124" i="27"/>
  <c r="AH124" i="27"/>
  <c r="AI124" i="27"/>
  <c r="AJ124" i="27"/>
  <c r="AK124" i="27"/>
  <c r="AL124" i="27"/>
  <c r="AM124" i="27"/>
  <c r="AN124" i="27"/>
  <c r="AO124" i="27"/>
  <c r="AP124" i="27"/>
  <c r="AQ124" i="27"/>
  <c r="AC125" i="27"/>
  <c r="AD125" i="27"/>
  <c r="AE125" i="27"/>
  <c r="AF125" i="27"/>
  <c r="AG125" i="27"/>
  <c r="AH125" i="27"/>
  <c r="AI125" i="27"/>
  <c r="AJ125" i="27"/>
  <c r="AK125" i="27"/>
  <c r="AL125" i="27"/>
  <c r="AM125" i="27"/>
  <c r="AN125" i="27"/>
  <c r="AO125" i="27"/>
  <c r="AP125" i="27"/>
  <c r="AQ125" i="27"/>
  <c r="AC126" i="27"/>
  <c r="AD126" i="27"/>
  <c r="AE126" i="27"/>
  <c r="AF126" i="27"/>
  <c r="AG126" i="27"/>
  <c r="AH126" i="27"/>
  <c r="AI126" i="27"/>
  <c r="AJ126" i="27"/>
  <c r="AK126" i="27"/>
  <c r="AL126" i="27"/>
  <c r="AM126" i="27"/>
  <c r="AN126" i="27"/>
  <c r="AO126" i="27"/>
  <c r="AP126" i="27"/>
  <c r="AQ126" i="27"/>
  <c r="AC127" i="27"/>
  <c r="AD127" i="27"/>
  <c r="AE127" i="27"/>
  <c r="AF127" i="27"/>
  <c r="AG127" i="27"/>
  <c r="AH127" i="27"/>
  <c r="AI127" i="27"/>
  <c r="AJ127" i="27"/>
  <c r="AK127" i="27"/>
  <c r="AL127" i="27"/>
  <c r="AM127" i="27"/>
  <c r="AN127" i="27"/>
  <c r="AO127" i="27"/>
  <c r="AP127" i="27"/>
  <c r="AQ127" i="27"/>
  <c r="AC128" i="27"/>
  <c r="AD128" i="27"/>
  <c r="AE128" i="27"/>
  <c r="AF128" i="27"/>
  <c r="AG128" i="27"/>
  <c r="AH128" i="27"/>
  <c r="AI128" i="27"/>
  <c r="AJ128" i="27"/>
  <c r="AK128" i="27"/>
  <c r="AL128" i="27"/>
  <c r="AM128" i="27"/>
  <c r="AN128" i="27"/>
  <c r="AO128" i="27"/>
  <c r="AP128" i="27"/>
  <c r="AQ128" i="27"/>
  <c r="AC129" i="27"/>
  <c r="AD129" i="27"/>
  <c r="AE129" i="27"/>
  <c r="AF129" i="27"/>
  <c r="AG129" i="27"/>
  <c r="AH129" i="27"/>
  <c r="AI129" i="27"/>
  <c r="AJ129" i="27"/>
  <c r="AK129" i="27"/>
  <c r="AL129" i="27"/>
  <c r="AM129" i="27"/>
  <c r="AN129" i="27"/>
  <c r="AO129" i="27"/>
  <c r="AP129" i="27"/>
  <c r="AQ129" i="27"/>
  <c r="AC130" i="27"/>
  <c r="AD130" i="27"/>
  <c r="AE130" i="27"/>
  <c r="AF130" i="27"/>
  <c r="AG130" i="27"/>
  <c r="AH130" i="27"/>
  <c r="AI130" i="27"/>
  <c r="AJ130" i="27"/>
  <c r="AK130" i="27"/>
  <c r="AL130" i="27"/>
  <c r="AM130" i="27"/>
  <c r="AN130" i="27"/>
  <c r="AO130" i="27"/>
  <c r="AP130" i="27"/>
  <c r="AQ130" i="27"/>
  <c r="AC131" i="27"/>
  <c r="AD131" i="27"/>
  <c r="AE131" i="27"/>
  <c r="AF131" i="27"/>
  <c r="AG131" i="27"/>
  <c r="AH131" i="27"/>
  <c r="AI131" i="27"/>
  <c r="AJ131" i="27"/>
  <c r="AK131" i="27"/>
  <c r="AL131" i="27"/>
  <c r="AM131" i="27"/>
  <c r="AN131" i="27"/>
  <c r="AO131" i="27"/>
  <c r="AP131" i="27"/>
  <c r="AQ131" i="27"/>
  <c r="AC132" i="27"/>
  <c r="AD132" i="27"/>
  <c r="AE132" i="27"/>
  <c r="AF132" i="27"/>
  <c r="AG132" i="27"/>
  <c r="AH132" i="27"/>
  <c r="AI132" i="27"/>
  <c r="AJ132" i="27"/>
  <c r="AK132" i="27"/>
  <c r="AL132" i="27"/>
  <c r="AM132" i="27"/>
  <c r="AN132" i="27"/>
  <c r="AO132" i="27"/>
  <c r="AP132" i="27"/>
  <c r="AQ132" i="27"/>
  <c r="AC133" i="27"/>
  <c r="AD133" i="27"/>
  <c r="AE133" i="27"/>
  <c r="AF133" i="27"/>
  <c r="AG133" i="27"/>
  <c r="AH133" i="27"/>
  <c r="AI133" i="27"/>
  <c r="AJ133" i="27"/>
  <c r="AK133" i="27"/>
  <c r="AL133" i="27"/>
  <c r="AM133" i="27"/>
  <c r="AN133" i="27"/>
  <c r="AO133" i="27"/>
  <c r="AP133" i="27"/>
  <c r="AQ133" i="27"/>
  <c r="AC134" i="27"/>
  <c r="AD134" i="27"/>
  <c r="AE134" i="27"/>
  <c r="AF134" i="27"/>
  <c r="AG134" i="27"/>
  <c r="AH134" i="27"/>
  <c r="AI134" i="27"/>
  <c r="AJ134" i="27"/>
  <c r="AK134" i="27"/>
  <c r="AL134" i="27"/>
  <c r="AM134" i="27"/>
  <c r="AN134" i="27"/>
  <c r="AO134" i="27"/>
  <c r="AP134" i="27"/>
  <c r="AQ134" i="27"/>
  <c r="AC135" i="27"/>
  <c r="AD135" i="27"/>
  <c r="AE135" i="27"/>
  <c r="AF135" i="27"/>
  <c r="AG135" i="27"/>
  <c r="AH135" i="27"/>
  <c r="AI135" i="27"/>
  <c r="AJ135" i="27"/>
  <c r="AK135" i="27"/>
  <c r="AL135" i="27"/>
  <c r="AM135" i="27"/>
  <c r="AN135" i="27"/>
  <c r="AO135" i="27"/>
  <c r="AP135" i="27"/>
  <c r="AQ135" i="27"/>
  <c r="AC136" i="27"/>
  <c r="AD136" i="27"/>
  <c r="AE136" i="27"/>
  <c r="AF136" i="27"/>
  <c r="AG136" i="27"/>
  <c r="AH136" i="27"/>
  <c r="AI136" i="27"/>
  <c r="AJ136" i="27"/>
  <c r="AK136" i="27"/>
  <c r="AL136" i="27"/>
  <c r="AM136" i="27"/>
  <c r="AN136" i="27"/>
  <c r="AO136" i="27"/>
  <c r="AP136" i="27"/>
  <c r="AQ136" i="27"/>
  <c r="AC137" i="27"/>
  <c r="AD137" i="27"/>
  <c r="AE137" i="27"/>
  <c r="AF137" i="27"/>
  <c r="AG137" i="27"/>
  <c r="AH137" i="27"/>
  <c r="AI137" i="27"/>
  <c r="AJ137" i="27"/>
  <c r="AK137" i="27"/>
  <c r="AL137" i="27"/>
  <c r="AM137" i="27"/>
  <c r="AN137" i="27"/>
  <c r="AO137" i="27"/>
  <c r="AP137" i="27"/>
  <c r="AQ137" i="27"/>
  <c r="AC138" i="27"/>
  <c r="AD138" i="27"/>
  <c r="AE138" i="27"/>
  <c r="AF138" i="27"/>
  <c r="AG138" i="27"/>
  <c r="AH138" i="27"/>
  <c r="AI138" i="27"/>
  <c r="AJ138" i="27"/>
  <c r="AK138" i="27"/>
  <c r="AL138" i="27"/>
  <c r="AM138" i="27"/>
  <c r="AN138" i="27"/>
  <c r="AO138" i="27"/>
  <c r="AP138" i="27"/>
  <c r="AQ138" i="27"/>
  <c r="AC139" i="27"/>
  <c r="AD139" i="27"/>
  <c r="AE139" i="27"/>
  <c r="AF139" i="27"/>
  <c r="AG139" i="27"/>
  <c r="AH139" i="27"/>
  <c r="AI139" i="27"/>
  <c r="AJ139" i="27"/>
  <c r="AK139" i="27"/>
  <c r="AL139" i="27"/>
  <c r="AM139" i="27"/>
  <c r="AN139" i="27"/>
  <c r="AO139" i="27"/>
  <c r="AP139" i="27"/>
  <c r="AQ139" i="27"/>
  <c r="AC140" i="27"/>
  <c r="AD140" i="27"/>
  <c r="AE140" i="27"/>
  <c r="AF140" i="27"/>
  <c r="AG140" i="27"/>
  <c r="AH140" i="27"/>
  <c r="AI140" i="27"/>
  <c r="AJ140" i="27"/>
  <c r="AK140" i="27"/>
  <c r="AL140" i="27"/>
  <c r="AM140" i="27"/>
  <c r="AN140" i="27"/>
  <c r="AO140" i="27"/>
  <c r="AP140" i="27"/>
  <c r="AQ140" i="27"/>
  <c r="AC141" i="27"/>
  <c r="AD141" i="27"/>
  <c r="AE141" i="27"/>
  <c r="AF141" i="27"/>
  <c r="AG141" i="27"/>
  <c r="AH141" i="27"/>
  <c r="AI141" i="27"/>
  <c r="AJ141" i="27"/>
  <c r="AK141" i="27"/>
  <c r="AL141" i="27"/>
  <c r="AM141" i="27"/>
  <c r="AN141" i="27"/>
  <c r="AO141" i="27"/>
  <c r="AP141" i="27"/>
  <c r="AQ141" i="27"/>
  <c r="AC142" i="27"/>
  <c r="AD142" i="27"/>
  <c r="AE142" i="27"/>
  <c r="AF142" i="27"/>
  <c r="AG142" i="27"/>
  <c r="AH142" i="27"/>
  <c r="AI142" i="27"/>
  <c r="AJ142" i="27"/>
  <c r="AK142" i="27"/>
  <c r="AL142" i="27"/>
  <c r="AM142" i="27"/>
  <c r="AN142" i="27"/>
  <c r="AO142" i="27"/>
  <c r="AP142" i="27"/>
  <c r="AQ142" i="27"/>
  <c r="AC143" i="27"/>
  <c r="AD143" i="27"/>
  <c r="AE143" i="27"/>
  <c r="AF143" i="27"/>
  <c r="AG143" i="27"/>
  <c r="AH143" i="27"/>
  <c r="AI143" i="27"/>
  <c r="AJ143" i="27"/>
  <c r="AK143" i="27"/>
  <c r="AL143" i="27"/>
  <c r="AM143" i="27"/>
  <c r="AN143" i="27"/>
  <c r="AO143" i="27"/>
  <c r="AP143" i="27"/>
  <c r="AQ143" i="27"/>
  <c r="AC144" i="27"/>
  <c r="AD144" i="27"/>
  <c r="AE144" i="27"/>
  <c r="AF144" i="27"/>
  <c r="AG144" i="27"/>
  <c r="AH144" i="27"/>
  <c r="AI144" i="27"/>
  <c r="AJ144" i="27"/>
  <c r="AK144" i="27"/>
  <c r="AL144" i="27"/>
  <c r="AM144" i="27"/>
  <c r="AN144" i="27"/>
  <c r="AO144" i="27"/>
  <c r="AP144" i="27"/>
  <c r="AQ144" i="27"/>
  <c r="AC145" i="27"/>
  <c r="AD145" i="27"/>
  <c r="AE145" i="27"/>
  <c r="AF145" i="27"/>
  <c r="AG145" i="27"/>
  <c r="AH145" i="27"/>
  <c r="AI145" i="27"/>
  <c r="AJ145" i="27"/>
  <c r="AK145" i="27"/>
  <c r="AL145" i="27"/>
  <c r="AM145" i="27"/>
  <c r="AN145" i="27"/>
  <c r="AO145" i="27"/>
  <c r="AP145" i="27"/>
  <c r="AQ145" i="27"/>
  <c r="AC146" i="27"/>
  <c r="AD146" i="27"/>
  <c r="AE146" i="27"/>
  <c r="AF146" i="27"/>
  <c r="AG146" i="27"/>
  <c r="AH146" i="27"/>
  <c r="AI146" i="27"/>
  <c r="AJ146" i="27"/>
  <c r="AK146" i="27"/>
  <c r="AL146" i="27"/>
  <c r="AM146" i="27"/>
  <c r="AN146" i="27"/>
  <c r="AO146" i="27"/>
  <c r="AP146" i="27"/>
  <c r="AQ146" i="27"/>
  <c r="AC147" i="27"/>
  <c r="AD147" i="27"/>
  <c r="AE147" i="27"/>
  <c r="AF147" i="27"/>
  <c r="AG147" i="27"/>
  <c r="AH147" i="27"/>
  <c r="AI147" i="27"/>
  <c r="AJ147" i="27"/>
  <c r="AK147" i="27"/>
  <c r="AL147" i="27"/>
  <c r="AM147" i="27"/>
  <c r="AN147" i="27"/>
  <c r="AO147" i="27"/>
  <c r="AP147" i="27"/>
  <c r="AQ147" i="27"/>
  <c r="AC148" i="27"/>
  <c r="AD148" i="27"/>
  <c r="AE148" i="27"/>
  <c r="AF148" i="27"/>
  <c r="AG148" i="27"/>
  <c r="AH148" i="27"/>
  <c r="AI148" i="27"/>
  <c r="AJ148" i="27"/>
  <c r="AK148" i="27"/>
  <c r="AL148" i="27"/>
  <c r="AM148" i="27"/>
  <c r="AN148" i="27"/>
  <c r="AO148" i="27"/>
  <c r="AP148" i="27"/>
  <c r="AQ148" i="27"/>
  <c r="AC149" i="27"/>
  <c r="AD149" i="27"/>
  <c r="AE149" i="27"/>
  <c r="AF149" i="27"/>
  <c r="AG149" i="27"/>
  <c r="AH149" i="27"/>
  <c r="AI149" i="27"/>
  <c r="AJ149" i="27"/>
  <c r="AK149" i="27"/>
  <c r="AL149" i="27"/>
  <c r="AM149" i="27"/>
  <c r="AN149" i="27"/>
  <c r="AO149" i="27"/>
  <c r="AP149" i="27"/>
  <c r="AQ149" i="27"/>
  <c r="AC150" i="27"/>
  <c r="AD150" i="27"/>
  <c r="AE150" i="27"/>
  <c r="AF150" i="27"/>
  <c r="AG150" i="27"/>
  <c r="AH150" i="27"/>
  <c r="AI150" i="27"/>
  <c r="AJ150" i="27"/>
  <c r="AK150" i="27"/>
  <c r="AL150" i="27"/>
  <c r="AM150" i="27"/>
  <c r="AN150" i="27"/>
  <c r="AO150" i="27"/>
  <c r="AP150" i="27"/>
  <c r="AQ150" i="27"/>
  <c r="AC151" i="27"/>
  <c r="AD151" i="27"/>
  <c r="AE151" i="27"/>
  <c r="AF151" i="27"/>
  <c r="AG151" i="27"/>
  <c r="AH151" i="27"/>
  <c r="AI151" i="27"/>
  <c r="AJ151" i="27"/>
  <c r="AK151" i="27"/>
  <c r="AL151" i="27"/>
  <c r="AM151" i="27"/>
  <c r="AN151" i="27"/>
  <c r="AO151" i="27"/>
  <c r="AP151" i="27"/>
  <c r="AQ151" i="27"/>
  <c r="AC152" i="27"/>
  <c r="AD152" i="27"/>
  <c r="AE152" i="27"/>
  <c r="AF152" i="27"/>
  <c r="AG152" i="27"/>
  <c r="AH152" i="27"/>
  <c r="AI152" i="27"/>
  <c r="AJ152" i="27"/>
  <c r="AK152" i="27"/>
  <c r="AL152" i="27"/>
  <c r="AM152" i="27"/>
  <c r="AN152" i="27"/>
  <c r="AO152" i="27"/>
  <c r="AP152" i="27"/>
  <c r="AQ152" i="27"/>
  <c r="AC153" i="27"/>
  <c r="AD153" i="27"/>
  <c r="AE153" i="27"/>
  <c r="AF153" i="27"/>
  <c r="AG153" i="27"/>
  <c r="AH153" i="27"/>
  <c r="AI153" i="27"/>
  <c r="AJ153" i="27"/>
  <c r="AK153" i="27"/>
  <c r="AL153" i="27"/>
  <c r="AM153" i="27"/>
  <c r="AN153" i="27"/>
  <c r="AO153" i="27"/>
  <c r="AP153" i="27"/>
  <c r="AQ153" i="27"/>
  <c r="AC154" i="27"/>
  <c r="AD154" i="27"/>
  <c r="AE154" i="27"/>
  <c r="AF154" i="27"/>
  <c r="AG154" i="27"/>
  <c r="AH154" i="27"/>
  <c r="AI154" i="27"/>
  <c r="AJ154" i="27"/>
  <c r="AK154" i="27"/>
  <c r="AL154" i="27"/>
  <c r="AM154" i="27"/>
  <c r="AN154" i="27"/>
  <c r="AO154" i="27"/>
  <c r="AP154" i="27"/>
  <c r="AQ154" i="27"/>
  <c r="AC155" i="27"/>
  <c r="AD155" i="27"/>
  <c r="AE155" i="27"/>
  <c r="AF155" i="27"/>
  <c r="AG155" i="27"/>
  <c r="AH155" i="27"/>
  <c r="AI155" i="27"/>
  <c r="AJ155" i="27"/>
  <c r="AK155" i="27"/>
  <c r="AL155" i="27"/>
  <c r="AM155" i="27"/>
  <c r="AN155" i="27"/>
  <c r="AO155" i="27"/>
  <c r="AP155" i="27"/>
  <c r="AQ155" i="27"/>
  <c r="AC156" i="27"/>
  <c r="AD156" i="27"/>
  <c r="AE156" i="27"/>
  <c r="AF156" i="27"/>
  <c r="AG156" i="27"/>
  <c r="AH156" i="27"/>
  <c r="AI156" i="27"/>
  <c r="AJ156" i="27"/>
  <c r="AK156" i="27"/>
  <c r="AL156" i="27"/>
  <c r="AM156" i="27"/>
  <c r="AN156" i="27"/>
  <c r="AO156" i="27"/>
  <c r="AP156" i="27"/>
  <c r="AQ156" i="27"/>
  <c r="AC157" i="27"/>
  <c r="AD157" i="27"/>
  <c r="AE157" i="27"/>
  <c r="AF157" i="27"/>
  <c r="AG157" i="27"/>
  <c r="AH157" i="27"/>
  <c r="AI157" i="27"/>
  <c r="AJ157" i="27"/>
  <c r="AK157" i="27"/>
  <c r="AL157" i="27"/>
  <c r="AM157" i="27"/>
  <c r="AN157" i="27"/>
  <c r="AO157" i="27"/>
  <c r="AP157" i="27"/>
  <c r="AQ157" i="27"/>
  <c r="AC158" i="27"/>
  <c r="AD158" i="27"/>
  <c r="AE158" i="27"/>
  <c r="AF158" i="27"/>
  <c r="AG158" i="27"/>
  <c r="AH158" i="27"/>
  <c r="AI158" i="27"/>
  <c r="AJ158" i="27"/>
  <c r="AK158" i="27"/>
  <c r="AL158" i="27"/>
  <c r="AM158" i="27"/>
  <c r="AN158" i="27"/>
  <c r="AO158" i="27"/>
  <c r="AP158" i="27"/>
  <c r="AQ158" i="27"/>
  <c r="AC159" i="27"/>
  <c r="AD159" i="27"/>
  <c r="AE159" i="27"/>
  <c r="AF159" i="27"/>
  <c r="AG159" i="27"/>
  <c r="AH159" i="27"/>
  <c r="AI159" i="27"/>
  <c r="AJ159" i="27"/>
  <c r="AK159" i="27"/>
  <c r="AL159" i="27"/>
  <c r="AM159" i="27"/>
  <c r="AN159" i="27"/>
  <c r="AO159" i="27"/>
  <c r="AP159" i="27"/>
  <c r="AQ159" i="27"/>
  <c r="AC160" i="27"/>
  <c r="AD160" i="27"/>
  <c r="AE160" i="27"/>
  <c r="AF160" i="27"/>
  <c r="AG160" i="27"/>
  <c r="AH160" i="27"/>
  <c r="AI160" i="27"/>
  <c r="AJ160" i="27"/>
  <c r="AK160" i="27"/>
  <c r="AL160" i="27"/>
  <c r="AM160" i="27"/>
  <c r="AN160" i="27"/>
  <c r="AO160" i="27"/>
  <c r="AP160" i="27"/>
  <c r="AQ160" i="27"/>
  <c r="AC161" i="27"/>
  <c r="AD161" i="27"/>
  <c r="AE161" i="27"/>
  <c r="AF161" i="27"/>
  <c r="AG161" i="27"/>
  <c r="AH161" i="27"/>
  <c r="AI161" i="27"/>
  <c r="AJ161" i="27"/>
  <c r="AK161" i="27"/>
  <c r="AL161" i="27"/>
  <c r="AM161" i="27"/>
  <c r="AN161" i="27"/>
  <c r="AO161" i="27"/>
  <c r="AP161" i="27"/>
  <c r="AQ161" i="27"/>
  <c r="AC162" i="27"/>
  <c r="AD162" i="27"/>
  <c r="AE162" i="27"/>
  <c r="AF162" i="27"/>
  <c r="AG162" i="27"/>
  <c r="AH162" i="27"/>
  <c r="AI162" i="27"/>
  <c r="AJ162" i="27"/>
  <c r="AK162" i="27"/>
  <c r="AL162" i="27"/>
  <c r="AM162" i="27"/>
  <c r="AN162" i="27"/>
  <c r="AO162" i="27"/>
  <c r="AP162" i="27"/>
  <c r="AQ162" i="27"/>
  <c r="AC163" i="27"/>
  <c r="AD163" i="27"/>
  <c r="AE163" i="27"/>
  <c r="AF163" i="27"/>
  <c r="AG163" i="27"/>
  <c r="AH163" i="27"/>
  <c r="AI163" i="27"/>
  <c r="AJ163" i="27"/>
  <c r="AK163" i="27"/>
  <c r="AL163" i="27"/>
  <c r="AM163" i="27"/>
  <c r="AN163" i="27"/>
  <c r="AO163" i="27"/>
  <c r="AP163" i="27"/>
  <c r="AQ163" i="27"/>
  <c r="AC164" i="27"/>
  <c r="AD164" i="27"/>
  <c r="AE164" i="27"/>
  <c r="AF164" i="27"/>
  <c r="AG164" i="27"/>
  <c r="AH164" i="27"/>
  <c r="AI164" i="27"/>
  <c r="AJ164" i="27"/>
  <c r="AK164" i="27"/>
  <c r="AL164" i="27"/>
  <c r="AM164" i="27"/>
  <c r="AN164" i="27"/>
  <c r="AO164" i="27"/>
  <c r="AP164" i="27"/>
  <c r="AQ164" i="27"/>
  <c r="AC165" i="27"/>
  <c r="AD165" i="27"/>
  <c r="AE165" i="27"/>
  <c r="AF165" i="27"/>
  <c r="AG165" i="27"/>
  <c r="AH165" i="27"/>
  <c r="AI165" i="27"/>
  <c r="AJ165" i="27"/>
  <c r="AK165" i="27"/>
  <c r="AL165" i="27"/>
  <c r="AM165" i="27"/>
  <c r="AN165" i="27"/>
  <c r="AO165" i="27"/>
  <c r="AP165" i="27"/>
  <c r="AQ165" i="27"/>
  <c r="AC166" i="27"/>
  <c r="AD166" i="27"/>
  <c r="AE166" i="27"/>
  <c r="AF166" i="27"/>
  <c r="AG166" i="27"/>
  <c r="AH166" i="27"/>
  <c r="AI166" i="27"/>
  <c r="AJ166" i="27"/>
  <c r="AK166" i="27"/>
  <c r="AL166" i="27"/>
  <c r="AM166" i="27"/>
  <c r="AN166" i="27"/>
  <c r="AO166" i="27"/>
  <c r="AP166" i="27"/>
  <c r="AQ166" i="27"/>
  <c r="AC167" i="27"/>
  <c r="AD167" i="27"/>
  <c r="AE167" i="27"/>
  <c r="AF167" i="27"/>
  <c r="AG167" i="27"/>
  <c r="AH167" i="27"/>
  <c r="AI167" i="27"/>
  <c r="AJ167" i="27"/>
  <c r="AK167" i="27"/>
  <c r="AL167" i="27"/>
  <c r="AM167" i="27"/>
  <c r="AN167" i="27"/>
  <c r="AO167" i="27"/>
  <c r="AP167" i="27"/>
  <c r="AQ167" i="27"/>
  <c r="AC168" i="27"/>
  <c r="AD168" i="27"/>
  <c r="AE168" i="27"/>
  <c r="AF168" i="27"/>
  <c r="AG168" i="27"/>
  <c r="AH168" i="27"/>
  <c r="AI168" i="27"/>
  <c r="AJ168" i="27"/>
  <c r="AK168" i="27"/>
  <c r="AL168" i="27"/>
  <c r="AM168" i="27"/>
  <c r="AN168" i="27"/>
  <c r="AO168" i="27"/>
  <c r="AP168" i="27"/>
  <c r="AQ168" i="27"/>
  <c r="AC169" i="27"/>
  <c r="AD169" i="27"/>
  <c r="AE169" i="27"/>
  <c r="AF169" i="27"/>
  <c r="AG169" i="27"/>
  <c r="AH169" i="27"/>
  <c r="AI169" i="27"/>
  <c r="AJ169" i="27"/>
  <c r="AK169" i="27"/>
  <c r="AL169" i="27"/>
  <c r="AM169" i="27"/>
  <c r="AN169" i="27"/>
  <c r="AO169" i="27"/>
  <c r="AP169" i="27"/>
  <c r="AQ169" i="27"/>
  <c r="AC170" i="27"/>
  <c r="AD170" i="27"/>
  <c r="AE170" i="27"/>
  <c r="AF170" i="27"/>
  <c r="AG170" i="27"/>
  <c r="AH170" i="27"/>
  <c r="AI170" i="27"/>
  <c r="AJ170" i="27"/>
  <c r="AK170" i="27"/>
  <c r="AL170" i="27"/>
  <c r="AM170" i="27"/>
  <c r="AN170" i="27"/>
  <c r="AO170" i="27"/>
  <c r="AP170" i="27"/>
  <c r="AQ170" i="27"/>
  <c r="AC171" i="27"/>
  <c r="AD171" i="27"/>
  <c r="AE171" i="27"/>
  <c r="AF171" i="27"/>
  <c r="AG171" i="27"/>
  <c r="AH171" i="27"/>
  <c r="AI171" i="27"/>
  <c r="AJ171" i="27"/>
  <c r="AK171" i="27"/>
  <c r="AL171" i="27"/>
  <c r="AM171" i="27"/>
  <c r="AN171" i="27"/>
  <c r="AO171" i="27"/>
  <c r="AP171" i="27"/>
  <c r="AQ171" i="27"/>
  <c r="AC172" i="27"/>
  <c r="AD172" i="27"/>
  <c r="AE172" i="27"/>
  <c r="AF172" i="27"/>
  <c r="AG172" i="27"/>
  <c r="AH172" i="27"/>
  <c r="AI172" i="27"/>
  <c r="AJ172" i="27"/>
  <c r="AK172" i="27"/>
  <c r="AL172" i="27"/>
  <c r="AM172" i="27"/>
  <c r="AN172" i="27"/>
  <c r="AO172" i="27"/>
  <c r="AP172" i="27"/>
  <c r="AQ172" i="27"/>
  <c r="AC173" i="27"/>
  <c r="AD173" i="27"/>
  <c r="AE173" i="27"/>
  <c r="AF173" i="27"/>
  <c r="AG173" i="27"/>
  <c r="AH173" i="27"/>
  <c r="AI173" i="27"/>
  <c r="AJ173" i="27"/>
  <c r="AK173" i="27"/>
  <c r="AL173" i="27"/>
  <c r="AM173" i="27"/>
  <c r="AN173" i="27"/>
  <c r="AO173" i="27"/>
  <c r="AP173" i="27"/>
  <c r="AQ173" i="27"/>
  <c r="AC174" i="27"/>
  <c r="AD174" i="27"/>
  <c r="AE174" i="27"/>
  <c r="AF174" i="27"/>
  <c r="AG174" i="27"/>
  <c r="AH174" i="27"/>
  <c r="AI174" i="27"/>
  <c r="AJ174" i="27"/>
  <c r="AK174" i="27"/>
  <c r="AL174" i="27"/>
  <c r="AM174" i="27"/>
  <c r="AN174" i="27"/>
  <c r="AO174" i="27"/>
  <c r="AP174" i="27"/>
  <c r="AQ174" i="27"/>
  <c r="AC175" i="27"/>
  <c r="AD175" i="27"/>
  <c r="AE175" i="27"/>
  <c r="AF175" i="27"/>
  <c r="AG175" i="27"/>
  <c r="AH175" i="27"/>
  <c r="AI175" i="27"/>
  <c r="AJ175" i="27"/>
  <c r="AK175" i="27"/>
  <c r="AL175" i="27"/>
  <c r="AM175" i="27"/>
  <c r="AN175" i="27"/>
  <c r="AO175" i="27"/>
  <c r="AP175" i="27"/>
  <c r="AQ175" i="27"/>
  <c r="AC176" i="27"/>
  <c r="AD176" i="27"/>
  <c r="AE176" i="27"/>
  <c r="AF176" i="27"/>
  <c r="AG176" i="27"/>
  <c r="AH176" i="27"/>
  <c r="AI176" i="27"/>
  <c r="AJ176" i="27"/>
  <c r="AK176" i="27"/>
  <c r="AL176" i="27"/>
  <c r="AM176" i="27"/>
  <c r="AN176" i="27"/>
  <c r="AO176" i="27"/>
  <c r="AP176" i="27"/>
  <c r="AQ176" i="27"/>
  <c r="AC177" i="27"/>
  <c r="AD177" i="27"/>
  <c r="AE177" i="27"/>
  <c r="AF177" i="27"/>
  <c r="AG177" i="27"/>
  <c r="AH177" i="27"/>
  <c r="AI177" i="27"/>
  <c r="AJ177" i="27"/>
  <c r="AK177" i="27"/>
  <c r="AL177" i="27"/>
  <c r="AM177" i="27"/>
  <c r="AN177" i="27"/>
  <c r="AO177" i="27"/>
  <c r="AP177" i="27"/>
  <c r="AQ177" i="27"/>
  <c r="AC178" i="27"/>
  <c r="AD178" i="27"/>
  <c r="AE178" i="27"/>
  <c r="AF178" i="27"/>
  <c r="AG178" i="27"/>
  <c r="AH178" i="27"/>
  <c r="AI178" i="27"/>
  <c r="AJ178" i="27"/>
  <c r="AK178" i="27"/>
  <c r="AL178" i="27"/>
  <c r="AM178" i="27"/>
  <c r="AN178" i="27"/>
  <c r="AO178" i="27"/>
  <c r="AP178" i="27"/>
  <c r="AQ178" i="27"/>
  <c r="AC179" i="27"/>
  <c r="AD179" i="27"/>
  <c r="AE179" i="27"/>
  <c r="AF179" i="27"/>
  <c r="AG179" i="27"/>
  <c r="AH179" i="27"/>
  <c r="AI179" i="27"/>
  <c r="AJ179" i="27"/>
  <c r="AK179" i="27"/>
  <c r="AL179" i="27"/>
  <c r="AM179" i="27"/>
  <c r="AN179" i="27"/>
  <c r="AO179" i="27"/>
  <c r="AP179" i="27"/>
  <c r="AQ179" i="27"/>
  <c r="AC180" i="27"/>
  <c r="AD180" i="27"/>
  <c r="AE180" i="27"/>
  <c r="AF180" i="27"/>
  <c r="AG180" i="27"/>
  <c r="AH180" i="27"/>
  <c r="AI180" i="27"/>
  <c r="AJ180" i="27"/>
  <c r="AK180" i="27"/>
  <c r="AL180" i="27"/>
  <c r="AM180" i="27"/>
  <c r="AN180" i="27"/>
  <c r="AO180" i="27"/>
  <c r="AP180" i="27"/>
  <c r="AQ180" i="27"/>
  <c r="AC181" i="27"/>
  <c r="AD181" i="27"/>
  <c r="AE181" i="27"/>
  <c r="AF181" i="27"/>
  <c r="AG181" i="27"/>
  <c r="AH181" i="27"/>
  <c r="AI181" i="27"/>
  <c r="AJ181" i="27"/>
  <c r="AK181" i="27"/>
  <c r="AL181" i="27"/>
  <c r="AM181" i="27"/>
  <c r="AN181" i="27"/>
  <c r="AO181" i="27"/>
  <c r="AP181" i="27"/>
  <c r="AQ181" i="27"/>
  <c r="AC182" i="27"/>
  <c r="AD182" i="27"/>
  <c r="AE182" i="27"/>
  <c r="AF182" i="27"/>
  <c r="AG182" i="27"/>
  <c r="AH182" i="27"/>
  <c r="AI182" i="27"/>
  <c r="AJ182" i="27"/>
  <c r="AK182" i="27"/>
  <c r="AL182" i="27"/>
  <c r="AM182" i="27"/>
  <c r="AN182" i="27"/>
  <c r="AO182" i="27"/>
  <c r="AP182" i="27"/>
  <c r="AQ182" i="27"/>
  <c r="AC183" i="27"/>
  <c r="AD183" i="27"/>
  <c r="AE183" i="27"/>
  <c r="AF183" i="27"/>
  <c r="AG183" i="27"/>
  <c r="AH183" i="27"/>
  <c r="AI183" i="27"/>
  <c r="AJ183" i="27"/>
  <c r="AK183" i="27"/>
  <c r="AL183" i="27"/>
  <c r="AM183" i="27"/>
  <c r="AN183" i="27"/>
  <c r="AO183" i="27"/>
  <c r="AP183" i="27"/>
  <c r="AQ183" i="27"/>
  <c r="AC184" i="27"/>
  <c r="AD184" i="27"/>
  <c r="AE184" i="27"/>
  <c r="AF184" i="27"/>
  <c r="AG184" i="27"/>
  <c r="AH184" i="27"/>
  <c r="AI184" i="27"/>
  <c r="AJ184" i="27"/>
  <c r="AK184" i="27"/>
  <c r="AL184" i="27"/>
  <c r="AM184" i="27"/>
  <c r="AN184" i="27"/>
  <c r="AO184" i="27"/>
  <c r="AP184" i="27"/>
  <c r="AQ184" i="27"/>
  <c r="AC185" i="27"/>
  <c r="AD185" i="27"/>
  <c r="AE185" i="27"/>
  <c r="AF185" i="27"/>
  <c r="AG185" i="27"/>
  <c r="AH185" i="27"/>
  <c r="AI185" i="27"/>
  <c r="AJ185" i="27"/>
  <c r="AK185" i="27"/>
  <c r="AL185" i="27"/>
  <c r="AM185" i="27"/>
  <c r="AN185" i="27"/>
  <c r="AO185" i="27"/>
  <c r="AP185" i="27"/>
  <c r="AQ185" i="27"/>
  <c r="AC186" i="27"/>
  <c r="AD186" i="27"/>
  <c r="AE186" i="27"/>
  <c r="AF186" i="27"/>
  <c r="AG186" i="27"/>
  <c r="AH186" i="27"/>
  <c r="AI186" i="27"/>
  <c r="AJ186" i="27"/>
  <c r="AK186" i="27"/>
  <c r="AL186" i="27"/>
  <c r="AM186" i="27"/>
  <c r="AN186" i="27"/>
  <c r="AO186" i="27"/>
  <c r="AP186" i="27"/>
  <c r="AQ186" i="27"/>
  <c r="AC187" i="27"/>
  <c r="AD187" i="27"/>
  <c r="AE187" i="27"/>
  <c r="AF187" i="27"/>
  <c r="AG187" i="27"/>
  <c r="AH187" i="27"/>
  <c r="AI187" i="27"/>
  <c r="AJ187" i="27"/>
  <c r="AK187" i="27"/>
  <c r="AL187" i="27"/>
  <c r="AM187" i="27"/>
  <c r="AN187" i="27"/>
  <c r="AO187" i="27"/>
  <c r="AP187" i="27"/>
  <c r="AQ187" i="27"/>
  <c r="AC188" i="27"/>
  <c r="AD188" i="27"/>
  <c r="AE188" i="27"/>
  <c r="AF188" i="27"/>
  <c r="AG188" i="27"/>
  <c r="AH188" i="27"/>
  <c r="AI188" i="27"/>
  <c r="AJ188" i="27"/>
  <c r="AK188" i="27"/>
  <c r="AL188" i="27"/>
  <c r="AM188" i="27"/>
  <c r="AN188" i="27"/>
  <c r="AO188" i="27"/>
  <c r="AP188" i="27"/>
  <c r="AQ188" i="27"/>
  <c r="AC189" i="27"/>
  <c r="AD189" i="27"/>
  <c r="AE189" i="27"/>
  <c r="AF189" i="27"/>
  <c r="AG189" i="27"/>
  <c r="AH189" i="27"/>
  <c r="AI189" i="27"/>
  <c r="AJ189" i="27"/>
  <c r="AK189" i="27"/>
  <c r="AL189" i="27"/>
  <c r="AM189" i="27"/>
  <c r="AN189" i="27"/>
  <c r="AO189" i="27"/>
  <c r="AP189" i="27"/>
  <c r="AQ189" i="27"/>
  <c r="AC190" i="27"/>
  <c r="AD190" i="27"/>
  <c r="AE190" i="27"/>
  <c r="AF190" i="27"/>
  <c r="AG190" i="27"/>
  <c r="AH190" i="27"/>
  <c r="AI190" i="27"/>
  <c r="AJ190" i="27"/>
  <c r="AK190" i="27"/>
  <c r="AL190" i="27"/>
  <c r="AM190" i="27"/>
  <c r="AN190" i="27"/>
  <c r="AO190" i="27"/>
  <c r="AP190" i="27"/>
  <c r="AQ190" i="27"/>
  <c r="AC191" i="27"/>
  <c r="AD191" i="27"/>
  <c r="AE191" i="27"/>
  <c r="AF191" i="27"/>
  <c r="AG191" i="27"/>
  <c r="AH191" i="27"/>
  <c r="AI191" i="27"/>
  <c r="AJ191" i="27"/>
  <c r="AK191" i="27"/>
  <c r="AL191" i="27"/>
  <c r="AM191" i="27"/>
  <c r="AN191" i="27"/>
  <c r="AO191" i="27"/>
  <c r="AP191" i="27"/>
  <c r="AQ191" i="27"/>
  <c r="AC192" i="27"/>
  <c r="AD192" i="27"/>
  <c r="AE192" i="27"/>
  <c r="AF192" i="27"/>
  <c r="AG192" i="27"/>
  <c r="AH192" i="27"/>
  <c r="AI192" i="27"/>
  <c r="AJ192" i="27"/>
  <c r="AK192" i="27"/>
  <c r="AL192" i="27"/>
  <c r="AM192" i="27"/>
  <c r="AN192" i="27"/>
  <c r="AO192" i="27"/>
  <c r="AP192" i="27"/>
  <c r="AQ192" i="27"/>
  <c r="AC193" i="27"/>
  <c r="AD193" i="27"/>
  <c r="AE193" i="27"/>
  <c r="AF193" i="27"/>
  <c r="AG193" i="27"/>
  <c r="AH193" i="27"/>
  <c r="AI193" i="27"/>
  <c r="AJ193" i="27"/>
  <c r="AK193" i="27"/>
  <c r="AL193" i="27"/>
  <c r="AM193" i="27"/>
  <c r="AN193" i="27"/>
  <c r="AO193" i="27"/>
  <c r="AP193" i="27"/>
  <c r="AQ193" i="27"/>
  <c r="AC194" i="27"/>
  <c r="AD194" i="27"/>
  <c r="AE194" i="27"/>
  <c r="AF194" i="27"/>
  <c r="AG194" i="27"/>
  <c r="AH194" i="27"/>
  <c r="AI194" i="27"/>
  <c r="AJ194" i="27"/>
  <c r="AK194" i="27"/>
  <c r="AL194" i="27"/>
  <c r="AM194" i="27"/>
  <c r="AN194" i="27"/>
  <c r="AO194" i="27"/>
  <c r="AP194" i="27"/>
  <c r="AQ194" i="27"/>
  <c r="AC195" i="27"/>
  <c r="AD195" i="27"/>
  <c r="AE195" i="27"/>
  <c r="AF195" i="27"/>
  <c r="AG195" i="27"/>
  <c r="AH195" i="27"/>
  <c r="AI195" i="27"/>
  <c r="AJ195" i="27"/>
  <c r="AK195" i="27"/>
  <c r="AL195" i="27"/>
  <c r="AM195" i="27"/>
  <c r="AN195" i="27"/>
  <c r="AO195" i="27"/>
  <c r="AP195" i="27"/>
  <c r="AQ195" i="27"/>
  <c r="AC196" i="27"/>
  <c r="AD196" i="27"/>
  <c r="AE196" i="27"/>
  <c r="AF196" i="27"/>
  <c r="AG196" i="27"/>
  <c r="AH196" i="27"/>
  <c r="AI196" i="27"/>
  <c r="AJ196" i="27"/>
  <c r="AK196" i="27"/>
  <c r="AL196" i="27"/>
  <c r="AM196" i="27"/>
  <c r="AN196" i="27"/>
  <c r="AO196" i="27"/>
  <c r="AP196" i="27"/>
  <c r="AQ196" i="27"/>
  <c r="AC197" i="27"/>
  <c r="AD197" i="27"/>
  <c r="AE197" i="27"/>
  <c r="AF197" i="27"/>
  <c r="AG197" i="27"/>
  <c r="AH197" i="27"/>
  <c r="AI197" i="27"/>
  <c r="AJ197" i="27"/>
  <c r="AK197" i="27"/>
  <c r="AL197" i="27"/>
  <c r="AM197" i="27"/>
  <c r="AN197" i="27"/>
  <c r="AO197" i="27"/>
  <c r="AP197" i="27"/>
  <c r="AQ197" i="27"/>
  <c r="AC198" i="27"/>
  <c r="AD198" i="27"/>
  <c r="AE198" i="27"/>
  <c r="AF198" i="27"/>
  <c r="AG198" i="27"/>
  <c r="AH198" i="27"/>
  <c r="AI198" i="27"/>
  <c r="AJ198" i="27"/>
  <c r="AK198" i="27"/>
  <c r="AL198" i="27"/>
  <c r="AM198" i="27"/>
  <c r="AN198" i="27"/>
  <c r="AO198" i="27"/>
  <c r="AP198" i="27"/>
  <c r="AQ198" i="27"/>
  <c r="AC199" i="27"/>
  <c r="AD199" i="27"/>
  <c r="AE199" i="27"/>
  <c r="AF199" i="27"/>
  <c r="AG199" i="27"/>
  <c r="AH199" i="27"/>
  <c r="AI199" i="27"/>
  <c r="AJ199" i="27"/>
  <c r="AK199" i="27"/>
  <c r="AL199" i="27"/>
  <c r="AM199" i="27"/>
  <c r="AN199" i="27"/>
  <c r="AO199" i="27"/>
  <c r="AP199" i="27"/>
  <c r="AQ199" i="27"/>
  <c r="AC200" i="27"/>
  <c r="AD200" i="27"/>
  <c r="AE200" i="27"/>
  <c r="AF200" i="27"/>
  <c r="AG200" i="27"/>
  <c r="AH200" i="27"/>
  <c r="AI200" i="27"/>
  <c r="AJ200" i="27"/>
  <c r="AK200" i="27"/>
  <c r="AL200" i="27"/>
  <c r="AM200" i="27"/>
  <c r="AN200" i="27"/>
  <c r="AO200" i="27"/>
  <c r="AP200" i="27"/>
  <c r="AQ200" i="27"/>
  <c r="AC201" i="27"/>
  <c r="AD201" i="27"/>
  <c r="AE201" i="27"/>
  <c r="AF201" i="27"/>
  <c r="AG201" i="27"/>
  <c r="AH201" i="27"/>
  <c r="AI201" i="27"/>
  <c r="AJ201" i="27"/>
  <c r="AK201" i="27"/>
  <c r="AL201" i="27"/>
  <c r="AM201" i="27"/>
  <c r="AN201" i="27"/>
  <c r="AO201" i="27"/>
  <c r="AP201" i="27"/>
  <c r="AQ201" i="27"/>
  <c r="AC202" i="27"/>
  <c r="AD202" i="27"/>
  <c r="AE202" i="27"/>
  <c r="AF202" i="27"/>
  <c r="AG202" i="27"/>
  <c r="AH202" i="27"/>
  <c r="AI202" i="27"/>
  <c r="AJ202" i="27"/>
  <c r="AK202" i="27"/>
  <c r="AL202" i="27"/>
  <c r="AM202" i="27"/>
  <c r="AN202" i="27"/>
  <c r="AO202" i="27"/>
  <c r="AP202" i="27"/>
  <c r="AQ202" i="27"/>
  <c r="AC203" i="27"/>
  <c r="AD203" i="27"/>
  <c r="AE203" i="27"/>
  <c r="AF203" i="27"/>
  <c r="AG203" i="27"/>
  <c r="AH203" i="27"/>
  <c r="AI203" i="27"/>
  <c r="AJ203" i="27"/>
  <c r="AK203" i="27"/>
  <c r="AL203" i="27"/>
  <c r="AM203" i="27"/>
  <c r="AN203" i="27"/>
  <c r="AO203" i="27"/>
  <c r="AP203" i="27"/>
  <c r="AQ203" i="27"/>
  <c r="AC204" i="27"/>
  <c r="AD204" i="27"/>
  <c r="AE204" i="27"/>
  <c r="AF204" i="27"/>
  <c r="AG204" i="27"/>
  <c r="AH204" i="27"/>
  <c r="AI204" i="27"/>
  <c r="AJ204" i="27"/>
  <c r="AK204" i="27"/>
  <c r="AL204" i="27"/>
  <c r="AM204" i="27"/>
  <c r="AN204" i="27"/>
  <c r="AO204" i="27"/>
  <c r="AP204" i="27"/>
  <c r="AQ204" i="27"/>
  <c r="AC205" i="27"/>
  <c r="AD205" i="27"/>
  <c r="AE205" i="27"/>
  <c r="AF205" i="27"/>
  <c r="AG205" i="27"/>
  <c r="AH205" i="27"/>
  <c r="AI205" i="27"/>
  <c r="AJ205" i="27"/>
  <c r="AK205" i="27"/>
  <c r="AL205" i="27"/>
  <c r="AM205" i="27"/>
  <c r="AN205" i="27"/>
  <c r="AO205" i="27"/>
  <c r="AP205" i="27"/>
  <c r="AQ205" i="27"/>
  <c r="AC206" i="27"/>
  <c r="AD206" i="27"/>
  <c r="AE206" i="27"/>
  <c r="AF206" i="27"/>
  <c r="AG206" i="27"/>
  <c r="AH206" i="27"/>
  <c r="AI206" i="27"/>
  <c r="AJ206" i="27"/>
  <c r="AK206" i="27"/>
  <c r="AL206" i="27"/>
  <c r="AM206" i="27"/>
  <c r="AN206" i="27"/>
  <c r="AO206" i="27"/>
  <c r="AP206" i="27"/>
  <c r="AQ206" i="27"/>
  <c r="AC207" i="27"/>
  <c r="AD207" i="27"/>
  <c r="AE207" i="27"/>
  <c r="AF207" i="27"/>
  <c r="AG207" i="27"/>
  <c r="AH207" i="27"/>
  <c r="AI207" i="27"/>
  <c r="AJ207" i="27"/>
  <c r="AK207" i="27"/>
  <c r="AL207" i="27"/>
  <c r="AM207" i="27"/>
  <c r="AN207" i="27"/>
  <c r="AO207" i="27"/>
  <c r="AP207" i="27"/>
  <c r="AQ207" i="27"/>
  <c r="AC208" i="27"/>
  <c r="AD208" i="27"/>
  <c r="AE208" i="27"/>
  <c r="AF208" i="27"/>
  <c r="AG208" i="27"/>
  <c r="AH208" i="27"/>
  <c r="AI208" i="27"/>
  <c r="AJ208" i="27"/>
  <c r="AK208" i="27"/>
  <c r="AL208" i="27"/>
  <c r="AM208" i="27"/>
  <c r="AN208" i="27"/>
  <c r="AO208" i="27"/>
  <c r="AP208" i="27"/>
  <c r="AQ208" i="27"/>
  <c r="AC209" i="27"/>
  <c r="AD209" i="27"/>
  <c r="AE209" i="27"/>
  <c r="AF209" i="27"/>
  <c r="AG209" i="27"/>
  <c r="AH209" i="27"/>
  <c r="AI209" i="27"/>
  <c r="AJ209" i="27"/>
  <c r="AK209" i="27"/>
  <c r="AL209" i="27"/>
  <c r="AM209" i="27"/>
  <c r="AN209" i="27"/>
  <c r="AO209" i="27"/>
  <c r="AP209" i="27"/>
  <c r="AQ209" i="27"/>
  <c r="AC210" i="27"/>
  <c r="AD210" i="27"/>
  <c r="AE210" i="27"/>
  <c r="AF210" i="27"/>
  <c r="AG210" i="27"/>
  <c r="AH210" i="27"/>
  <c r="AI210" i="27"/>
  <c r="AJ210" i="27"/>
  <c r="AK210" i="27"/>
  <c r="AL210" i="27"/>
  <c r="AM210" i="27"/>
  <c r="AN210" i="27"/>
  <c r="AO210" i="27"/>
  <c r="AP210" i="27"/>
  <c r="AQ210" i="27"/>
  <c r="AC211" i="27"/>
  <c r="AD211" i="27"/>
  <c r="AE211" i="27"/>
  <c r="AF211" i="27"/>
  <c r="AG211" i="27"/>
  <c r="AH211" i="27"/>
  <c r="AI211" i="27"/>
  <c r="AJ211" i="27"/>
  <c r="AK211" i="27"/>
  <c r="AL211" i="27"/>
  <c r="AM211" i="27"/>
  <c r="AN211" i="27"/>
  <c r="AO211" i="27"/>
  <c r="AP211" i="27"/>
  <c r="AQ211" i="27"/>
  <c r="AC212" i="27"/>
  <c r="AD212" i="27"/>
  <c r="AE212" i="27"/>
  <c r="AF212" i="27"/>
  <c r="AG212" i="27"/>
  <c r="AH212" i="27"/>
  <c r="AI212" i="27"/>
  <c r="AJ212" i="27"/>
  <c r="AK212" i="27"/>
  <c r="AL212" i="27"/>
  <c r="AM212" i="27"/>
  <c r="AN212" i="27"/>
  <c r="AO212" i="27"/>
  <c r="AP212" i="27"/>
  <c r="AQ212" i="27"/>
  <c r="AC213" i="27"/>
  <c r="AD213" i="27"/>
  <c r="AE213" i="27"/>
  <c r="AF213" i="27"/>
  <c r="AG213" i="27"/>
  <c r="AH213" i="27"/>
  <c r="AI213" i="27"/>
  <c r="AJ213" i="27"/>
  <c r="AK213" i="27"/>
  <c r="AL213" i="27"/>
  <c r="AM213" i="27"/>
  <c r="AN213" i="27"/>
  <c r="AO213" i="27"/>
  <c r="AP213" i="27"/>
  <c r="AQ213" i="27"/>
  <c r="AC214" i="27"/>
  <c r="AD214" i="27"/>
  <c r="AE214" i="27"/>
  <c r="AF214" i="27"/>
  <c r="AG214" i="27"/>
  <c r="AH214" i="27"/>
  <c r="AI214" i="27"/>
  <c r="AJ214" i="27"/>
  <c r="AK214" i="27"/>
  <c r="AL214" i="27"/>
  <c r="AM214" i="27"/>
  <c r="AN214" i="27"/>
  <c r="AO214" i="27"/>
  <c r="AP214" i="27"/>
  <c r="AQ214" i="27"/>
  <c r="AC215" i="27"/>
  <c r="AD215" i="27"/>
  <c r="AE215" i="27"/>
  <c r="AF215" i="27"/>
  <c r="AG215" i="27"/>
  <c r="AH215" i="27"/>
  <c r="AI215" i="27"/>
  <c r="AJ215" i="27"/>
  <c r="AK215" i="27"/>
  <c r="AL215" i="27"/>
  <c r="AM215" i="27"/>
  <c r="AN215" i="27"/>
  <c r="AO215" i="27"/>
  <c r="AP215" i="27"/>
  <c r="AQ215" i="27"/>
  <c r="AC216" i="27"/>
  <c r="AD216" i="27"/>
  <c r="AE216" i="27"/>
  <c r="AF216" i="27"/>
  <c r="AG216" i="27"/>
  <c r="AH216" i="27"/>
  <c r="AI216" i="27"/>
  <c r="AJ216" i="27"/>
  <c r="AK216" i="27"/>
  <c r="AL216" i="27"/>
  <c r="AM216" i="27"/>
  <c r="AN216" i="27"/>
  <c r="AO216" i="27"/>
  <c r="AP216" i="27"/>
  <c r="AQ216" i="27"/>
  <c r="AC217" i="27"/>
  <c r="AD217" i="27"/>
  <c r="AE217" i="27"/>
  <c r="AF217" i="27"/>
  <c r="AG217" i="27"/>
  <c r="AH217" i="27"/>
  <c r="AI217" i="27"/>
  <c r="AJ217" i="27"/>
  <c r="AK217" i="27"/>
  <c r="AL217" i="27"/>
  <c r="AM217" i="27"/>
  <c r="AN217" i="27"/>
  <c r="AO217" i="27"/>
  <c r="AP217" i="27"/>
  <c r="AQ217" i="27"/>
  <c r="AC218" i="27"/>
  <c r="AD218" i="27"/>
  <c r="AE218" i="27"/>
  <c r="AF218" i="27"/>
  <c r="AG218" i="27"/>
  <c r="AH218" i="27"/>
  <c r="AI218" i="27"/>
  <c r="AJ218" i="27"/>
  <c r="AK218" i="27"/>
  <c r="AL218" i="27"/>
  <c r="AM218" i="27"/>
  <c r="AN218" i="27"/>
  <c r="AO218" i="27"/>
  <c r="AP218" i="27"/>
  <c r="AQ218" i="27"/>
  <c r="AC219" i="27"/>
  <c r="AD219" i="27"/>
  <c r="AE219" i="27"/>
  <c r="AF219" i="27"/>
  <c r="AG219" i="27"/>
  <c r="AH219" i="27"/>
  <c r="AI219" i="27"/>
  <c r="AJ219" i="27"/>
  <c r="AK219" i="27"/>
  <c r="AL219" i="27"/>
  <c r="AM219" i="27"/>
  <c r="AN219" i="27"/>
  <c r="AO219" i="27"/>
  <c r="AP219" i="27"/>
  <c r="AQ219" i="27"/>
  <c r="AC220" i="27"/>
  <c r="AD220" i="27"/>
  <c r="AE220" i="27"/>
  <c r="AF220" i="27"/>
  <c r="AG220" i="27"/>
  <c r="AH220" i="27"/>
  <c r="AI220" i="27"/>
  <c r="AJ220" i="27"/>
  <c r="AK220" i="27"/>
  <c r="AL220" i="27"/>
  <c r="AM220" i="27"/>
  <c r="AN220" i="27"/>
  <c r="AO220" i="27"/>
  <c r="AP220" i="27"/>
  <c r="AQ220" i="27"/>
  <c r="AC221" i="27"/>
  <c r="AD221" i="27"/>
  <c r="AE221" i="27"/>
  <c r="AF221" i="27"/>
  <c r="AG221" i="27"/>
  <c r="AH221" i="27"/>
  <c r="AI221" i="27"/>
  <c r="AJ221" i="27"/>
  <c r="AK221" i="27"/>
  <c r="AL221" i="27"/>
  <c r="AM221" i="27"/>
  <c r="AN221" i="27"/>
  <c r="AO221" i="27"/>
  <c r="AP221" i="27"/>
  <c r="AQ221" i="27"/>
  <c r="AC222" i="27"/>
  <c r="AD222" i="27"/>
  <c r="AE222" i="27"/>
  <c r="AF222" i="27"/>
  <c r="AG222" i="27"/>
  <c r="AH222" i="27"/>
  <c r="AI222" i="27"/>
  <c r="AJ222" i="27"/>
  <c r="AK222" i="27"/>
  <c r="AL222" i="27"/>
  <c r="AM222" i="27"/>
  <c r="AN222" i="27"/>
  <c r="AO222" i="27"/>
  <c r="AP222" i="27"/>
  <c r="AQ222" i="27"/>
  <c r="AC223" i="27"/>
  <c r="AD223" i="27"/>
  <c r="AE223" i="27"/>
  <c r="AF223" i="27"/>
  <c r="AG223" i="27"/>
  <c r="AH223" i="27"/>
  <c r="AI223" i="27"/>
  <c r="AJ223" i="27"/>
  <c r="AK223" i="27"/>
  <c r="AL223" i="27"/>
  <c r="AM223" i="27"/>
  <c r="AN223" i="27"/>
  <c r="AO223" i="27"/>
  <c r="AP223" i="27"/>
  <c r="AQ223" i="27"/>
  <c r="AC224" i="27"/>
  <c r="AD224" i="27"/>
  <c r="AE224" i="27"/>
  <c r="AF224" i="27"/>
  <c r="AG224" i="27"/>
  <c r="AH224" i="27"/>
  <c r="AI224" i="27"/>
  <c r="AJ224" i="27"/>
  <c r="AK224" i="27"/>
  <c r="AL224" i="27"/>
  <c r="AM224" i="27"/>
  <c r="AN224" i="27"/>
  <c r="AO224" i="27"/>
  <c r="AP224" i="27"/>
  <c r="AQ224" i="27"/>
  <c r="AC225" i="27"/>
  <c r="AD225" i="27"/>
  <c r="AE225" i="27"/>
  <c r="AF225" i="27"/>
  <c r="AG225" i="27"/>
  <c r="AH225" i="27"/>
  <c r="AI225" i="27"/>
  <c r="AJ225" i="27"/>
  <c r="AK225" i="27"/>
  <c r="AL225" i="27"/>
  <c r="AM225" i="27"/>
  <c r="AN225" i="27"/>
  <c r="AO225" i="27"/>
  <c r="AP225" i="27"/>
  <c r="AQ225" i="27"/>
  <c r="AC226" i="27"/>
  <c r="AD226" i="27"/>
  <c r="AE226" i="27"/>
  <c r="AF226" i="27"/>
  <c r="AG226" i="27"/>
  <c r="AH226" i="27"/>
  <c r="AI226" i="27"/>
  <c r="AJ226" i="27"/>
  <c r="AK226" i="27"/>
  <c r="AL226" i="27"/>
  <c r="AM226" i="27"/>
  <c r="AN226" i="27"/>
  <c r="AO226" i="27"/>
  <c r="AP226" i="27"/>
  <c r="AQ226" i="27"/>
  <c r="AC227" i="27"/>
  <c r="AD227" i="27"/>
  <c r="AE227" i="27"/>
  <c r="AF227" i="27"/>
  <c r="AG227" i="27"/>
  <c r="AH227" i="27"/>
  <c r="AI227" i="27"/>
  <c r="AJ227" i="27"/>
  <c r="AK227" i="27"/>
  <c r="AL227" i="27"/>
  <c r="AM227" i="27"/>
  <c r="AN227" i="27"/>
  <c r="AO227" i="27"/>
  <c r="AP227" i="27"/>
  <c r="AQ227" i="27"/>
  <c r="AC228" i="27"/>
  <c r="AD228" i="27"/>
  <c r="AE228" i="27"/>
  <c r="AF228" i="27"/>
  <c r="AG228" i="27"/>
  <c r="AH228" i="27"/>
  <c r="AI228" i="27"/>
  <c r="AJ228" i="27"/>
  <c r="AK228" i="27"/>
  <c r="AL228" i="27"/>
  <c r="AM228" i="27"/>
  <c r="AN228" i="27"/>
  <c r="AO228" i="27"/>
  <c r="AP228" i="27"/>
  <c r="AQ228" i="27"/>
  <c r="AC229" i="27"/>
  <c r="AD229" i="27"/>
  <c r="AE229" i="27"/>
  <c r="AF229" i="27"/>
  <c r="AG229" i="27"/>
  <c r="AH229" i="27"/>
  <c r="AI229" i="27"/>
  <c r="AJ229" i="27"/>
  <c r="AK229" i="27"/>
  <c r="AL229" i="27"/>
  <c r="AM229" i="27"/>
  <c r="AN229" i="27"/>
  <c r="AO229" i="27"/>
  <c r="AP229" i="27"/>
  <c r="AQ229" i="27"/>
  <c r="AC230" i="27"/>
  <c r="AD230" i="27"/>
  <c r="AE230" i="27"/>
  <c r="AF230" i="27"/>
  <c r="AG230" i="27"/>
  <c r="AH230" i="27"/>
  <c r="AI230" i="27"/>
  <c r="AJ230" i="27"/>
  <c r="AK230" i="27"/>
  <c r="AL230" i="27"/>
  <c r="AM230" i="27"/>
  <c r="AN230" i="27"/>
  <c r="AO230" i="27"/>
  <c r="AP230" i="27"/>
  <c r="AQ230" i="27"/>
  <c r="AC231" i="27"/>
  <c r="AD231" i="27"/>
  <c r="AE231" i="27"/>
  <c r="AF231" i="27"/>
  <c r="AG231" i="27"/>
  <c r="AH231" i="27"/>
  <c r="AI231" i="27"/>
  <c r="AJ231" i="27"/>
  <c r="AK231" i="27"/>
  <c r="AL231" i="27"/>
  <c r="AM231" i="27"/>
  <c r="AN231" i="27"/>
  <c r="AO231" i="27"/>
  <c r="AP231" i="27"/>
  <c r="AQ231" i="27"/>
  <c r="AC232" i="27"/>
  <c r="AD232" i="27"/>
  <c r="AE232" i="27"/>
  <c r="AF232" i="27"/>
  <c r="AG232" i="27"/>
  <c r="AH232" i="27"/>
  <c r="AI232" i="27"/>
  <c r="AJ232" i="27"/>
  <c r="AK232" i="27"/>
  <c r="AL232" i="27"/>
  <c r="AM232" i="27"/>
  <c r="AN232" i="27"/>
  <c r="AO232" i="27"/>
  <c r="AP232" i="27"/>
  <c r="AQ232" i="27"/>
  <c r="AC233" i="27"/>
  <c r="AD233" i="27"/>
  <c r="AE233" i="27"/>
  <c r="AF233" i="27"/>
  <c r="AG233" i="27"/>
  <c r="AH233" i="27"/>
  <c r="AI233" i="27"/>
  <c r="AJ233" i="27"/>
  <c r="AK233" i="27"/>
  <c r="AL233" i="27"/>
  <c r="AM233" i="27"/>
  <c r="AN233" i="27"/>
  <c r="AO233" i="27"/>
  <c r="AP233" i="27"/>
  <c r="AQ233" i="27"/>
  <c r="AC234" i="27"/>
  <c r="AD234" i="27"/>
  <c r="AE234" i="27"/>
  <c r="AF234" i="27"/>
  <c r="AG234" i="27"/>
  <c r="AH234" i="27"/>
  <c r="AI234" i="27"/>
  <c r="AJ234" i="27"/>
  <c r="AK234" i="27"/>
  <c r="AL234" i="27"/>
  <c r="AM234" i="27"/>
  <c r="AN234" i="27"/>
  <c r="AO234" i="27"/>
  <c r="AP234" i="27"/>
  <c r="AQ234" i="27"/>
  <c r="AC235" i="27"/>
  <c r="AD235" i="27"/>
  <c r="AE235" i="27"/>
  <c r="AF235" i="27"/>
  <c r="AG235" i="27"/>
  <c r="AH235" i="27"/>
  <c r="AI235" i="27"/>
  <c r="AJ235" i="27"/>
  <c r="AK235" i="27"/>
  <c r="AL235" i="27"/>
  <c r="AM235" i="27"/>
  <c r="AN235" i="27"/>
  <c r="AO235" i="27"/>
  <c r="AP235" i="27"/>
  <c r="AQ235" i="27"/>
  <c r="AC236" i="27"/>
  <c r="AD236" i="27"/>
  <c r="AE236" i="27"/>
  <c r="AF236" i="27"/>
  <c r="AG236" i="27"/>
  <c r="AH236" i="27"/>
  <c r="AI236" i="27"/>
  <c r="AJ236" i="27"/>
  <c r="AK236" i="27"/>
  <c r="AL236" i="27"/>
  <c r="AM236" i="27"/>
  <c r="AN236" i="27"/>
  <c r="AO236" i="27"/>
  <c r="AP236" i="27"/>
  <c r="AQ236" i="27"/>
  <c r="AC237" i="27"/>
  <c r="AD237" i="27"/>
  <c r="AE237" i="27"/>
  <c r="AF237" i="27"/>
  <c r="AG237" i="27"/>
  <c r="AH237" i="27"/>
  <c r="AI237" i="27"/>
  <c r="AJ237" i="27"/>
  <c r="AK237" i="27"/>
  <c r="AL237" i="27"/>
  <c r="AM237" i="27"/>
  <c r="AN237" i="27"/>
  <c r="AO237" i="27"/>
  <c r="AP237" i="27"/>
  <c r="AQ237" i="27"/>
  <c r="AC238" i="27"/>
  <c r="AD238" i="27"/>
  <c r="AE238" i="27"/>
  <c r="AF238" i="27"/>
  <c r="AG238" i="27"/>
  <c r="AH238" i="27"/>
  <c r="AI238" i="27"/>
  <c r="AJ238" i="27"/>
  <c r="AK238" i="27"/>
  <c r="AL238" i="27"/>
  <c r="AM238" i="27"/>
  <c r="AN238" i="27"/>
  <c r="AO238" i="27"/>
  <c r="AP238" i="27"/>
  <c r="AQ238" i="27"/>
  <c r="AC239" i="27"/>
  <c r="AD239" i="27"/>
  <c r="AE239" i="27"/>
  <c r="AF239" i="27"/>
  <c r="AG239" i="27"/>
  <c r="AH239" i="27"/>
  <c r="AI239" i="27"/>
  <c r="AJ239" i="27"/>
  <c r="AK239" i="27"/>
  <c r="AL239" i="27"/>
  <c r="AM239" i="27"/>
  <c r="AN239" i="27"/>
  <c r="AO239" i="27"/>
  <c r="AP239" i="27"/>
  <c r="AQ239" i="27"/>
  <c r="AC240" i="27"/>
  <c r="AD240" i="27"/>
  <c r="AE240" i="27"/>
  <c r="AF240" i="27"/>
  <c r="AG240" i="27"/>
  <c r="AH240" i="27"/>
  <c r="AI240" i="27"/>
  <c r="AJ240" i="27"/>
  <c r="AK240" i="27"/>
  <c r="AL240" i="27"/>
  <c r="AM240" i="27"/>
  <c r="AN240" i="27"/>
  <c r="AO240" i="27"/>
  <c r="AP240" i="27"/>
  <c r="AQ240" i="27"/>
  <c r="AC241" i="27"/>
  <c r="AD241" i="27"/>
  <c r="AE241" i="27"/>
  <c r="AF241" i="27"/>
  <c r="AG241" i="27"/>
  <c r="AH241" i="27"/>
  <c r="AI241" i="27"/>
  <c r="AJ241" i="27"/>
  <c r="AK241" i="27"/>
  <c r="AL241" i="27"/>
  <c r="AM241" i="27"/>
  <c r="AN241" i="27"/>
  <c r="AO241" i="27"/>
  <c r="AP241" i="27"/>
  <c r="AQ241" i="27"/>
  <c r="AC242" i="27"/>
  <c r="AD242" i="27"/>
  <c r="AE242" i="27"/>
  <c r="AF242" i="27"/>
  <c r="AG242" i="27"/>
  <c r="AH242" i="27"/>
  <c r="AI242" i="27"/>
  <c r="AJ242" i="27"/>
  <c r="AK242" i="27"/>
  <c r="AL242" i="27"/>
  <c r="AM242" i="27"/>
  <c r="AN242" i="27"/>
  <c r="AO242" i="27"/>
  <c r="AP242" i="27"/>
  <c r="AQ242" i="27"/>
  <c r="AC243" i="27"/>
  <c r="AD243" i="27"/>
  <c r="AE243" i="27"/>
  <c r="AF243" i="27"/>
  <c r="AG243" i="27"/>
  <c r="AH243" i="27"/>
  <c r="AI243" i="27"/>
  <c r="AJ243" i="27"/>
  <c r="AK243" i="27"/>
  <c r="AL243" i="27"/>
  <c r="AM243" i="27"/>
  <c r="AN243" i="27"/>
  <c r="AO243" i="27"/>
  <c r="AP243" i="27"/>
  <c r="AQ243" i="27"/>
  <c r="AC244" i="27"/>
  <c r="AD244" i="27"/>
  <c r="AE244" i="27"/>
  <c r="AF244" i="27"/>
  <c r="AG244" i="27"/>
  <c r="AH244" i="27"/>
  <c r="AI244" i="27"/>
  <c r="AJ244" i="27"/>
  <c r="AK244" i="27"/>
  <c r="AL244" i="27"/>
  <c r="AM244" i="27"/>
  <c r="AN244" i="27"/>
  <c r="AO244" i="27"/>
  <c r="AP244" i="27"/>
  <c r="AQ244" i="27"/>
  <c r="AC245" i="27"/>
  <c r="AD245" i="27"/>
  <c r="AE245" i="27"/>
  <c r="AF245" i="27"/>
  <c r="AG245" i="27"/>
  <c r="AH245" i="27"/>
  <c r="AI245" i="27"/>
  <c r="AJ245" i="27"/>
  <c r="AK245" i="27"/>
  <c r="AL245" i="27"/>
  <c r="AM245" i="27"/>
  <c r="AN245" i="27"/>
  <c r="AO245" i="27"/>
  <c r="AP245" i="27"/>
  <c r="AQ245" i="27"/>
  <c r="AC246" i="27"/>
  <c r="AD246" i="27"/>
  <c r="AE246" i="27"/>
  <c r="AF246" i="27"/>
  <c r="AG246" i="27"/>
  <c r="AH246" i="27"/>
  <c r="AI246" i="27"/>
  <c r="AJ246" i="27"/>
  <c r="AK246" i="27"/>
  <c r="AL246" i="27"/>
  <c r="AM246" i="27"/>
  <c r="AN246" i="27"/>
  <c r="AO246" i="27"/>
  <c r="AP246" i="27"/>
  <c r="AQ246" i="27"/>
  <c r="AC247" i="27"/>
  <c r="AD247" i="27"/>
  <c r="AE247" i="27"/>
  <c r="AF247" i="27"/>
  <c r="AG247" i="27"/>
  <c r="AH247" i="27"/>
  <c r="AI247" i="27"/>
  <c r="AJ247" i="27"/>
  <c r="AK247" i="27"/>
  <c r="AL247" i="27"/>
  <c r="AM247" i="27"/>
  <c r="AN247" i="27"/>
  <c r="AO247" i="27"/>
  <c r="AP247" i="27"/>
  <c r="AQ247" i="27"/>
  <c r="AC248" i="27"/>
  <c r="AD248" i="27"/>
  <c r="AE248" i="27"/>
  <c r="AF248" i="27"/>
  <c r="AG248" i="27"/>
  <c r="AH248" i="27"/>
  <c r="AI248" i="27"/>
  <c r="AJ248" i="27"/>
  <c r="AK248" i="27"/>
  <c r="AL248" i="27"/>
  <c r="AM248" i="27"/>
  <c r="AN248" i="27"/>
  <c r="AO248" i="27"/>
  <c r="AP248" i="27"/>
  <c r="AQ248" i="27"/>
  <c r="AC249" i="27"/>
  <c r="AD249" i="27"/>
  <c r="AE249" i="27"/>
  <c r="AF249" i="27"/>
  <c r="AG249" i="27"/>
  <c r="AH249" i="27"/>
  <c r="AI249" i="27"/>
  <c r="AJ249" i="27"/>
  <c r="AK249" i="27"/>
  <c r="AL249" i="27"/>
  <c r="AM249" i="27"/>
  <c r="AN249" i="27"/>
  <c r="AO249" i="27"/>
  <c r="AP249" i="27"/>
  <c r="AQ249" i="27"/>
  <c r="AC250" i="27"/>
  <c r="AD250" i="27"/>
  <c r="AE250" i="27"/>
  <c r="AF250" i="27"/>
  <c r="AG250" i="27"/>
  <c r="AH250" i="27"/>
  <c r="AI250" i="27"/>
  <c r="AJ250" i="27"/>
  <c r="AK250" i="27"/>
  <c r="AL250" i="27"/>
  <c r="AM250" i="27"/>
  <c r="AN250" i="27"/>
  <c r="AO250" i="27"/>
  <c r="AP250" i="27"/>
  <c r="AQ250" i="27"/>
  <c r="AC251" i="27"/>
  <c r="AD251" i="27"/>
  <c r="AE251" i="27"/>
  <c r="AF251" i="27"/>
  <c r="AG251" i="27"/>
  <c r="AH251" i="27"/>
  <c r="AI251" i="27"/>
  <c r="AJ251" i="27"/>
  <c r="AK251" i="27"/>
  <c r="AL251" i="27"/>
  <c r="AM251" i="27"/>
  <c r="AN251" i="27"/>
  <c r="AO251" i="27"/>
  <c r="AP251" i="27"/>
  <c r="AQ251" i="27"/>
  <c r="AC252" i="27"/>
  <c r="AD252" i="27"/>
  <c r="AE252" i="27"/>
  <c r="AF252" i="27"/>
  <c r="AG252" i="27"/>
  <c r="AH252" i="27"/>
  <c r="AI252" i="27"/>
  <c r="AJ252" i="27"/>
  <c r="AK252" i="27"/>
  <c r="AL252" i="27"/>
  <c r="AM252" i="27"/>
  <c r="AN252" i="27"/>
  <c r="AO252" i="27"/>
  <c r="AP252" i="27"/>
  <c r="AQ252" i="27"/>
  <c r="AQ2" i="27"/>
  <c r="AP2" i="27"/>
  <c r="AO2" i="27"/>
  <c r="AN2" i="27"/>
  <c r="AM2" i="27"/>
  <c r="AL2" i="27"/>
  <c r="AK2" i="27"/>
  <c r="AJ2" i="27"/>
  <c r="AI2" i="27"/>
  <c r="AH2" i="27"/>
  <c r="AG2" i="27"/>
  <c r="AF2" i="27"/>
  <c r="AE2" i="27"/>
  <c r="AD2" i="27"/>
  <c r="AC2" i="27"/>
  <c r="N3" i="27"/>
  <c r="O3" i="27"/>
  <c r="P3" i="27"/>
  <c r="Q3" i="27"/>
  <c r="R3" i="27"/>
  <c r="S3" i="27"/>
  <c r="T3" i="27"/>
  <c r="U3" i="27"/>
  <c r="V3" i="27"/>
  <c r="W3" i="27"/>
  <c r="X3" i="27"/>
  <c r="Y3" i="27"/>
  <c r="Z3" i="27"/>
  <c r="AA3" i="27"/>
  <c r="AB3" i="27"/>
  <c r="N4" i="27"/>
  <c r="O4" i="27"/>
  <c r="P4" i="27"/>
  <c r="Q4" i="27"/>
  <c r="R4" i="27"/>
  <c r="S4" i="27"/>
  <c r="T4" i="27"/>
  <c r="U4" i="27"/>
  <c r="V4" i="27"/>
  <c r="W4" i="27"/>
  <c r="X4" i="27"/>
  <c r="Y4" i="27"/>
  <c r="Z4" i="27"/>
  <c r="AA4" i="27"/>
  <c r="AB4" i="27"/>
  <c r="N5" i="27"/>
  <c r="O5" i="27"/>
  <c r="P5" i="27"/>
  <c r="Q5" i="27"/>
  <c r="R5" i="27"/>
  <c r="S5" i="27"/>
  <c r="T5" i="27"/>
  <c r="U5" i="27"/>
  <c r="V5" i="27"/>
  <c r="W5" i="27"/>
  <c r="X5" i="27"/>
  <c r="Y5" i="27"/>
  <c r="Z5" i="27"/>
  <c r="AA5" i="27"/>
  <c r="AB5" i="27"/>
  <c r="N6" i="27"/>
  <c r="O6" i="27"/>
  <c r="P6" i="27"/>
  <c r="Q6" i="27"/>
  <c r="R6" i="27"/>
  <c r="S6" i="27"/>
  <c r="T6" i="27"/>
  <c r="U6" i="27"/>
  <c r="V6" i="27"/>
  <c r="W6" i="27"/>
  <c r="X6" i="27"/>
  <c r="Y6" i="27"/>
  <c r="Z6" i="27"/>
  <c r="AA6" i="27"/>
  <c r="AB6" i="27"/>
  <c r="N7" i="27"/>
  <c r="O7" i="27"/>
  <c r="P7" i="27"/>
  <c r="Q7" i="27"/>
  <c r="R7" i="27"/>
  <c r="S7" i="27"/>
  <c r="T7" i="27"/>
  <c r="U7" i="27"/>
  <c r="V7" i="27"/>
  <c r="W7" i="27"/>
  <c r="X7" i="27"/>
  <c r="Y7" i="27"/>
  <c r="Z7" i="27"/>
  <c r="AA7" i="27"/>
  <c r="AB7" i="27"/>
  <c r="N8" i="27"/>
  <c r="O8" i="27"/>
  <c r="P8" i="27"/>
  <c r="Q8" i="27"/>
  <c r="R8" i="27"/>
  <c r="S8" i="27"/>
  <c r="T8" i="27"/>
  <c r="U8" i="27"/>
  <c r="V8" i="27"/>
  <c r="W8" i="27"/>
  <c r="X8" i="27"/>
  <c r="Y8" i="27"/>
  <c r="Z8" i="27"/>
  <c r="AA8" i="27"/>
  <c r="AB8" i="27"/>
  <c r="N9" i="27"/>
  <c r="O9" i="27"/>
  <c r="P9" i="27"/>
  <c r="Q9" i="27"/>
  <c r="R9" i="27"/>
  <c r="S9" i="27"/>
  <c r="T9" i="27"/>
  <c r="U9" i="27"/>
  <c r="V9" i="27"/>
  <c r="W9" i="27"/>
  <c r="X9" i="27"/>
  <c r="Y9" i="27"/>
  <c r="Z9" i="27"/>
  <c r="AA9" i="27"/>
  <c r="AB9" i="27"/>
  <c r="N10" i="27"/>
  <c r="O10" i="27"/>
  <c r="P10" i="27"/>
  <c r="Q10" i="27"/>
  <c r="R10" i="27"/>
  <c r="S10" i="27"/>
  <c r="T10" i="27"/>
  <c r="U10" i="27"/>
  <c r="V10" i="27"/>
  <c r="W10" i="27"/>
  <c r="X10" i="27"/>
  <c r="Y10" i="27"/>
  <c r="Z10" i="27"/>
  <c r="AA10" i="27"/>
  <c r="AB10" i="27"/>
  <c r="N11" i="27"/>
  <c r="O11" i="27"/>
  <c r="P11" i="27"/>
  <c r="Q11" i="27"/>
  <c r="R11" i="27"/>
  <c r="S11" i="27"/>
  <c r="T11" i="27"/>
  <c r="U11" i="27"/>
  <c r="V11" i="27"/>
  <c r="W11" i="27"/>
  <c r="X11" i="27"/>
  <c r="Y11" i="27"/>
  <c r="Z11" i="27"/>
  <c r="AA11" i="27"/>
  <c r="AB11" i="27"/>
  <c r="N12" i="27"/>
  <c r="O12" i="27"/>
  <c r="P12" i="27"/>
  <c r="Q12" i="27"/>
  <c r="R12" i="27"/>
  <c r="S12" i="27"/>
  <c r="T12" i="27"/>
  <c r="U12" i="27"/>
  <c r="V12" i="27"/>
  <c r="W12" i="27"/>
  <c r="X12" i="27"/>
  <c r="Y12" i="27"/>
  <c r="Z12" i="27"/>
  <c r="AA12" i="27"/>
  <c r="AB12" i="27"/>
  <c r="N13" i="27"/>
  <c r="O13" i="27"/>
  <c r="P13" i="27"/>
  <c r="Q13" i="27"/>
  <c r="R13" i="27"/>
  <c r="S13" i="27"/>
  <c r="T13" i="27"/>
  <c r="U13" i="27"/>
  <c r="V13" i="27"/>
  <c r="W13" i="27"/>
  <c r="X13" i="27"/>
  <c r="Y13" i="27"/>
  <c r="Z13" i="27"/>
  <c r="AA13" i="27"/>
  <c r="AB13" i="27"/>
  <c r="N14" i="27"/>
  <c r="O14" i="27"/>
  <c r="P14" i="27"/>
  <c r="Q14" i="27"/>
  <c r="R14" i="27"/>
  <c r="S14" i="27"/>
  <c r="T14" i="27"/>
  <c r="U14" i="27"/>
  <c r="V14" i="27"/>
  <c r="W14" i="27"/>
  <c r="X14" i="27"/>
  <c r="Y14" i="27"/>
  <c r="Z14" i="27"/>
  <c r="AA14" i="27"/>
  <c r="AB14" i="27"/>
  <c r="N15" i="27"/>
  <c r="O15" i="27"/>
  <c r="P15" i="27"/>
  <c r="Q15" i="27"/>
  <c r="R15" i="27"/>
  <c r="S15" i="27"/>
  <c r="T15" i="27"/>
  <c r="U15" i="27"/>
  <c r="V15" i="27"/>
  <c r="W15" i="27"/>
  <c r="X15" i="27"/>
  <c r="Y15" i="27"/>
  <c r="Z15" i="27"/>
  <c r="AA15" i="27"/>
  <c r="AB15" i="27"/>
  <c r="N16" i="27"/>
  <c r="O16" i="27"/>
  <c r="P16" i="27"/>
  <c r="Q16" i="27"/>
  <c r="R16" i="27"/>
  <c r="S16" i="27"/>
  <c r="T16" i="27"/>
  <c r="U16" i="27"/>
  <c r="V16" i="27"/>
  <c r="W16" i="27"/>
  <c r="X16" i="27"/>
  <c r="Y16" i="27"/>
  <c r="Z16" i="27"/>
  <c r="AA16" i="27"/>
  <c r="AB16" i="27"/>
  <c r="N17" i="27"/>
  <c r="O17" i="27"/>
  <c r="P17" i="27"/>
  <c r="Q17" i="27"/>
  <c r="R17" i="27"/>
  <c r="S17" i="27"/>
  <c r="T17" i="27"/>
  <c r="U17" i="27"/>
  <c r="V17" i="27"/>
  <c r="W17" i="27"/>
  <c r="X17" i="27"/>
  <c r="Y17" i="27"/>
  <c r="Z17" i="27"/>
  <c r="AA17" i="27"/>
  <c r="AB17" i="27"/>
  <c r="N18" i="27"/>
  <c r="O18" i="27"/>
  <c r="P18" i="27"/>
  <c r="Q18" i="27"/>
  <c r="R18" i="27"/>
  <c r="S18" i="27"/>
  <c r="T18" i="27"/>
  <c r="U18" i="27"/>
  <c r="V18" i="27"/>
  <c r="W18" i="27"/>
  <c r="X18" i="27"/>
  <c r="Y18" i="27"/>
  <c r="Z18" i="27"/>
  <c r="AA18" i="27"/>
  <c r="AB18" i="27"/>
  <c r="N19" i="27"/>
  <c r="O19" i="27"/>
  <c r="P19" i="27"/>
  <c r="Q19" i="27"/>
  <c r="R19" i="27"/>
  <c r="S19" i="27"/>
  <c r="T19" i="27"/>
  <c r="U19" i="27"/>
  <c r="V19" i="27"/>
  <c r="W19" i="27"/>
  <c r="X19" i="27"/>
  <c r="Y19" i="27"/>
  <c r="Z19" i="27"/>
  <c r="AA19" i="27"/>
  <c r="AB19" i="27"/>
  <c r="N20" i="27"/>
  <c r="O20" i="27"/>
  <c r="P20" i="27"/>
  <c r="Q20" i="27"/>
  <c r="R20" i="27"/>
  <c r="S20" i="27"/>
  <c r="T20" i="27"/>
  <c r="U20" i="27"/>
  <c r="V20" i="27"/>
  <c r="W20" i="27"/>
  <c r="X20" i="27"/>
  <c r="Y20" i="27"/>
  <c r="Z20" i="27"/>
  <c r="AA20" i="27"/>
  <c r="AB20" i="27"/>
  <c r="N21" i="27"/>
  <c r="O21" i="27"/>
  <c r="P21" i="27"/>
  <c r="Q21" i="27"/>
  <c r="R21" i="27"/>
  <c r="S21" i="27"/>
  <c r="T21" i="27"/>
  <c r="U21" i="27"/>
  <c r="V21" i="27"/>
  <c r="W21" i="27"/>
  <c r="X21" i="27"/>
  <c r="Y21" i="27"/>
  <c r="Z21" i="27"/>
  <c r="AA21" i="27"/>
  <c r="AB21" i="27"/>
  <c r="N22" i="27"/>
  <c r="O22" i="27"/>
  <c r="P22" i="27"/>
  <c r="Q22" i="27"/>
  <c r="R22" i="27"/>
  <c r="S22" i="27"/>
  <c r="T22" i="27"/>
  <c r="U22" i="27"/>
  <c r="V22" i="27"/>
  <c r="W22" i="27"/>
  <c r="X22" i="27"/>
  <c r="Y22" i="27"/>
  <c r="Z22" i="27"/>
  <c r="AA22" i="27"/>
  <c r="AB22" i="27"/>
  <c r="N23" i="27"/>
  <c r="O23" i="27"/>
  <c r="P23" i="27"/>
  <c r="Q23" i="27"/>
  <c r="R23" i="27"/>
  <c r="S23" i="27"/>
  <c r="T23" i="27"/>
  <c r="U23" i="27"/>
  <c r="V23" i="27"/>
  <c r="W23" i="27"/>
  <c r="X23" i="27"/>
  <c r="Y23" i="27"/>
  <c r="Z23" i="27"/>
  <c r="AA23" i="27"/>
  <c r="AB23" i="27"/>
  <c r="N24" i="27"/>
  <c r="O24" i="27"/>
  <c r="P24" i="27"/>
  <c r="Q24" i="27"/>
  <c r="R24" i="27"/>
  <c r="S24" i="27"/>
  <c r="T24" i="27"/>
  <c r="U24" i="27"/>
  <c r="V24" i="27"/>
  <c r="W24" i="27"/>
  <c r="X24" i="27"/>
  <c r="Y24" i="27"/>
  <c r="Z24" i="27"/>
  <c r="AA24" i="27"/>
  <c r="AB24" i="27"/>
  <c r="N25" i="27"/>
  <c r="O25" i="27"/>
  <c r="P25" i="27"/>
  <c r="Q25" i="27"/>
  <c r="R25" i="27"/>
  <c r="S25" i="27"/>
  <c r="T25" i="27"/>
  <c r="U25" i="27"/>
  <c r="V25" i="27"/>
  <c r="W25" i="27"/>
  <c r="X25" i="27"/>
  <c r="Y25" i="27"/>
  <c r="Z25" i="27"/>
  <c r="AA25" i="27"/>
  <c r="AB25" i="27"/>
  <c r="N26" i="27"/>
  <c r="O26" i="27"/>
  <c r="P26" i="27"/>
  <c r="Q26" i="27"/>
  <c r="R26" i="27"/>
  <c r="S26" i="27"/>
  <c r="T26" i="27"/>
  <c r="U26" i="27"/>
  <c r="V26" i="27"/>
  <c r="W26" i="27"/>
  <c r="X26" i="27"/>
  <c r="Y26" i="27"/>
  <c r="Z26" i="27"/>
  <c r="AA26" i="27"/>
  <c r="AB26" i="27"/>
  <c r="N27" i="27"/>
  <c r="O27" i="27"/>
  <c r="P27" i="27"/>
  <c r="Q27" i="27"/>
  <c r="R27" i="27"/>
  <c r="S27" i="27"/>
  <c r="T27" i="27"/>
  <c r="U27" i="27"/>
  <c r="V27" i="27"/>
  <c r="W27" i="27"/>
  <c r="X27" i="27"/>
  <c r="Y27" i="27"/>
  <c r="Z27" i="27"/>
  <c r="AA27" i="27"/>
  <c r="AB27" i="27"/>
  <c r="N28" i="27"/>
  <c r="O28" i="27"/>
  <c r="P28" i="27"/>
  <c r="Q28" i="27"/>
  <c r="R28" i="27"/>
  <c r="S28" i="27"/>
  <c r="T28" i="27"/>
  <c r="U28" i="27"/>
  <c r="V28" i="27"/>
  <c r="W28" i="27"/>
  <c r="X28" i="27"/>
  <c r="Y28" i="27"/>
  <c r="Z28" i="27"/>
  <c r="AA28" i="27"/>
  <c r="AB28" i="27"/>
  <c r="N29" i="27"/>
  <c r="O29" i="27"/>
  <c r="P29" i="27"/>
  <c r="Q29" i="27"/>
  <c r="R29" i="27"/>
  <c r="S29" i="27"/>
  <c r="T29" i="27"/>
  <c r="U29" i="27"/>
  <c r="V29" i="27"/>
  <c r="W29" i="27"/>
  <c r="X29" i="27"/>
  <c r="Y29" i="27"/>
  <c r="Z29" i="27"/>
  <c r="AA29" i="27"/>
  <c r="AB29" i="27"/>
  <c r="N30" i="27"/>
  <c r="O30" i="27"/>
  <c r="P30" i="27"/>
  <c r="Q30" i="27"/>
  <c r="R30" i="27"/>
  <c r="S30" i="27"/>
  <c r="T30" i="27"/>
  <c r="U30" i="27"/>
  <c r="V30" i="27"/>
  <c r="W30" i="27"/>
  <c r="X30" i="27"/>
  <c r="Y30" i="27"/>
  <c r="Z30" i="27"/>
  <c r="AA30" i="27"/>
  <c r="AB30" i="27"/>
  <c r="N31" i="27"/>
  <c r="O31" i="27"/>
  <c r="P31" i="27"/>
  <c r="Q31" i="27"/>
  <c r="R31" i="27"/>
  <c r="S31" i="27"/>
  <c r="T31" i="27"/>
  <c r="U31" i="27"/>
  <c r="V31" i="27"/>
  <c r="W31" i="27"/>
  <c r="X31" i="27"/>
  <c r="Y31" i="27"/>
  <c r="Z31" i="27"/>
  <c r="AA31" i="27"/>
  <c r="AB31" i="27"/>
  <c r="N32" i="27"/>
  <c r="O32" i="27"/>
  <c r="P32" i="27"/>
  <c r="Q32" i="27"/>
  <c r="R32" i="27"/>
  <c r="S32" i="27"/>
  <c r="T32" i="27"/>
  <c r="U32" i="27"/>
  <c r="V32" i="27"/>
  <c r="W32" i="27"/>
  <c r="X32" i="27"/>
  <c r="Y32" i="27"/>
  <c r="Z32" i="27"/>
  <c r="AA32" i="27"/>
  <c r="AB32" i="27"/>
  <c r="N33" i="27"/>
  <c r="O33" i="27"/>
  <c r="P33" i="27"/>
  <c r="Q33" i="27"/>
  <c r="R33" i="27"/>
  <c r="S33" i="27"/>
  <c r="T33" i="27"/>
  <c r="U33" i="27"/>
  <c r="V33" i="27"/>
  <c r="W33" i="27"/>
  <c r="X33" i="27"/>
  <c r="Y33" i="27"/>
  <c r="Z33" i="27"/>
  <c r="AA33" i="27"/>
  <c r="AB33" i="27"/>
  <c r="N34" i="27"/>
  <c r="O34" i="27"/>
  <c r="P34" i="27"/>
  <c r="Q34" i="27"/>
  <c r="R34" i="27"/>
  <c r="S34" i="27"/>
  <c r="T34" i="27"/>
  <c r="U34" i="27"/>
  <c r="V34" i="27"/>
  <c r="W34" i="27"/>
  <c r="X34" i="27"/>
  <c r="Y34" i="27"/>
  <c r="Z34" i="27"/>
  <c r="AA34" i="27"/>
  <c r="AB34" i="27"/>
  <c r="N35" i="27"/>
  <c r="O35" i="27"/>
  <c r="P35" i="27"/>
  <c r="Q35" i="27"/>
  <c r="R35" i="27"/>
  <c r="S35" i="27"/>
  <c r="T35" i="27"/>
  <c r="U35" i="27"/>
  <c r="V35" i="27"/>
  <c r="W35" i="27"/>
  <c r="X35" i="27"/>
  <c r="Y35" i="27"/>
  <c r="Z35" i="27"/>
  <c r="AA35" i="27"/>
  <c r="AB35" i="27"/>
  <c r="N36" i="27"/>
  <c r="O36" i="27"/>
  <c r="P36" i="27"/>
  <c r="Q36" i="27"/>
  <c r="R36" i="27"/>
  <c r="S36" i="27"/>
  <c r="T36" i="27"/>
  <c r="U36" i="27"/>
  <c r="V36" i="27"/>
  <c r="W36" i="27"/>
  <c r="X36" i="27"/>
  <c r="Y36" i="27"/>
  <c r="Z36" i="27"/>
  <c r="AA36" i="27"/>
  <c r="AB36" i="27"/>
  <c r="N37" i="27"/>
  <c r="O37" i="27"/>
  <c r="P37" i="27"/>
  <c r="Q37" i="27"/>
  <c r="R37" i="27"/>
  <c r="S37" i="27"/>
  <c r="T37" i="27"/>
  <c r="U37" i="27"/>
  <c r="V37" i="27"/>
  <c r="W37" i="27"/>
  <c r="X37" i="27"/>
  <c r="Y37" i="27"/>
  <c r="Z37" i="27"/>
  <c r="AA37" i="27"/>
  <c r="AB37" i="27"/>
  <c r="N38" i="27"/>
  <c r="O38" i="27"/>
  <c r="P38" i="27"/>
  <c r="Q38" i="27"/>
  <c r="R38" i="27"/>
  <c r="S38" i="27"/>
  <c r="T38" i="27"/>
  <c r="U38" i="27"/>
  <c r="V38" i="27"/>
  <c r="W38" i="27"/>
  <c r="X38" i="27"/>
  <c r="Y38" i="27"/>
  <c r="Z38" i="27"/>
  <c r="AA38" i="27"/>
  <c r="AB38" i="27"/>
  <c r="N39" i="27"/>
  <c r="O39" i="27"/>
  <c r="P39" i="27"/>
  <c r="Q39" i="27"/>
  <c r="R39" i="27"/>
  <c r="S39" i="27"/>
  <c r="T39" i="27"/>
  <c r="U39" i="27"/>
  <c r="V39" i="27"/>
  <c r="W39" i="27"/>
  <c r="X39" i="27"/>
  <c r="Y39" i="27"/>
  <c r="Z39" i="27"/>
  <c r="AA39" i="27"/>
  <c r="AB39" i="27"/>
  <c r="N40" i="27"/>
  <c r="O40" i="27"/>
  <c r="P40" i="27"/>
  <c r="Q40" i="27"/>
  <c r="R40" i="27"/>
  <c r="S40" i="27"/>
  <c r="T40" i="27"/>
  <c r="U40" i="27"/>
  <c r="V40" i="27"/>
  <c r="W40" i="27"/>
  <c r="X40" i="27"/>
  <c r="Y40" i="27"/>
  <c r="Z40" i="27"/>
  <c r="AA40" i="27"/>
  <c r="AB40" i="27"/>
  <c r="N41" i="27"/>
  <c r="O41" i="27"/>
  <c r="P41" i="27"/>
  <c r="Q41" i="27"/>
  <c r="R41" i="27"/>
  <c r="S41" i="27"/>
  <c r="T41" i="27"/>
  <c r="U41" i="27"/>
  <c r="V41" i="27"/>
  <c r="W41" i="27"/>
  <c r="X41" i="27"/>
  <c r="Y41" i="27"/>
  <c r="Z41" i="27"/>
  <c r="AA41" i="27"/>
  <c r="AB41" i="27"/>
  <c r="N42" i="27"/>
  <c r="O42" i="27"/>
  <c r="P42" i="27"/>
  <c r="Q42" i="27"/>
  <c r="R42" i="27"/>
  <c r="S42" i="27"/>
  <c r="T42" i="27"/>
  <c r="U42" i="27"/>
  <c r="V42" i="27"/>
  <c r="W42" i="27"/>
  <c r="X42" i="27"/>
  <c r="Y42" i="27"/>
  <c r="Z42" i="27"/>
  <c r="AA42" i="27"/>
  <c r="AB42" i="27"/>
  <c r="N43" i="27"/>
  <c r="O43" i="27"/>
  <c r="P43" i="27"/>
  <c r="Q43" i="27"/>
  <c r="R43" i="27"/>
  <c r="S43" i="27"/>
  <c r="T43" i="27"/>
  <c r="U43" i="27"/>
  <c r="V43" i="27"/>
  <c r="W43" i="27"/>
  <c r="X43" i="27"/>
  <c r="Y43" i="27"/>
  <c r="Z43" i="27"/>
  <c r="AA43" i="27"/>
  <c r="AB43" i="27"/>
  <c r="N44" i="27"/>
  <c r="O44" i="27"/>
  <c r="P44" i="27"/>
  <c r="Q44" i="27"/>
  <c r="R44" i="27"/>
  <c r="S44" i="27"/>
  <c r="T44" i="27"/>
  <c r="U44" i="27"/>
  <c r="V44" i="27"/>
  <c r="W44" i="27"/>
  <c r="X44" i="27"/>
  <c r="Y44" i="27"/>
  <c r="Z44" i="27"/>
  <c r="AA44" i="27"/>
  <c r="AB44" i="27"/>
  <c r="N45" i="27"/>
  <c r="O45" i="27"/>
  <c r="P45" i="27"/>
  <c r="Q45" i="27"/>
  <c r="R45" i="27"/>
  <c r="S45" i="27"/>
  <c r="T45" i="27"/>
  <c r="U45" i="27"/>
  <c r="V45" i="27"/>
  <c r="W45" i="27"/>
  <c r="X45" i="27"/>
  <c r="Y45" i="27"/>
  <c r="Z45" i="27"/>
  <c r="AA45" i="27"/>
  <c r="AB45" i="27"/>
  <c r="N46" i="27"/>
  <c r="O46" i="27"/>
  <c r="P46" i="27"/>
  <c r="Q46" i="27"/>
  <c r="R46" i="27"/>
  <c r="S46" i="27"/>
  <c r="T46" i="27"/>
  <c r="U46" i="27"/>
  <c r="V46" i="27"/>
  <c r="W46" i="27"/>
  <c r="X46" i="27"/>
  <c r="Y46" i="27"/>
  <c r="Z46" i="27"/>
  <c r="AA46" i="27"/>
  <c r="AB46" i="27"/>
  <c r="N47" i="27"/>
  <c r="O47" i="27"/>
  <c r="P47" i="27"/>
  <c r="Q47" i="27"/>
  <c r="R47" i="27"/>
  <c r="S47" i="27"/>
  <c r="T47" i="27"/>
  <c r="U47" i="27"/>
  <c r="V47" i="27"/>
  <c r="W47" i="27"/>
  <c r="X47" i="27"/>
  <c r="Y47" i="27"/>
  <c r="Z47" i="27"/>
  <c r="AA47" i="27"/>
  <c r="AB47" i="27"/>
  <c r="N48" i="27"/>
  <c r="O48" i="27"/>
  <c r="P48" i="27"/>
  <c r="Q48" i="27"/>
  <c r="R48" i="27"/>
  <c r="S48" i="27"/>
  <c r="T48" i="27"/>
  <c r="U48" i="27"/>
  <c r="V48" i="27"/>
  <c r="W48" i="27"/>
  <c r="X48" i="27"/>
  <c r="Y48" i="27"/>
  <c r="Z48" i="27"/>
  <c r="AA48" i="27"/>
  <c r="AB48" i="27"/>
  <c r="N49" i="27"/>
  <c r="O49" i="27"/>
  <c r="P49" i="27"/>
  <c r="Q49" i="27"/>
  <c r="R49" i="27"/>
  <c r="S49" i="27"/>
  <c r="T49" i="27"/>
  <c r="U49" i="27"/>
  <c r="V49" i="27"/>
  <c r="W49" i="27"/>
  <c r="X49" i="27"/>
  <c r="Y49" i="27"/>
  <c r="Z49" i="27"/>
  <c r="AA49" i="27"/>
  <c r="AB49" i="27"/>
  <c r="N50" i="27"/>
  <c r="O50" i="27"/>
  <c r="P50" i="27"/>
  <c r="Q50" i="27"/>
  <c r="R50" i="27"/>
  <c r="S50" i="27"/>
  <c r="T50" i="27"/>
  <c r="U50" i="27"/>
  <c r="V50" i="27"/>
  <c r="W50" i="27"/>
  <c r="X50" i="27"/>
  <c r="Y50" i="27"/>
  <c r="Z50" i="27"/>
  <c r="AA50" i="27"/>
  <c r="AB50" i="27"/>
  <c r="N51" i="27"/>
  <c r="O51" i="27"/>
  <c r="P51" i="27"/>
  <c r="Q51" i="27"/>
  <c r="R51" i="27"/>
  <c r="S51" i="27"/>
  <c r="T51" i="27"/>
  <c r="U51" i="27"/>
  <c r="V51" i="27"/>
  <c r="W51" i="27"/>
  <c r="X51" i="27"/>
  <c r="Y51" i="27"/>
  <c r="Z51" i="27"/>
  <c r="AA51" i="27"/>
  <c r="AB51" i="27"/>
  <c r="N86" i="27"/>
  <c r="O86" i="27"/>
  <c r="P86" i="27"/>
  <c r="Q86" i="27"/>
  <c r="R86" i="27"/>
  <c r="S86" i="27"/>
  <c r="T86" i="27"/>
  <c r="U86" i="27"/>
  <c r="V86" i="27"/>
  <c r="W86" i="27"/>
  <c r="X86" i="27"/>
  <c r="Y86" i="27"/>
  <c r="Z86" i="27"/>
  <c r="AA86" i="27"/>
  <c r="AB86" i="27"/>
  <c r="N87" i="27"/>
  <c r="O87" i="27"/>
  <c r="P87" i="27"/>
  <c r="Q87" i="27"/>
  <c r="R87" i="27"/>
  <c r="S87" i="27"/>
  <c r="T87" i="27"/>
  <c r="U87" i="27"/>
  <c r="V87" i="27"/>
  <c r="W87" i="27"/>
  <c r="X87" i="27"/>
  <c r="Y87" i="27"/>
  <c r="Z87" i="27"/>
  <c r="AA87" i="27"/>
  <c r="AB87" i="27"/>
  <c r="N88" i="27"/>
  <c r="O88" i="27"/>
  <c r="P88" i="27"/>
  <c r="Q88" i="27"/>
  <c r="R88" i="27"/>
  <c r="S88" i="27"/>
  <c r="T88" i="27"/>
  <c r="U88" i="27"/>
  <c r="V88" i="27"/>
  <c r="W88" i="27"/>
  <c r="X88" i="27"/>
  <c r="Y88" i="27"/>
  <c r="Z88" i="27"/>
  <c r="AA88" i="27"/>
  <c r="AB88" i="27"/>
  <c r="N89" i="27"/>
  <c r="O89" i="27"/>
  <c r="P89" i="27"/>
  <c r="Q89" i="27"/>
  <c r="R89" i="27"/>
  <c r="S89" i="27"/>
  <c r="T89" i="27"/>
  <c r="U89" i="27"/>
  <c r="V89" i="27"/>
  <c r="W89" i="27"/>
  <c r="X89" i="27"/>
  <c r="Y89" i="27"/>
  <c r="Z89" i="27"/>
  <c r="AA89" i="27"/>
  <c r="AB89" i="27"/>
  <c r="N90" i="27"/>
  <c r="O90" i="27"/>
  <c r="P90" i="27"/>
  <c r="Q90" i="27"/>
  <c r="R90" i="27"/>
  <c r="S90" i="27"/>
  <c r="T90" i="27"/>
  <c r="U90" i="27"/>
  <c r="V90" i="27"/>
  <c r="W90" i="27"/>
  <c r="X90" i="27"/>
  <c r="Y90" i="27"/>
  <c r="Z90" i="27"/>
  <c r="AA90" i="27"/>
  <c r="AB90" i="27"/>
  <c r="N91" i="27"/>
  <c r="O91" i="27"/>
  <c r="P91" i="27"/>
  <c r="Q91" i="27"/>
  <c r="R91" i="27"/>
  <c r="S91" i="27"/>
  <c r="T91" i="27"/>
  <c r="U91" i="27"/>
  <c r="V91" i="27"/>
  <c r="W91" i="27"/>
  <c r="X91" i="27"/>
  <c r="Y91" i="27"/>
  <c r="Z91" i="27"/>
  <c r="AA91" i="27"/>
  <c r="AB91" i="27"/>
  <c r="N92" i="27"/>
  <c r="O92" i="27"/>
  <c r="P92" i="27"/>
  <c r="Q92" i="27"/>
  <c r="R92" i="27"/>
  <c r="S92" i="27"/>
  <c r="T92" i="27"/>
  <c r="U92" i="27"/>
  <c r="V92" i="27"/>
  <c r="W92" i="27"/>
  <c r="X92" i="27"/>
  <c r="Y92" i="27"/>
  <c r="Z92" i="27"/>
  <c r="AA92" i="27"/>
  <c r="AB92" i="27"/>
  <c r="N93" i="27"/>
  <c r="O93" i="27"/>
  <c r="P93" i="27"/>
  <c r="Q93" i="27"/>
  <c r="R93" i="27"/>
  <c r="S93" i="27"/>
  <c r="T93" i="27"/>
  <c r="U93" i="27"/>
  <c r="V93" i="27"/>
  <c r="W93" i="27"/>
  <c r="X93" i="27"/>
  <c r="Y93" i="27"/>
  <c r="Z93" i="27"/>
  <c r="AA93" i="27"/>
  <c r="AB93" i="27"/>
  <c r="N94" i="27"/>
  <c r="O94" i="27"/>
  <c r="P94" i="27"/>
  <c r="Q94" i="27"/>
  <c r="R94" i="27"/>
  <c r="S94" i="27"/>
  <c r="T94" i="27"/>
  <c r="U94" i="27"/>
  <c r="V94" i="27"/>
  <c r="W94" i="27"/>
  <c r="X94" i="27"/>
  <c r="Y94" i="27"/>
  <c r="Z94" i="27"/>
  <c r="AA94" i="27"/>
  <c r="AB94" i="27"/>
  <c r="N95" i="27"/>
  <c r="O95" i="27"/>
  <c r="P95" i="27"/>
  <c r="Q95" i="27"/>
  <c r="R95" i="27"/>
  <c r="S95" i="27"/>
  <c r="T95" i="27"/>
  <c r="U95" i="27"/>
  <c r="V95" i="27"/>
  <c r="W95" i="27"/>
  <c r="X95" i="27"/>
  <c r="Y95" i="27"/>
  <c r="Z95" i="27"/>
  <c r="AA95" i="27"/>
  <c r="AB95" i="27"/>
  <c r="N96" i="27"/>
  <c r="O96" i="27"/>
  <c r="P96" i="27"/>
  <c r="Q96" i="27"/>
  <c r="R96" i="27"/>
  <c r="S96" i="27"/>
  <c r="T96" i="27"/>
  <c r="U96" i="27"/>
  <c r="V96" i="27"/>
  <c r="W96" i="27"/>
  <c r="X96" i="27"/>
  <c r="Y96" i="27"/>
  <c r="Z96" i="27"/>
  <c r="AA96" i="27"/>
  <c r="AB96" i="27"/>
  <c r="N97" i="27"/>
  <c r="O97" i="27"/>
  <c r="P97" i="27"/>
  <c r="Q97" i="27"/>
  <c r="R97" i="27"/>
  <c r="S97" i="27"/>
  <c r="T97" i="27"/>
  <c r="U97" i="27"/>
  <c r="V97" i="27"/>
  <c r="W97" i="27"/>
  <c r="X97" i="27"/>
  <c r="Y97" i="27"/>
  <c r="Z97" i="27"/>
  <c r="AA97" i="27"/>
  <c r="AB97" i="27"/>
  <c r="N98" i="27"/>
  <c r="O98" i="27"/>
  <c r="P98" i="27"/>
  <c r="Q98" i="27"/>
  <c r="R98" i="27"/>
  <c r="S98" i="27"/>
  <c r="T98" i="27"/>
  <c r="U98" i="27"/>
  <c r="V98" i="27"/>
  <c r="W98" i="27"/>
  <c r="X98" i="27"/>
  <c r="Y98" i="27"/>
  <c r="Z98" i="27"/>
  <c r="AA98" i="27"/>
  <c r="AB98" i="27"/>
  <c r="N99" i="27"/>
  <c r="O99" i="27"/>
  <c r="P99" i="27"/>
  <c r="Q99" i="27"/>
  <c r="R99" i="27"/>
  <c r="S99" i="27"/>
  <c r="T99" i="27"/>
  <c r="U99" i="27"/>
  <c r="V99" i="27"/>
  <c r="W99" i="27"/>
  <c r="X99" i="27"/>
  <c r="Y99" i="27"/>
  <c r="Z99" i="27"/>
  <c r="AA99" i="27"/>
  <c r="AB99" i="27"/>
  <c r="N52" i="27"/>
  <c r="O52" i="27"/>
  <c r="P52" i="27"/>
  <c r="Q52" i="27"/>
  <c r="R52" i="27"/>
  <c r="S52" i="27"/>
  <c r="T52" i="27"/>
  <c r="U52" i="27"/>
  <c r="V52" i="27"/>
  <c r="W52" i="27"/>
  <c r="X52" i="27"/>
  <c r="Y52" i="27"/>
  <c r="Z52" i="27"/>
  <c r="AA52" i="27"/>
  <c r="AB52" i="27"/>
  <c r="N53" i="27"/>
  <c r="O53" i="27"/>
  <c r="P53" i="27"/>
  <c r="Q53" i="27"/>
  <c r="R53" i="27"/>
  <c r="S53" i="27"/>
  <c r="T53" i="27"/>
  <c r="U53" i="27"/>
  <c r="V53" i="27"/>
  <c r="W53" i="27"/>
  <c r="X53" i="27"/>
  <c r="Y53" i="27"/>
  <c r="Z53" i="27"/>
  <c r="AA53" i="27"/>
  <c r="AB53" i="27"/>
  <c r="N54" i="27"/>
  <c r="O54" i="27"/>
  <c r="P54" i="27"/>
  <c r="Q54" i="27"/>
  <c r="R54" i="27"/>
  <c r="S54" i="27"/>
  <c r="T54" i="27"/>
  <c r="U54" i="27"/>
  <c r="V54" i="27"/>
  <c r="W54" i="27"/>
  <c r="X54" i="27"/>
  <c r="Y54" i="27"/>
  <c r="Z54" i="27"/>
  <c r="AA54" i="27"/>
  <c r="AB54" i="27"/>
  <c r="N55" i="27"/>
  <c r="O55" i="27"/>
  <c r="P55" i="27"/>
  <c r="Q55" i="27"/>
  <c r="R55" i="27"/>
  <c r="S55" i="27"/>
  <c r="T55" i="27"/>
  <c r="U55" i="27"/>
  <c r="V55" i="27"/>
  <c r="W55" i="27"/>
  <c r="X55" i="27"/>
  <c r="Y55" i="27"/>
  <c r="Z55" i="27"/>
  <c r="AA55" i="27"/>
  <c r="AB55" i="27"/>
  <c r="N56" i="27"/>
  <c r="O56" i="27"/>
  <c r="P56" i="27"/>
  <c r="Q56" i="27"/>
  <c r="R56" i="27"/>
  <c r="S56" i="27"/>
  <c r="T56" i="27"/>
  <c r="U56" i="27"/>
  <c r="V56" i="27"/>
  <c r="W56" i="27"/>
  <c r="X56" i="27"/>
  <c r="Y56" i="27"/>
  <c r="Z56" i="27"/>
  <c r="AA56" i="27"/>
  <c r="AB56" i="27"/>
  <c r="N57" i="27"/>
  <c r="O57" i="27"/>
  <c r="P57" i="27"/>
  <c r="Q57" i="27"/>
  <c r="R57" i="27"/>
  <c r="S57" i="27"/>
  <c r="T57" i="27"/>
  <c r="U57" i="27"/>
  <c r="V57" i="27"/>
  <c r="W57" i="27"/>
  <c r="X57" i="27"/>
  <c r="Y57" i="27"/>
  <c r="Z57" i="27"/>
  <c r="AA57" i="27"/>
  <c r="AB57" i="27"/>
  <c r="N58" i="27"/>
  <c r="O58" i="27"/>
  <c r="P58" i="27"/>
  <c r="Q58" i="27"/>
  <c r="R58" i="27"/>
  <c r="S58" i="27"/>
  <c r="T58" i="27"/>
  <c r="U58" i="27"/>
  <c r="V58" i="27"/>
  <c r="W58" i="27"/>
  <c r="X58" i="27"/>
  <c r="Y58" i="27"/>
  <c r="Z58" i="27"/>
  <c r="AA58" i="27"/>
  <c r="AB58" i="27"/>
  <c r="N59" i="27"/>
  <c r="O59" i="27"/>
  <c r="P59" i="27"/>
  <c r="Q59" i="27"/>
  <c r="R59" i="27"/>
  <c r="S59" i="27"/>
  <c r="T59" i="27"/>
  <c r="U59" i="27"/>
  <c r="V59" i="27"/>
  <c r="W59" i="27"/>
  <c r="X59" i="27"/>
  <c r="Y59" i="27"/>
  <c r="Z59" i="27"/>
  <c r="AA59" i="27"/>
  <c r="AB59" i="27"/>
  <c r="N60" i="27"/>
  <c r="O60" i="27"/>
  <c r="P60" i="27"/>
  <c r="Q60" i="27"/>
  <c r="R60" i="27"/>
  <c r="S60" i="27"/>
  <c r="T60" i="27"/>
  <c r="U60" i="27"/>
  <c r="V60" i="27"/>
  <c r="W60" i="27"/>
  <c r="X60" i="27"/>
  <c r="Y60" i="27"/>
  <c r="Z60" i="27"/>
  <c r="AA60" i="27"/>
  <c r="AB60" i="27"/>
  <c r="N61" i="27"/>
  <c r="O61" i="27"/>
  <c r="P61" i="27"/>
  <c r="Q61" i="27"/>
  <c r="R61" i="27"/>
  <c r="S61" i="27"/>
  <c r="T61" i="27"/>
  <c r="U61" i="27"/>
  <c r="V61" i="27"/>
  <c r="W61" i="27"/>
  <c r="X61" i="27"/>
  <c r="Y61" i="27"/>
  <c r="Z61" i="27"/>
  <c r="AA61" i="27"/>
  <c r="AB61" i="27"/>
  <c r="N62" i="27"/>
  <c r="O62" i="27"/>
  <c r="P62" i="27"/>
  <c r="Q62" i="27"/>
  <c r="R62" i="27"/>
  <c r="S62" i="27"/>
  <c r="T62" i="27"/>
  <c r="U62" i="27"/>
  <c r="V62" i="27"/>
  <c r="W62" i="27"/>
  <c r="X62" i="27"/>
  <c r="Y62" i="27"/>
  <c r="Z62" i="27"/>
  <c r="AA62" i="27"/>
  <c r="AB62" i="27"/>
  <c r="N63" i="27"/>
  <c r="O63" i="27"/>
  <c r="P63" i="27"/>
  <c r="Q63" i="27"/>
  <c r="R63" i="27"/>
  <c r="S63" i="27"/>
  <c r="T63" i="27"/>
  <c r="U63" i="27"/>
  <c r="V63" i="27"/>
  <c r="W63" i="27"/>
  <c r="X63" i="27"/>
  <c r="Y63" i="27"/>
  <c r="Z63" i="27"/>
  <c r="AA63" i="27"/>
  <c r="AB63" i="27"/>
  <c r="N64" i="27"/>
  <c r="O64" i="27"/>
  <c r="P64" i="27"/>
  <c r="Q64" i="27"/>
  <c r="R64" i="27"/>
  <c r="S64" i="27"/>
  <c r="T64" i="27"/>
  <c r="U64" i="27"/>
  <c r="V64" i="27"/>
  <c r="W64" i="27"/>
  <c r="X64" i="27"/>
  <c r="Y64" i="27"/>
  <c r="Z64" i="27"/>
  <c r="AA64" i="27"/>
  <c r="AB64" i="27"/>
  <c r="N65" i="27"/>
  <c r="O65" i="27"/>
  <c r="P65" i="27"/>
  <c r="Q65" i="27"/>
  <c r="R65" i="27"/>
  <c r="S65" i="27"/>
  <c r="T65" i="27"/>
  <c r="U65" i="27"/>
  <c r="V65" i="27"/>
  <c r="W65" i="27"/>
  <c r="X65" i="27"/>
  <c r="Y65" i="27"/>
  <c r="Z65" i="27"/>
  <c r="AA65" i="27"/>
  <c r="AB65" i="27"/>
  <c r="N66" i="27"/>
  <c r="O66" i="27"/>
  <c r="P66" i="27"/>
  <c r="Q66" i="27"/>
  <c r="R66" i="27"/>
  <c r="S66" i="27"/>
  <c r="T66" i="27"/>
  <c r="U66" i="27"/>
  <c r="V66" i="27"/>
  <c r="W66" i="27"/>
  <c r="X66" i="27"/>
  <c r="Y66" i="27"/>
  <c r="Z66" i="27"/>
  <c r="AA66" i="27"/>
  <c r="AB66" i="27"/>
  <c r="N67" i="27"/>
  <c r="O67" i="27"/>
  <c r="P67" i="27"/>
  <c r="Q67" i="27"/>
  <c r="R67" i="27"/>
  <c r="S67" i="27"/>
  <c r="T67" i="27"/>
  <c r="U67" i="27"/>
  <c r="V67" i="27"/>
  <c r="W67" i="27"/>
  <c r="X67" i="27"/>
  <c r="Y67" i="27"/>
  <c r="Z67" i="27"/>
  <c r="AA67" i="27"/>
  <c r="AB67" i="27"/>
  <c r="N68" i="27"/>
  <c r="O68" i="27"/>
  <c r="P68" i="27"/>
  <c r="Q68" i="27"/>
  <c r="R68" i="27"/>
  <c r="S68" i="27"/>
  <c r="T68" i="27"/>
  <c r="U68" i="27"/>
  <c r="V68" i="27"/>
  <c r="W68" i="27"/>
  <c r="X68" i="27"/>
  <c r="Y68" i="27"/>
  <c r="Z68" i="27"/>
  <c r="AA68" i="27"/>
  <c r="AB68" i="27"/>
  <c r="N69" i="27"/>
  <c r="O69" i="27"/>
  <c r="P69" i="27"/>
  <c r="Q69" i="27"/>
  <c r="R69" i="27"/>
  <c r="S69" i="27"/>
  <c r="T69" i="27"/>
  <c r="U69" i="27"/>
  <c r="V69" i="27"/>
  <c r="W69" i="27"/>
  <c r="X69" i="27"/>
  <c r="Y69" i="27"/>
  <c r="Z69" i="27"/>
  <c r="AA69" i="27"/>
  <c r="AB69" i="27"/>
  <c r="N70" i="27"/>
  <c r="O70" i="27"/>
  <c r="P70" i="27"/>
  <c r="Q70" i="27"/>
  <c r="R70" i="27"/>
  <c r="S70" i="27"/>
  <c r="T70" i="27"/>
  <c r="U70" i="27"/>
  <c r="V70" i="27"/>
  <c r="W70" i="27"/>
  <c r="X70" i="27"/>
  <c r="Y70" i="27"/>
  <c r="Z70" i="27"/>
  <c r="AA70" i="27"/>
  <c r="AB70" i="27"/>
  <c r="N71" i="27"/>
  <c r="O71" i="27"/>
  <c r="P71" i="27"/>
  <c r="Q71" i="27"/>
  <c r="R71" i="27"/>
  <c r="S71" i="27"/>
  <c r="T71" i="27"/>
  <c r="U71" i="27"/>
  <c r="V71" i="27"/>
  <c r="W71" i="27"/>
  <c r="X71" i="27"/>
  <c r="Y71" i="27"/>
  <c r="Z71" i="27"/>
  <c r="AA71" i="27"/>
  <c r="AB71" i="27"/>
  <c r="N72" i="27"/>
  <c r="O72" i="27"/>
  <c r="P72" i="27"/>
  <c r="Q72" i="27"/>
  <c r="R72" i="27"/>
  <c r="S72" i="27"/>
  <c r="T72" i="27"/>
  <c r="U72" i="27"/>
  <c r="V72" i="27"/>
  <c r="W72" i="27"/>
  <c r="X72" i="27"/>
  <c r="Y72" i="27"/>
  <c r="Z72" i="27"/>
  <c r="AA72" i="27"/>
  <c r="AB72" i="27"/>
  <c r="N73" i="27"/>
  <c r="O73" i="27"/>
  <c r="P73" i="27"/>
  <c r="Q73" i="27"/>
  <c r="R73" i="27"/>
  <c r="S73" i="27"/>
  <c r="T73" i="27"/>
  <c r="U73" i="27"/>
  <c r="V73" i="27"/>
  <c r="W73" i="27"/>
  <c r="X73" i="27"/>
  <c r="Y73" i="27"/>
  <c r="Z73" i="27"/>
  <c r="AA73" i="27"/>
  <c r="AB73" i="27"/>
  <c r="N74" i="27"/>
  <c r="O74" i="27"/>
  <c r="P74" i="27"/>
  <c r="Q74" i="27"/>
  <c r="R74" i="27"/>
  <c r="S74" i="27"/>
  <c r="T74" i="27"/>
  <c r="U74" i="27"/>
  <c r="V74" i="27"/>
  <c r="W74" i="27"/>
  <c r="X74" i="27"/>
  <c r="Y74" i="27"/>
  <c r="Z74" i="27"/>
  <c r="AA74" i="27"/>
  <c r="AB74" i="27"/>
  <c r="N75" i="27"/>
  <c r="O75" i="27"/>
  <c r="P75" i="27"/>
  <c r="Q75" i="27"/>
  <c r="R75" i="27"/>
  <c r="S75" i="27"/>
  <c r="T75" i="27"/>
  <c r="U75" i="27"/>
  <c r="V75" i="27"/>
  <c r="W75" i="27"/>
  <c r="X75" i="27"/>
  <c r="Y75" i="27"/>
  <c r="Z75" i="27"/>
  <c r="AA75" i="27"/>
  <c r="AB75" i="27"/>
  <c r="N76" i="27"/>
  <c r="O76" i="27"/>
  <c r="P76" i="27"/>
  <c r="Q76" i="27"/>
  <c r="R76" i="27"/>
  <c r="S76" i="27"/>
  <c r="T76" i="27"/>
  <c r="U76" i="27"/>
  <c r="V76" i="27"/>
  <c r="W76" i="27"/>
  <c r="X76" i="27"/>
  <c r="Y76" i="27"/>
  <c r="Z76" i="27"/>
  <c r="AA76" i="27"/>
  <c r="AB76" i="27"/>
  <c r="N77" i="27"/>
  <c r="O77" i="27"/>
  <c r="P77" i="27"/>
  <c r="Q77" i="27"/>
  <c r="R77" i="27"/>
  <c r="S77" i="27"/>
  <c r="T77" i="27"/>
  <c r="U77" i="27"/>
  <c r="V77" i="27"/>
  <c r="W77" i="27"/>
  <c r="X77" i="27"/>
  <c r="Y77" i="27"/>
  <c r="Z77" i="27"/>
  <c r="AA77" i="27"/>
  <c r="AB77" i="27"/>
  <c r="N78" i="27"/>
  <c r="O78" i="27"/>
  <c r="P78" i="27"/>
  <c r="Q78" i="27"/>
  <c r="R78" i="27"/>
  <c r="S78" i="27"/>
  <c r="T78" i="27"/>
  <c r="U78" i="27"/>
  <c r="V78" i="27"/>
  <c r="W78" i="27"/>
  <c r="X78" i="27"/>
  <c r="Y78" i="27"/>
  <c r="Z78" i="27"/>
  <c r="AA78" i="27"/>
  <c r="AB78" i="27"/>
  <c r="N79" i="27"/>
  <c r="O79" i="27"/>
  <c r="P79" i="27"/>
  <c r="Q79" i="27"/>
  <c r="R79" i="27"/>
  <c r="S79" i="27"/>
  <c r="T79" i="27"/>
  <c r="U79" i="27"/>
  <c r="V79" i="27"/>
  <c r="W79" i="27"/>
  <c r="X79" i="27"/>
  <c r="Y79" i="27"/>
  <c r="Z79" i="27"/>
  <c r="AA79" i="27"/>
  <c r="AB79" i="27"/>
  <c r="N80" i="27"/>
  <c r="O80" i="27"/>
  <c r="P80" i="27"/>
  <c r="Q80" i="27"/>
  <c r="R80" i="27"/>
  <c r="S80" i="27"/>
  <c r="T80" i="27"/>
  <c r="U80" i="27"/>
  <c r="V80" i="27"/>
  <c r="W80" i="27"/>
  <c r="X80" i="27"/>
  <c r="Y80" i="27"/>
  <c r="Z80" i="27"/>
  <c r="AA80" i="27"/>
  <c r="AB80" i="27"/>
  <c r="N81" i="27"/>
  <c r="O81" i="27"/>
  <c r="P81" i="27"/>
  <c r="Q81" i="27"/>
  <c r="R81" i="27"/>
  <c r="S81" i="27"/>
  <c r="T81" i="27"/>
  <c r="U81" i="27"/>
  <c r="V81" i="27"/>
  <c r="W81" i="27"/>
  <c r="X81" i="27"/>
  <c r="Y81" i="27"/>
  <c r="Z81" i="27"/>
  <c r="AA81" i="27"/>
  <c r="AB81" i="27"/>
  <c r="N82" i="27"/>
  <c r="O82" i="27"/>
  <c r="P82" i="27"/>
  <c r="Q82" i="27"/>
  <c r="R82" i="27"/>
  <c r="S82" i="27"/>
  <c r="T82" i="27"/>
  <c r="U82" i="27"/>
  <c r="V82" i="27"/>
  <c r="W82" i="27"/>
  <c r="X82" i="27"/>
  <c r="Y82" i="27"/>
  <c r="Z82" i="27"/>
  <c r="AA82" i="27"/>
  <c r="AB82" i="27"/>
  <c r="N83" i="27"/>
  <c r="O83" i="27"/>
  <c r="P83" i="27"/>
  <c r="Q83" i="27"/>
  <c r="R83" i="27"/>
  <c r="S83" i="27"/>
  <c r="T83" i="27"/>
  <c r="U83" i="27"/>
  <c r="V83" i="27"/>
  <c r="W83" i="27"/>
  <c r="X83" i="27"/>
  <c r="Y83" i="27"/>
  <c r="Z83" i="27"/>
  <c r="AA83" i="27"/>
  <c r="AB83" i="27"/>
  <c r="N84" i="27"/>
  <c r="O84" i="27"/>
  <c r="P84" i="27"/>
  <c r="Q84" i="27"/>
  <c r="R84" i="27"/>
  <c r="S84" i="27"/>
  <c r="T84" i="27"/>
  <c r="U84" i="27"/>
  <c r="V84" i="27"/>
  <c r="W84" i="27"/>
  <c r="X84" i="27"/>
  <c r="Y84" i="27"/>
  <c r="Z84" i="27"/>
  <c r="AA84" i="27"/>
  <c r="AB84" i="27"/>
  <c r="N85" i="27"/>
  <c r="O85" i="27"/>
  <c r="P85" i="27"/>
  <c r="Q85" i="27"/>
  <c r="R85" i="27"/>
  <c r="S85" i="27"/>
  <c r="T85" i="27"/>
  <c r="U85" i="27"/>
  <c r="V85" i="27"/>
  <c r="W85" i="27"/>
  <c r="X85" i="27"/>
  <c r="Y85" i="27"/>
  <c r="Z85" i="27"/>
  <c r="AA85" i="27"/>
  <c r="AB85" i="27"/>
  <c r="N100" i="27"/>
  <c r="O100" i="27"/>
  <c r="P100" i="27"/>
  <c r="Q100" i="27"/>
  <c r="R100" i="27"/>
  <c r="S100" i="27"/>
  <c r="T100" i="27"/>
  <c r="U100" i="27"/>
  <c r="V100" i="27"/>
  <c r="W100" i="27"/>
  <c r="X100" i="27"/>
  <c r="Y100" i="27"/>
  <c r="Z100" i="27"/>
  <c r="AA100" i="27"/>
  <c r="AB100" i="27"/>
  <c r="N101" i="27"/>
  <c r="O101" i="27"/>
  <c r="P101" i="27"/>
  <c r="Q101" i="27"/>
  <c r="R101" i="27"/>
  <c r="S101" i="27"/>
  <c r="T101" i="27"/>
  <c r="U101" i="27"/>
  <c r="V101" i="27"/>
  <c r="W101" i="27"/>
  <c r="X101" i="27"/>
  <c r="Y101" i="27"/>
  <c r="Z101" i="27"/>
  <c r="AA101" i="27"/>
  <c r="AB101" i="27"/>
  <c r="N132" i="27"/>
  <c r="O132" i="27"/>
  <c r="P132" i="27"/>
  <c r="Q132" i="27"/>
  <c r="R132" i="27"/>
  <c r="S132" i="27"/>
  <c r="T132" i="27"/>
  <c r="U132" i="27"/>
  <c r="V132" i="27"/>
  <c r="W132" i="27"/>
  <c r="X132" i="27"/>
  <c r="Y132" i="27"/>
  <c r="Z132" i="27"/>
  <c r="AA132" i="27"/>
  <c r="AB132" i="27"/>
  <c r="N133" i="27"/>
  <c r="O133" i="27"/>
  <c r="P133" i="27"/>
  <c r="Q133" i="27"/>
  <c r="R133" i="27"/>
  <c r="S133" i="27"/>
  <c r="T133" i="27"/>
  <c r="U133" i="27"/>
  <c r="V133" i="27"/>
  <c r="W133" i="27"/>
  <c r="X133" i="27"/>
  <c r="Y133" i="27"/>
  <c r="Z133" i="27"/>
  <c r="AA133" i="27"/>
  <c r="AB133" i="27"/>
  <c r="N134" i="27"/>
  <c r="O134" i="27"/>
  <c r="P134" i="27"/>
  <c r="Q134" i="27"/>
  <c r="R134" i="27"/>
  <c r="S134" i="27"/>
  <c r="T134" i="27"/>
  <c r="U134" i="27"/>
  <c r="V134" i="27"/>
  <c r="W134" i="27"/>
  <c r="X134" i="27"/>
  <c r="Y134" i="27"/>
  <c r="Z134" i="27"/>
  <c r="AA134" i="27"/>
  <c r="AB134" i="27"/>
  <c r="N135" i="27"/>
  <c r="O135" i="27"/>
  <c r="P135" i="27"/>
  <c r="Q135" i="27"/>
  <c r="R135" i="27"/>
  <c r="S135" i="27"/>
  <c r="T135" i="27"/>
  <c r="U135" i="27"/>
  <c r="V135" i="27"/>
  <c r="W135" i="27"/>
  <c r="X135" i="27"/>
  <c r="Y135" i="27"/>
  <c r="Z135" i="27"/>
  <c r="AA135" i="27"/>
  <c r="AB135" i="27"/>
  <c r="N136" i="27"/>
  <c r="O136" i="27"/>
  <c r="P136" i="27"/>
  <c r="Q136" i="27"/>
  <c r="R136" i="27"/>
  <c r="S136" i="27"/>
  <c r="T136" i="27"/>
  <c r="U136" i="27"/>
  <c r="V136" i="27"/>
  <c r="W136" i="27"/>
  <c r="X136" i="27"/>
  <c r="Y136" i="27"/>
  <c r="Z136" i="27"/>
  <c r="AA136" i="27"/>
  <c r="AB136" i="27"/>
  <c r="N137" i="27"/>
  <c r="O137" i="27"/>
  <c r="P137" i="27"/>
  <c r="Q137" i="27"/>
  <c r="R137" i="27"/>
  <c r="S137" i="27"/>
  <c r="T137" i="27"/>
  <c r="U137" i="27"/>
  <c r="V137" i="27"/>
  <c r="W137" i="27"/>
  <c r="X137" i="27"/>
  <c r="Y137" i="27"/>
  <c r="Z137" i="27"/>
  <c r="AA137" i="27"/>
  <c r="AB137" i="27"/>
  <c r="N138" i="27"/>
  <c r="O138" i="27"/>
  <c r="P138" i="27"/>
  <c r="Q138" i="27"/>
  <c r="R138" i="27"/>
  <c r="S138" i="27"/>
  <c r="T138" i="27"/>
  <c r="U138" i="27"/>
  <c r="V138" i="27"/>
  <c r="W138" i="27"/>
  <c r="X138" i="27"/>
  <c r="Y138" i="27"/>
  <c r="Z138" i="27"/>
  <c r="AA138" i="27"/>
  <c r="AB138" i="27"/>
  <c r="N139" i="27"/>
  <c r="O139" i="27"/>
  <c r="P139" i="27"/>
  <c r="Q139" i="27"/>
  <c r="R139" i="27"/>
  <c r="S139" i="27"/>
  <c r="T139" i="27"/>
  <c r="U139" i="27"/>
  <c r="V139" i="27"/>
  <c r="W139" i="27"/>
  <c r="X139" i="27"/>
  <c r="Y139" i="27"/>
  <c r="Z139" i="27"/>
  <c r="AA139" i="27"/>
  <c r="AB139" i="27"/>
  <c r="N140" i="27"/>
  <c r="O140" i="27"/>
  <c r="P140" i="27"/>
  <c r="Q140" i="27"/>
  <c r="R140" i="27"/>
  <c r="S140" i="27"/>
  <c r="T140" i="27"/>
  <c r="U140" i="27"/>
  <c r="V140" i="27"/>
  <c r="W140" i="27"/>
  <c r="X140" i="27"/>
  <c r="Y140" i="27"/>
  <c r="Z140" i="27"/>
  <c r="AA140" i="27"/>
  <c r="AB140" i="27"/>
  <c r="N141" i="27"/>
  <c r="O141" i="27"/>
  <c r="P141" i="27"/>
  <c r="Q141" i="27"/>
  <c r="R141" i="27"/>
  <c r="S141" i="27"/>
  <c r="T141" i="27"/>
  <c r="U141" i="27"/>
  <c r="V141" i="27"/>
  <c r="W141" i="27"/>
  <c r="X141" i="27"/>
  <c r="Y141" i="27"/>
  <c r="Z141" i="27"/>
  <c r="AA141" i="27"/>
  <c r="AB141" i="27"/>
  <c r="N142" i="27"/>
  <c r="O142" i="27"/>
  <c r="P142" i="27"/>
  <c r="Q142" i="27"/>
  <c r="R142" i="27"/>
  <c r="S142" i="27"/>
  <c r="T142" i="27"/>
  <c r="U142" i="27"/>
  <c r="V142" i="27"/>
  <c r="W142" i="27"/>
  <c r="X142" i="27"/>
  <c r="Y142" i="27"/>
  <c r="Z142" i="27"/>
  <c r="AA142" i="27"/>
  <c r="AB142" i="27"/>
  <c r="N143" i="27"/>
  <c r="O143" i="27"/>
  <c r="P143" i="27"/>
  <c r="Q143" i="27"/>
  <c r="R143" i="27"/>
  <c r="S143" i="27"/>
  <c r="T143" i="27"/>
  <c r="U143" i="27"/>
  <c r="V143" i="27"/>
  <c r="W143" i="27"/>
  <c r="X143" i="27"/>
  <c r="Y143" i="27"/>
  <c r="Z143" i="27"/>
  <c r="AA143" i="27"/>
  <c r="AB143" i="27"/>
  <c r="N144" i="27"/>
  <c r="O144" i="27"/>
  <c r="P144" i="27"/>
  <c r="Q144" i="27"/>
  <c r="R144" i="27"/>
  <c r="S144" i="27"/>
  <c r="T144" i="27"/>
  <c r="U144" i="27"/>
  <c r="V144" i="27"/>
  <c r="W144" i="27"/>
  <c r="X144" i="27"/>
  <c r="Y144" i="27"/>
  <c r="Z144" i="27"/>
  <c r="AA144" i="27"/>
  <c r="AB144" i="27"/>
  <c r="N102" i="27"/>
  <c r="O102" i="27"/>
  <c r="P102" i="27"/>
  <c r="Q102" i="27"/>
  <c r="R102" i="27"/>
  <c r="S102" i="27"/>
  <c r="T102" i="27"/>
  <c r="U102" i="27"/>
  <c r="V102" i="27"/>
  <c r="W102" i="27"/>
  <c r="X102" i="27"/>
  <c r="Y102" i="27"/>
  <c r="Z102" i="27"/>
  <c r="AA102" i="27"/>
  <c r="AB102" i="27"/>
  <c r="N103" i="27"/>
  <c r="O103" i="27"/>
  <c r="P103" i="27"/>
  <c r="Q103" i="27"/>
  <c r="R103" i="27"/>
  <c r="S103" i="27"/>
  <c r="T103" i="27"/>
  <c r="U103" i="27"/>
  <c r="V103" i="27"/>
  <c r="W103" i="27"/>
  <c r="X103" i="27"/>
  <c r="Y103" i="27"/>
  <c r="Z103" i="27"/>
  <c r="AA103" i="27"/>
  <c r="AB103" i="27"/>
  <c r="N104" i="27"/>
  <c r="O104" i="27"/>
  <c r="P104" i="27"/>
  <c r="Q104" i="27"/>
  <c r="R104" i="27"/>
  <c r="S104" i="27"/>
  <c r="T104" i="27"/>
  <c r="U104" i="27"/>
  <c r="V104" i="27"/>
  <c r="W104" i="27"/>
  <c r="X104" i="27"/>
  <c r="Y104" i="27"/>
  <c r="Z104" i="27"/>
  <c r="AA104" i="27"/>
  <c r="AB104" i="27"/>
  <c r="N105" i="27"/>
  <c r="O105" i="27"/>
  <c r="P105" i="27"/>
  <c r="Q105" i="27"/>
  <c r="R105" i="27"/>
  <c r="S105" i="27"/>
  <c r="T105" i="27"/>
  <c r="U105" i="27"/>
  <c r="V105" i="27"/>
  <c r="W105" i="27"/>
  <c r="X105" i="27"/>
  <c r="Y105" i="27"/>
  <c r="Z105" i="27"/>
  <c r="AA105" i="27"/>
  <c r="AB105" i="27"/>
  <c r="N106" i="27"/>
  <c r="O106" i="27"/>
  <c r="P106" i="27"/>
  <c r="Q106" i="27"/>
  <c r="R106" i="27"/>
  <c r="S106" i="27"/>
  <c r="T106" i="27"/>
  <c r="U106" i="27"/>
  <c r="V106" i="27"/>
  <c r="W106" i="27"/>
  <c r="X106" i="27"/>
  <c r="Y106" i="27"/>
  <c r="Z106" i="27"/>
  <c r="AA106" i="27"/>
  <c r="AB106" i="27"/>
  <c r="N107" i="27"/>
  <c r="O107" i="27"/>
  <c r="P107" i="27"/>
  <c r="Q107" i="27"/>
  <c r="R107" i="27"/>
  <c r="S107" i="27"/>
  <c r="T107" i="27"/>
  <c r="U107" i="27"/>
  <c r="V107" i="27"/>
  <c r="W107" i="27"/>
  <c r="X107" i="27"/>
  <c r="Y107" i="27"/>
  <c r="Z107" i="27"/>
  <c r="AA107" i="27"/>
  <c r="AB107" i="27"/>
  <c r="N108" i="27"/>
  <c r="O108" i="27"/>
  <c r="P108" i="27"/>
  <c r="Q108" i="27"/>
  <c r="R108" i="27"/>
  <c r="S108" i="27"/>
  <c r="T108" i="27"/>
  <c r="U108" i="27"/>
  <c r="V108" i="27"/>
  <c r="W108" i="27"/>
  <c r="X108" i="27"/>
  <c r="Y108" i="27"/>
  <c r="Z108" i="27"/>
  <c r="AA108" i="27"/>
  <c r="AB108" i="27"/>
  <c r="N109" i="27"/>
  <c r="O109" i="27"/>
  <c r="P109" i="27"/>
  <c r="Q109" i="27"/>
  <c r="R109" i="27"/>
  <c r="S109" i="27"/>
  <c r="T109" i="27"/>
  <c r="U109" i="27"/>
  <c r="V109" i="27"/>
  <c r="W109" i="27"/>
  <c r="X109" i="27"/>
  <c r="Y109" i="27"/>
  <c r="Z109" i="27"/>
  <c r="AA109" i="27"/>
  <c r="AB109" i="27"/>
  <c r="N110" i="27"/>
  <c r="O110" i="27"/>
  <c r="P110" i="27"/>
  <c r="Q110" i="27"/>
  <c r="R110" i="27"/>
  <c r="S110" i="27"/>
  <c r="T110" i="27"/>
  <c r="U110" i="27"/>
  <c r="V110" i="27"/>
  <c r="W110" i="27"/>
  <c r="X110" i="27"/>
  <c r="Y110" i="27"/>
  <c r="Z110" i="27"/>
  <c r="AA110" i="27"/>
  <c r="AB110" i="27"/>
  <c r="N111" i="27"/>
  <c r="O111" i="27"/>
  <c r="P111" i="27"/>
  <c r="Q111" i="27"/>
  <c r="R111" i="27"/>
  <c r="S111" i="27"/>
  <c r="T111" i="27"/>
  <c r="U111" i="27"/>
  <c r="V111" i="27"/>
  <c r="W111" i="27"/>
  <c r="X111" i="27"/>
  <c r="Y111" i="27"/>
  <c r="Z111" i="27"/>
  <c r="AA111" i="27"/>
  <c r="AB111" i="27"/>
  <c r="N112" i="27"/>
  <c r="O112" i="27"/>
  <c r="P112" i="27"/>
  <c r="Q112" i="27"/>
  <c r="R112" i="27"/>
  <c r="S112" i="27"/>
  <c r="T112" i="27"/>
  <c r="U112" i="27"/>
  <c r="V112" i="27"/>
  <c r="W112" i="27"/>
  <c r="X112" i="27"/>
  <c r="Y112" i="27"/>
  <c r="Z112" i="27"/>
  <c r="AA112" i="27"/>
  <c r="AB112" i="27"/>
  <c r="N113" i="27"/>
  <c r="O113" i="27"/>
  <c r="P113" i="27"/>
  <c r="Q113" i="27"/>
  <c r="R113" i="27"/>
  <c r="S113" i="27"/>
  <c r="T113" i="27"/>
  <c r="U113" i="27"/>
  <c r="V113" i="27"/>
  <c r="W113" i="27"/>
  <c r="X113" i="27"/>
  <c r="Y113" i="27"/>
  <c r="Z113" i="27"/>
  <c r="AA113" i="27"/>
  <c r="AB113" i="27"/>
  <c r="N114" i="27"/>
  <c r="O114" i="27"/>
  <c r="P114" i="27"/>
  <c r="Q114" i="27"/>
  <c r="R114" i="27"/>
  <c r="S114" i="27"/>
  <c r="T114" i="27"/>
  <c r="U114" i="27"/>
  <c r="V114" i="27"/>
  <c r="W114" i="27"/>
  <c r="X114" i="27"/>
  <c r="Y114" i="27"/>
  <c r="Z114" i="27"/>
  <c r="AA114" i="27"/>
  <c r="AB114" i="27"/>
  <c r="N115" i="27"/>
  <c r="O115" i="27"/>
  <c r="P115" i="27"/>
  <c r="Q115" i="27"/>
  <c r="R115" i="27"/>
  <c r="S115" i="27"/>
  <c r="T115" i="27"/>
  <c r="U115" i="27"/>
  <c r="V115" i="27"/>
  <c r="W115" i="27"/>
  <c r="X115" i="27"/>
  <c r="Y115" i="27"/>
  <c r="Z115" i="27"/>
  <c r="AA115" i="27"/>
  <c r="AB115" i="27"/>
  <c r="N116" i="27"/>
  <c r="O116" i="27"/>
  <c r="P116" i="27"/>
  <c r="Q116" i="27"/>
  <c r="R116" i="27"/>
  <c r="S116" i="27"/>
  <c r="T116" i="27"/>
  <c r="U116" i="27"/>
  <c r="V116" i="27"/>
  <c r="W116" i="27"/>
  <c r="X116" i="27"/>
  <c r="Y116" i="27"/>
  <c r="Z116" i="27"/>
  <c r="AA116" i="27"/>
  <c r="AB116" i="27"/>
  <c r="N117" i="27"/>
  <c r="O117" i="27"/>
  <c r="P117" i="27"/>
  <c r="Q117" i="27"/>
  <c r="R117" i="27"/>
  <c r="S117" i="27"/>
  <c r="T117" i="27"/>
  <c r="U117" i="27"/>
  <c r="V117" i="27"/>
  <c r="W117" i="27"/>
  <c r="X117" i="27"/>
  <c r="Y117" i="27"/>
  <c r="Z117" i="27"/>
  <c r="AA117" i="27"/>
  <c r="AB117" i="27"/>
  <c r="N118" i="27"/>
  <c r="O118" i="27"/>
  <c r="P118" i="27"/>
  <c r="Q118" i="27"/>
  <c r="R118" i="27"/>
  <c r="S118" i="27"/>
  <c r="T118" i="27"/>
  <c r="U118" i="27"/>
  <c r="V118" i="27"/>
  <c r="W118" i="27"/>
  <c r="X118" i="27"/>
  <c r="Y118" i="27"/>
  <c r="Z118" i="27"/>
  <c r="AA118" i="27"/>
  <c r="AB118" i="27"/>
  <c r="N119" i="27"/>
  <c r="O119" i="27"/>
  <c r="P119" i="27"/>
  <c r="Q119" i="27"/>
  <c r="R119" i="27"/>
  <c r="S119" i="27"/>
  <c r="T119" i="27"/>
  <c r="U119" i="27"/>
  <c r="V119" i="27"/>
  <c r="W119" i="27"/>
  <c r="X119" i="27"/>
  <c r="Y119" i="27"/>
  <c r="Z119" i="27"/>
  <c r="AA119" i="27"/>
  <c r="AB119" i="27"/>
  <c r="N120" i="27"/>
  <c r="O120" i="27"/>
  <c r="P120" i="27"/>
  <c r="Q120" i="27"/>
  <c r="R120" i="27"/>
  <c r="S120" i="27"/>
  <c r="T120" i="27"/>
  <c r="U120" i="27"/>
  <c r="V120" i="27"/>
  <c r="W120" i="27"/>
  <c r="X120" i="27"/>
  <c r="Y120" i="27"/>
  <c r="Z120" i="27"/>
  <c r="AA120" i="27"/>
  <c r="AB120" i="27"/>
  <c r="N121" i="27"/>
  <c r="O121" i="27"/>
  <c r="P121" i="27"/>
  <c r="Q121" i="27"/>
  <c r="R121" i="27"/>
  <c r="S121" i="27"/>
  <c r="T121" i="27"/>
  <c r="U121" i="27"/>
  <c r="V121" i="27"/>
  <c r="W121" i="27"/>
  <c r="X121" i="27"/>
  <c r="Y121" i="27"/>
  <c r="Z121" i="27"/>
  <c r="AA121" i="27"/>
  <c r="AB121" i="27"/>
  <c r="N122" i="27"/>
  <c r="O122" i="27"/>
  <c r="P122" i="27"/>
  <c r="Q122" i="27"/>
  <c r="R122" i="27"/>
  <c r="S122" i="27"/>
  <c r="T122" i="27"/>
  <c r="U122" i="27"/>
  <c r="V122" i="27"/>
  <c r="W122" i="27"/>
  <c r="X122" i="27"/>
  <c r="Y122" i="27"/>
  <c r="Z122" i="27"/>
  <c r="AA122" i="27"/>
  <c r="AB122" i="27"/>
  <c r="N123" i="27"/>
  <c r="O123" i="27"/>
  <c r="P123" i="27"/>
  <c r="Q123" i="27"/>
  <c r="R123" i="27"/>
  <c r="S123" i="27"/>
  <c r="T123" i="27"/>
  <c r="U123" i="27"/>
  <c r="V123" i="27"/>
  <c r="W123" i="27"/>
  <c r="X123" i="27"/>
  <c r="Y123" i="27"/>
  <c r="Z123" i="27"/>
  <c r="AA123" i="27"/>
  <c r="AB123" i="27"/>
  <c r="N124" i="27"/>
  <c r="O124" i="27"/>
  <c r="P124" i="27"/>
  <c r="Q124" i="27"/>
  <c r="R124" i="27"/>
  <c r="S124" i="27"/>
  <c r="T124" i="27"/>
  <c r="U124" i="27"/>
  <c r="V124" i="27"/>
  <c r="W124" i="27"/>
  <c r="X124" i="27"/>
  <c r="Y124" i="27"/>
  <c r="Z124" i="27"/>
  <c r="AA124" i="27"/>
  <c r="AB124" i="27"/>
  <c r="N125" i="27"/>
  <c r="O125" i="27"/>
  <c r="P125" i="27"/>
  <c r="Q125" i="27"/>
  <c r="R125" i="27"/>
  <c r="S125" i="27"/>
  <c r="T125" i="27"/>
  <c r="U125" i="27"/>
  <c r="V125" i="27"/>
  <c r="W125" i="27"/>
  <c r="X125" i="27"/>
  <c r="Y125" i="27"/>
  <c r="Z125" i="27"/>
  <c r="AA125" i="27"/>
  <c r="AB125" i="27"/>
  <c r="N126" i="27"/>
  <c r="O126" i="27"/>
  <c r="P126" i="27"/>
  <c r="Q126" i="27"/>
  <c r="R126" i="27"/>
  <c r="S126" i="27"/>
  <c r="T126" i="27"/>
  <c r="U126" i="27"/>
  <c r="V126" i="27"/>
  <c r="W126" i="27"/>
  <c r="X126" i="27"/>
  <c r="Y126" i="27"/>
  <c r="Z126" i="27"/>
  <c r="AA126" i="27"/>
  <c r="AB126" i="27"/>
  <c r="N127" i="27"/>
  <c r="O127" i="27"/>
  <c r="P127" i="27"/>
  <c r="Q127" i="27"/>
  <c r="R127" i="27"/>
  <c r="S127" i="27"/>
  <c r="T127" i="27"/>
  <c r="U127" i="27"/>
  <c r="V127" i="27"/>
  <c r="W127" i="27"/>
  <c r="X127" i="27"/>
  <c r="Y127" i="27"/>
  <c r="Z127" i="27"/>
  <c r="AA127" i="27"/>
  <c r="AB127" i="27"/>
  <c r="N128" i="27"/>
  <c r="O128" i="27"/>
  <c r="P128" i="27"/>
  <c r="Q128" i="27"/>
  <c r="R128" i="27"/>
  <c r="S128" i="27"/>
  <c r="T128" i="27"/>
  <c r="U128" i="27"/>
  <c r="V128" i="27"/>
  <c r="W128" i="27"/>
  <c r="X128" i="27"/>
  <c r="Y128" i="27"/>
  <c r="Z128" i="27"/>
  <c r="AA128" i="27"/>
  <c r="AB128" i="27"/>
  <c r="N129" i="27"/>
  <c r="O129" i="27"/>
  <c r="P129" i="27"/>
  <c r="Q129" i="27"/>
  <c r="R129" i="27"/>
  <c r="S129" i="27"/>
  <c r="T129" i="27"/>
  <c r="U129" i="27"/>
  <c r="V129" i="27"/>
  <c r="W129" i="27"/>
  <c r="X129" i="27"/>
  <c r="Y129" i="27"/>
  <c r="Z129" i="27"/>
  <c r="AA129" i="27"/>
  <c r="AB129" i="27"/>
  <c r="N130" i="27"/>
  <c r="O130" i="27"/>
  <c r="P130" i="27"/>
  <c r="Q130" i="27"/>
  <c r="R130" i="27"/>
  <c r="S130" i="27"/>
  <c r="T130" i="27"/>
  <c r="U130" i="27"/>
  <c r="V130" i="27"/>
  <c r="W130" i="27"/>
  <c r="X130" i="27"/>
  <c r="Y130" i="27"/>
  <c r="Z130" i="27"/>
  <c r="AA130" i="27"/>
  <c r="AB130" i="27"/>
  <c r="N131" i="27"/>
  <c r="O131" i="27"/>
  <c r="P131" i="27"/>
  <c r="Q131" i="27"/>
  <c r="R131" i="27"/>
  <c r="S131" i="27"/>
  <c r="T131" i="27"/>
  <c r="U131" i="27"/>
  <c r="V131" i="27"/>
  <c r="W131" i="27"/>
  <c r="X131" i="27"/>
  <c r="Y131" i="27"/>
  <c r="Z131" i="27"/>
  <c r="AA131" i="27"/>
  <c r="AB131" i="27"/>
  <c r="N145" i="27"/>
  <c r="O145" i="27"/>
  <c r="P145" i="27"/>
  <c r="Q145" i="27"/>
  <c r="R145" i="27"/>
  <c r="S145" i="27"/>
  <c r="T145" i="27"/>
  <c r="U145" i="27"/>
  <c r="V145" i="27"/>
  <c r="W145" i="27"/>
  <c r="X145" i="27"/>
  <c r="Y145" i="27"/>
  <c r="Z145" i="27"/>
  <c r="AA145" i="27"/>
  <c r="AB145" i="27"/>
  <c r="N146" i="27"/>
  <c r="O146" i="27"/>
  <c r="P146" i="27"/>
  <c r="Q146" i="27"/>
  <c r="R146" i="27"/>
  <c r="S146" i="27"/>
  <c r="T146" i="27"/>
  <c r="U146" i="27"/>
  <c r="V146" i="27"/>
  <c r="W146" i="27"/>
  <c r="X146" i="27"/>
  <c r="Y146" i="27"/>
  <c r="Z146" i="27"/>
  <c r="AA146" i="27"/>
  <c r="AB146" i="27"/>
  <c r="N147" i="27"/>
  <c r="O147" i="27"/>
  <c r="P147" i="27"/>
  <c r="Q147" i="27"/>
  <c r="R147" i="27"/>
  <c r="S147" i="27"/>
  <c r="T147" i="27"/>
  <c r="U147" i="27"/>
  <c r="V147" i="27"/>
  <c r="W147" i="27"/>
  <c r="X147" i="27"/>
  <c r="Y147" i="27"/>
  <c r="Z147" i="27"/>
  <c r="AA147" i="27"/>
  <c r="AB147" i="27"/>
  <c r="N148" i="27"/>
  <c r="O148" i="27"/>
  <c r="P148" i="27"/>
  <c r="Q148" i="27"/>
  <c r="R148" i="27"/>
  <c r="S148" i="27"/>
  <c r="T148" i="27"/>
  <c r="U148" i="27"/>
  <c r="V148" i="27"/>
  <c r="W148" i="27"/>
  <c r="X148" i="27"/>
  <c r="Y148" i="27"/>
  <c r="Z148" i="27"/>
  <c r="AA148" i="27"/>
  <c r="AB148" i="27"/>
  <c r="N167" i="27"/>
  <c r="O167" i="27"/>
  <c r="P167" i="27"/>
  <c r="Q167" i="27"/>
  <c r="R167" i="27"/>
  <c r="S167" i="27"/>
  <c r="T167" i="27"/>
  <c r="U167" i="27"/>
  <c r="V167" i="27"/>
  <c r="W167" i="27"/>
  <c r="X167" i="27"/>
  <c r="Y167" i="27"/>
  <c r="Z167" i="27"/>
  <c r="AA167" i="27"/>
  <c r="AB167" i="27"/>
  <c r="N149" i="27"/>
  <c r="O149" i="27"/>
  <c r="P149" i="27"/>
  <c r="Q149" i="27"/>
  <c r="R149" i="27"/>
  <c r="S149" i="27"/>
  <c r="T149" i="27"/>
  <c r="U149" i="27"/>
  <c r="V149" i="27"/>
  <c r="W149" i="27"/>
  <c r="X149" i="27"/>
  <c r="Y149" i="27"/>
  <c r="Z149" i="27"/>
  <c r="AA149" i="27"/>
  <c r="AB149" i="27"/>
  <c r="N150" i="27"/>
  <c r="O150" i="27"/>
  <c r="P150" i="27"/>
  <c r="Q150" i="27"/>
  <c r="R150" i="27"/>
  <c r="S150" i="27"/>
  <c r="T150" i="27"/>
  <c r="U150" i="27"/>
  <c r="V150" i="27"/>
  <c r="W150" i="27"/>
  <c r="X150" i="27"/>
  <c r="Y150" i="27"/>
  <c r="Z150" i="27"/>
  <c r="AA150" i="27"/>
  <c r="AB150" i="27"/>
  <c r="N151" i="27"/>
  <c r="O151" i="27"/>
  <c r="P151" i="27"/>
  <c r="Q151" i="27"/>
  <c r="R151" i="27"/>
  <c r="S151" i="27"/>
  <c r="T151" i="27"/>
  <c r="U151" i="27"/>
  <c r="V151" i="27"/>
  <c r="W151" i="27"/>
  <c r="X151" i="27"/>
  <c r="Y151" i="27"/>
  <c r="Z151" i="27"/>
  <c r="AA151" i="27"/>
  <c r="AB151" i="27"/>
  <c r="N152" i="27"/>
  <c r="O152" i="27"/>
  <c r="P152" i="27"/>
  <c r="Q152" i="27"/>
  <c r="R152" i="27"/>
  <c r="S152" i="27"/>
  <c r="T152" i="27"/>
  <c r="U152" i="27"/>
  <c r="V152" i="27"/>
  <c r="W152" i="27"/>
  <c r="X152" i="27"/>
  <c r="Y152" i="27"/>
  <c r="Z152" i="27"/>
  <c r="AA152" i="27"/>
  <c r="AB152" i="27"/>
  <c r="N153" i="27"/>
  <c r="O153" i="27"/>
  <c r="P153" i="27"/>
  <c r="Q153" i="27"/>
  <c r="R153" i="27"/>
  <c r="S153" i="27"/>
  <c r="T153" i="27"/>
  <c r="U153" i="27"/>
  <c r="V153" i="27"/>
  <c r="W153" i="27"/>
  <c r="X153" i="27"/>
  <c r="Y153" i="27"/>
  <c r="Z153" i="27"/>
  <c r="AA153" i="27"/>
  <c r="AB153" i="27"/>
  <c r="N154" i="27"/>
  <c r="O154" i="27"/>
  <c r="P154" i="27"/>
  <c r="Q154" i="27"/>
  <c r="R154" i="27"/>
  <c r="S154" i="27"/>
  <c r="T154" i="27"/>
  <c r="U154" i="27"/>
  <c r="V154" i="27"/>
  <c r="W154" i="27"/>
  <c r="X154" i="27"/>
  <c r="Y154" i="27"/>
  <c r="Z154" i="27"/>
  <c r="AA154" i="27"/>
  <c r="AB154" i="27"/>
  <c r="N155" i="27"/>
  <c r="O155" i="27"/>
  <c r="P155" i="27"/>
  <c r="Q155" i="27"/>
  <c r="R155" i="27"/>
  <c r="S155" i="27"/>
  <c r="T155" i="27"/>
  <c r="U155" i="27"/>
  <c r="V155" i="27"/>
  <c r="W155" i="27"/>
  <c r="X155" i="27"/>
  <c r="Y155" i="27"/>
  <c r="Z155" i="27"/>
  <c r="AA155" i="27"/>
  <c r="AB155" i="27"/>
  <c r="N156" i="27"/>
  <c r="O156" i="27"/>
  <c r="P156" i="27"/>
  <c r="Q156" i="27"/>
  <c r="R156" i="27"/>
  <c r="S156" i="27"/>
  <c r="T156" i="27"/>
  <c r="U156" i="27"/>
  <c r="V156" i="27"/>
  <c r="W156" i="27"/>
  <c r="X156" i="27"/>
  <c r="Y156" i="27"/>
  <c r="Z156" i="27"/>
  <c r="AA156" i="27"/>
  <c r="AB156" i="27"/>
  <c r="N157" i="27"/>
  <c r="O157" i="27"/>
  <c r="P157" i="27"/>
  <c r="Q157" i="27"/>
  <c r="R157" i="27"/>
  <c r="S157" i="27"/>
  <c r="T157" i="27"/>
  <c r="U157" i="27"/>
  <c r="V157" i="27"/>
  <c r="W157" i="27"/>
  <c r="X157" i="27"/>
  <c r="Y157" i="27"/>
  <c r="Z157" i="27"/>
  <c r="AA157" i="27"/>
  <c r="AB157" i="27"/>
  <c r="N158" i="27"/>
  <c r="O158" i="27"/>
  <c r="P158" i="27"/>
  <c r="Q158" i="27"/>
  <c r="R158" i="27"/>
  <c r="S158" i="27"/>
  <c r="T158" i="27"/>
  <c r="U158" i="27"/>
  <c r="V158" i="27"/>
  <c r="W158" i="27"/>
  <c r="X158" i="27"/>
  <c r="Y158" i="27"/>
  <c r="Z158" i="27"/>
  <c r="AA158" i="27"/>
  <c r="AB158" i="27"/>
  <c r="N159" i="27"/>
  <c r="O159" i="27"/>
  <c r="P159" i="27"/>
  <c r="Q159" i="27"/>
  <c r="R159" i="27"/>
  <c r="S159" i="27"/>
  <c r="T159" i="27"/>
  <c r="U159" i="27"/>
  <c r="V159" i="27"/>
  <c r="W159" i="27"/>
  <c r="X159" i="27"/>
  <c r="Y159" i="27"/>
  <c r="Z159" i="27"/>
  <c r="AA159" i="27"/>
  <c r="AB159" i="27"/>
  <c r="N160" i="27"/>
  <c r="O160" i="27"/>
  <c r="P160" i="27"/>
  <c r="Q160" i="27"/>
  <c r="R160" i="27"/>
  <c r="S160" i="27"/>
  <c r="T160" i="27"/>
  <c r="U160" i="27"/>
  <c r="V160" i="27"/>
  <c r="W160" i="27"/>
  <c r="X160" i="27"/>
  <c r="Y160" i="27"/>
  <c r="Z160" i="27"/>
  <c r="AA160" i="27"/>
  <c r="AB160" i="27"/>
  <c r="N161" i="27"/>
  <c r="O161" i="27"/>
  <c r="P161" i="27"/>
  <c r="Q161" i="27"/>
  <c r="R161" i="27"/>
  <c r="S161" i="27"/>
  <c r="T161" i="27"/>
  <c r="U161" i="27"/>
  <c r="V161" i="27"/>
  <c r="W161" i="27"/>
  <c r="X161" i="27"/>
  <c r="Y161" i="27"/>
  <c r="Z161" i="27"/>
  <c r="AA161" i="27"/>
  <c r="AB161" i="27"/>
  <c r="N162" i="27"/>
  <c r="O162" i="27"/>
  <c r="P162" i="27"/>
  <c r="Q162" i="27"/>
  <c r="R162" i="27"/>
  <c r="S162" i="27"/>
  <c r="T162" i="27"/>
  <c r="U162" i="27"/>
  <c r="V162" i="27"/>
  <c r="W162" i="27"/>
  <c r="X162" i="27"/>
  <c r="Y162" i="27"/>
  <c r="Z162" i="27"/>
  <c r="AA162" i="27"/>
  <c r="AB162" i="27"/>
  <c r="N163" i="27"/>
  <c r="O163" i="27"/>
  <c r="P163" i="27"/>
  <c r="Q163" i="27"/>
  <c r="R163" i="27"/>
  <c r="S163" i="27"/>
  <c r="T163" i="27"/>
  <c r="U163" i="27"/>
  <c r="V163" i="27"/>
  <c r="W163" i="27"/>
  <c r="X163" i="27"/>
  <c r="Y163" i="27"/>
  <c r="Z163" i="27"/>
  <c r="AA163" i="27"/>
  <c r="AB163" i="27"/>
  <c r="N164" i="27"/>
  <c r="O164" i="27"/>
  <c r="P164" i="27"/>
  <c r="Q164" i="27"/>
  <c r="R164" i="27"/>
  <c r="S164" i="27"/>
  <c r="T164" i="27"/>
  <c r="U164" i="27"/>
  <c r="V164" i="27"/>
  <c r="W164" i="27"/>
  <c r="X164" i="27"/>
  <c r="Y164" i="27"/>
  <c r="Z164" i="27"/>
  <c r="AA164" i="27"/>
  <c r="AB164" i="27"/>
  <c r="N165" i="27"/>
  <c r="O165" i="27"/>
  <c r="P165" i="27"/>
  <c r="Q165" i="27"/>
  <c r="R165" i="27"/>
  <c r="S165" i="27"/>
  <c r="T165" i="27"/>
  <c r="U165" i="27"/>
  <c r="V165" i="27"/>
  <c r="W165" i="27"/>
  <c r="X165" i="27"/>
  <c r="Y165" i="27"/>
  <c r="Z165" i="27"/>
  <c r="AA165" i="27"/>
  <c r="AB165" i="27"/>
  <c r="N166" i="27"/>
  <c r="O166" i="27"/>
  <c r="P166" i="27"/>
  <c r="Q166" i="27"/>
  <c r="R166" i="27"/>
  <c r="S166" i="27"/>
  <c r="T166" i="27"/>
  <c r="U166" i="27"/>
  <c r="V166" i="27"/>
  <c r="W166" i="27"/>
  <c r="X166" i="27"/>
  <c r="Y166" i="27"/>
  <c r="Z166" i="27"/>
  <c r="AA166" i="27"/>
  <c r="AB166" i="27"/>
  <c r="N168" i="27"/>
  <c r="O168" i="27"/>
  <c r="P168" i="27"/>
  <c r="Q168" i="27"/>
  <c r="R168" i="27"/>
  <c r="S168" i="27"/>
  <c r="T168" i="27"/>
  <c r="U168" i="27"/>
  <c r="V168" i="27"/>
  <c r="W168" i="27"/>
  <c r="X168" i="27"/>
  <c r="Y168" i="27"/>
  <c r="Z168" i="27"/>
  <c r="AA168" i="27"/>
  <c r="AB168" i="27"/>
  <c r="N169" i="27"/>
  <c r="O169" i="27"/>
  <c r="P169" i="27"/>
  <c r="Q169" i="27"/>
  <c r="R169" i="27"/>
  <c r="S169" i="27"/>
  <c r="T169" i="27"/>
  <c r="U169" i="27"/>
  <c r="V169" i="27"/>
  <c r="W169" i="27"/>
  <c r="X169" i="27"/>
  <c r="Y169" i="27"/>
  <c r="Z169" i="27"/>
  <c r="AA169" i="27"/>
  <c r="AB169" i="27"/>
  <c r="N170" i="27"/>
  <c r="O170" i="27"/>
  <c r="P170" i="27"/>
  <c r="Q170" i="27"/>
  <c r="R170" i="27"/>
  <c r="S170" i="27"/>
  <c r="T170" i="27"/>
  <c r="U170" i="27"/>
  <c r="V170" i="27"/>
  <c r="W170" i="27"/>
  <c r="X170" i="27"/>
  <c r="Y170" i="27"/>
  <c r="Z170" i="27"/>
  <c r="AA170" i="27"/>
  <c r="AB170" i="27"/>
  <c r="N219" i="27"/>
  <c r="O219" i="27"/>
  <c r="P219" i="27"/>
  <c r="Q219" i="27"/>
  <c r="R219" i="27"/>
  <c r="S219" i="27"/>
  <c r="T219" i="27"/>
  <c r="U219" i="27"/>
  <c r="V219" i="27"/>
  <c r="W219" i="27"/>
  <c r="X219" i="27"/>
  <c r="Y219" i="27"/>
  <c r="Z219" i="27"/>
  <c r="AA219" i="27"/>
  <c r="AB219" i="27"/>
  <c r="N220" i="27"/>
  <c r="O220" i="27"/>
  <c r="P220" i="27"/>
  <c r="Q220" i="27"/>
  <c r="R220" i="27"/>
  <c r="S220" i="27"/>
  <c r="T220" i="27"/>
  <c r="U220" i="27"/>
  <c r="V220" i="27"/>
  <c r="W220" i="27"/>
  <c r="X220" i="27"/>
  <c r="Y220" i="27"/>
  <c r="Z220" i="27"/>
  <c r="AA220" i="27"/>
  <c r="AB220" i="27"/>
  <c r="N221" i="27"/>
  <c r="O221" i="27"/>
  <c r="P221" i="27"/>
  <c r="Q221" i="27"/>
  <c r="R221" i="27"/>
  <c r="S221" i="27"/>
  <c r="T221" i="27"/>
  <c r="U221" i="27"/>
  <c r="V221" i="27"/>
  <c r="W221" i="27"/>
  <c r="X221" i="27"/>
  <c r="Y221" i="27"/>
  <c r="Z221" i="27"/>
  <c r="AA221" i="27"/>
  <c r="AB221" i="27"/>
  <c r="N222" i="27"/>
  <c r="O222" i="27"/>
  <c r="P222" i="27"/>
  <c r="Q222" i="27"/>
  <c r="R222" i="27"/>
  <c r="S222" i="27"/>
  <c r="T222" i="27"/>
  <c r="U222" i="27"/>
  <c r="V222" i="27"/>
  <c r="W222" i="27"/>
  <c r="X222" i="27"/>
  <c r="Y222" i="27"/>
  <c r="Z222" i="27"/>
  <c r="AA222" i="27"/>
  <c r="AB222" i="27"/>
  <c r="N223" i="27"/>
  <c r="O223" i="27"/>
  <c r="P223" i="27"/>
  <c r="Q223" i="27"/>
  <c r="R223" i="27"/>
  <c r="S223" i="27"/>
  <c r="T223" i="27"/>
  <c r="U223" i="27"/>
  <c r="V223" i="27"/>
  <c r="W223" i="27"/>
  <c r="X223" i="27"/>
  <c r="Y223" i="27"/>
  <c r="Z223" i="27"/>
  <c r="AA223" i="27"/>
  <c r="AB223" i="27"/>
  <c r="N224" i="27"/>
  <c r="O224" i="27"/>
  <c r="P224" i="27"/>
  <c r="Q224" i="27"/>
  <c r="R224" i="27"/>
  <c r="S224" i="27"/>
  <c r="T224" i="27"/>
  <c r="U224" i="27"/>
  <c r="V224" i="27"/>
  <c r="W224" i="27"/>
  <c r="X224" i="27"/>
  <c r="Y224" i="27"/>
  <c r="Z224" i="27"/>
  <c r="AA224" i="27"/>
  <c r="AB224" i="27"/>
  <c r="N225" i="27"/>
  <c r="O225" i="27"/>
  <c r="P225" i="27"/>
  <c r="Q225" i="27"/>
  <c r="R225" i="27"/>
  <c r="S225" i="27"/>
  <c r="T225" i="27"/>
  <c r="U225" i="27"/>
  <c r="V225" i="27"/>
  <c r="W225" i="27"/>
  <c r="X225" i="27"/>
  <c r="Y225" i="27"/>
  <c r="Z225" i="27"/>
  <c r="AA225" i="27"/>
  <c r="AB225" i="27"/>
  <c r="N226" i="27"/>
  <c r="O226" i="27"/>
  <c r="P226" i="27"/>
  <c r="Q226" i="27"/>
  <c r="R226" i="27"/>
  <c r="S226" i="27"/>
  <c r="T226" i="27"/>
  <c r="U226" i="27"/>
  <c r="V226" i="27"/>
  <c r="W226" i="27"/>
  <c r="X226" i="27"/>
  <c r="Y226" i="27"/>
  <c r="Z226" i="27"/>
  <c r="AA226" i="27"/>
  <c r="AB226" i="27"/>
  <c r="N227" i="27"/>
  <c r="O227" i="27"/>
  <c r="P227" i="27"/>
  <c r="Q227" i="27"/>
  <c r="R227" i="27"/>
  <c r="S227" i="27"/>
  <c r="T227" i="27"/>
  <c r="U227" i="27"/>
  <c r="V227" i="27"/>
  <c r="W227" i="27"/>
  <c r="X227" i="27"/>
  <c r="Y227" i="27"/>
  <c r="Z227" i="27"/>
  <c r="AA227" i="27"/>
  <c r="AB227" i="27"/>
  <c r="N228" i="27"/>
  <c r="O228" i="27"/>
  <c r="P228" i="27"/>
  <c r="Q228" i="27"/>
  <c r="R228" i="27"/>
  <c r="S228" i="27"/>
  <c r="T228" i="27"/>
  <c r="U228" i="27"/>
  <c r="V228" i="27"/>
  <c r="W228" i="27"/>
  <c r="X228" i="27"/>
  <c r="Y228" i="27"/>
  <c r="Z228" i="27"/>
  <c r="AA228" i="27"/>
  <c r="AB228" i="27"/>
  <c r="N229" i="27"/>
  <c r="O229" i="27"/>
  <c r="P229" i="27"/>
  <c r="Q229" i="27"/>
  <c r="R229" i="27"/>
  <c r="S229" i="27"/>
  <c r="T229" i="27"/>
  <c r="U229" i="27"/>
  <c r="V229" i="27"/>
  <c r="W229" i="27"/>
  <c r="X229" i="27"/>
  <c r="Y229" i="27"/>
  <c r="Z229" i="27"/>
  <c r="AA229" i="27"/>
  <c r="AB229" i="27"/>
  <c r="N230" i="27"/>
  <c r="O230" i="27"/>
  <c r="P230" i="27"/>
  <c r="Q230" i="27"/>
  <c r="R230" i="27"/>
  <c r="S230" i="27"/>
  <c r="T230" i="27"/>
  <c r="U230" i="27"/>
  <c r="V230" i="27"/>
  <c r="W230" i="27"/>
  <c r="X230" i="27"/>
  <c r="Y230" i="27"/>
  <c r="Z230" i="27"/>
  <c r="AA230" i="27"/>
  <c r="AB230" i="27"/>
  <c r="N231" i="27"/>
  <c r="O231" i="27"/>
  <c r="P231" i="27"/>
  <c r="Q231" i="27"/>
  <c r="R231" i="27"/>
  <c r="S231" i="27"/>
  <c r="T231" i="27"/>
  <c r="U231" i="27"/>
  <c r="V231" i="27"/>
  <c r="W231" i="27"/>
  <c r="X231" i="27"/>
  <c r="Y231" i="27"/>
  <c r="Z231" i="27"/>
  <c r="AA231" i="27"/>
  <c r="AB231" i="27"/>
  <c r="N232" i="27"/>
  <c r="O232" i="27"/>
  <c r="P232" i="27"/>
  <c r="Q232" i="27"/>
  <c r="R232" i="27"/>
  <c r="S232" i="27"/>
  <c r="T232" i="27"/>
  <c r="U232" i="27"/>
  <c r="V232" i="27"/>
  <c r="W232" i="27"/>
  <c r="X232" i="27"/>
  <c r="Y232" i="27"/>
  <c r="Z232" i="27"/>
  <c r="AA232" i="27"/>
  <c r="AB232" i="27"/>
  <c r="N233" i="27"/>
  <c r="O233" i="27"/>
  <c r="P233" i="27"/>
  <c r="Q233" i="27"/>
  <c r="R233" i="27"/>
  <c r="S233" i="27"/>
  <c r="T233" i="27"/>
  <c r="U233" i="27"/>
  <c r="V233" i="27"/>
  <c r="W233" i="27"/>
  <c r="X233" i="27"/>
  <c r="Y233" i="27"/>
  <c r="Z233" i="27"/>
  <c r="AA233" i="27"/>
  <c r="AB233" i="27"/>
  <c r="N234" i="27"/>
  <c r="O234" i="27"/>
  <c r="P234" i="27"/>
  <c r="Q234" i="27"/>
  <c r="R234" i="27"/>
  <c r="S234" i="27"/>
  <c r="T234" i="27"/>
  <c r="U234" i="27"/>
  <c r="V234" i="27"/>
  <c r="W234" i="27"/>
  <c r="X234" i="27"/>
  <c r="Y234" i="27"/>
  <c r="Z234" i="27"/>
  <c r="AA234" i="27"/>
  <c r="AB234" i="27"/>
  <c r="N235" i="27"/>
  <c r="O235" i="27"/>
  <c r="P235" i="27"/>
  <c r="Q235" i="27"/>
  <c r="R235" i="27"/>
  <c r="S235" i="27"/>
  <c r="T235" i="27"/>
  <c r="U235" i="27"/>
  <c r="V235" i="27"/>
  <c r="W235" i="27"/>
  <c r="X235" i="27"/>
  <c r="Y235" i="27"/>
  <c r="Z235" i="27"/>
  <c r="AA235" i="27"/>
  <c r="AB235" i="27"/>
  <c r="N236" i="27"/>
  <c r="O236" i="27"/>
  <c r="P236" i="27"/>
  <c r="Q236" i="27"/>
  <c r="R236" i="27"/>
  <c r="S236" i="27"/>
  <c r="T236" i="27"/>
  <c r="U236" i="27"/>
  <c r="V236" i="27"/>
  <c r="W236" i="27"/>
  <c r="X236" i="27"/>
  <c r="Y236" i="27"/>
  <c r="Z236" i="27"/>
  <c r="AA236" i="27"/>
  <c r="AB236" i="27"/>
  <c r="N237" i="27"/>
  <c r="O237" i="27"/>
  <c r="P237" i="27"/>
  <c r="Q237" i="27"/>
  <c r="R237" i="27"/>
  <c r="S237" i="27"/>
  <c r="T237" i="27"/>
  <c r="U237" i="27"/>
  <c r="V237" i="27"/>
  <c r="W237" i="27"/>
  <c r="X237" i="27"/>
  <c r="Y237" i="27"/>
  <c r="Z237" i="27"/>
  <c r="AA237" i="27"/>
  <c r="AB237" i="27"/>
  <c r="N238" i="27"/>
  <c r="O238" i="27"/>
  <c r="P238" i="27"/>
  <c r="Q238" i="27"/>
  <c r="R238" i="27"/>
  <c r="S238" i="27"/>
  <c r="T238" i="27"/>
  <c r="U238" i="27"/>
  <c r="V238" i="27"/>
  <c r="W238" i="27"/>
  <c r="X238" i="27"/>
  <c r="Y238" i="27"/>
  <c r="Z238" i="27"/>
  <c r="AA238" i="27"/>
  <c r="AB238" i="27"/>
  <c r="N239" i="27"/>
  <c r="O239" i="27"/>
  <c r="P239" i="27"/>
  <c r="Q239" i="27"/>
  <c r="R239" i="27"/>
  <c r="S239" i="27"/>
  <c r="T239" i="27"/>
  <c r="U239" i="27"/>
  <c r="V239" i="27"/>
  <c r="W239" i="27"/>
  <c r="X239" i="27"/>
  <c r="Y239" i="27"/>
  <c r="Z239" i="27"/>
  <c r="AA239" i="27"/>
  <c r="AB239" i="27"/>
  <c r="N240" i="27"/>
  <c r="O240" i="27"/>
  <c r="P240" i="27"/>
  <c r="Q240" i="27"/>
  <c r="R240" i="27"/>
  <c r="S240" i="27"/>
  <c r="T240" i="27"/>
  <c r="U240" i="27"/>
  <c r="V240" i="27"/>
  <c r="W240" i="27"/>
  <c r="X240" i="27"/>
  <c r="Y240" i="27"/>
  <c r="Z240" i="27"/>
  <c r="AA240" i="27"/>
  <c r="AB240" i="27"/>
  <c r="N241" i="27"/>
  <c r="O241" i="27"/>
  <c r="P241" i="27"/>
  <c r="Q241" i="27"/>
  <c r="R241" i="27"/>
  <c r="S241" i="27"/>
  <c r="T241" i="27"/>
  <c r="U241" i="27"/>
  <c r="V241" i="27"/>
  <c r="W241" i="27"/>
  <c r="X241" i="27"/>
  <c r="Y241" i="27"/>
  <c r="Z241" i="27"/>
  <c r="AA241" i="27"/>
  <c r="AB241" i="27"/>
  <c r="N242" i="27"/>
  <c r="O242" i="27"/>
  <c r="P242" i="27"/>
  <c r="Q242" i="27"/>
  <c r="R242" i="27"/>
  <c r="S242" i="27"/>
  <c r="T242" i="27"/>
  <c r="U242" i="27"/>
  <c r="V242" i="27"/>
  <c r="W242" i="27"/>
  <c r="X242" i="27"/>
  <c r="Y242" i="27"/>
  <c r="Z242" i="27"/>
  <c r="AA242" i="27"/>
  <c r="AB242" i="27"/>
  <c r="N243" i="27"/>
  <c r="O243" i="27"/>
  <c r="P243" i="27"/>
  <c r="Q243" i="27"/>
  <c r="R243" i="27"/>
  <c r="S243" i="27"/>
  <c r="T243" i="27"/>
  <c r="U243" i="27"/>
  <c r="V243" i="27"/>
  <c r="W243" i="27"/>
  <c r="X243" i="27"/>
  <c r="Y243" i="27"/>
  <c r="Z243" i="27"/>
  <c r="AA243" i="27"/>
  <c r="AB243" i="27"/>
  <c r="N244" i="27"/>
  <c r="O244" i="27"/>
  <c r="P244" i="27"/>
  <c r="Q244" i="27"/>
  <c r="R244" i="27"/>
  <c r="S244" i="27"/>
  <c r="T244" i="27"/>
  <c r="U244" i="27"/>
  <c r="V244" i="27"/>
  <c r="W244" i="27"/>
  <c r="X244" i="27"/>
  <c r="Y244" i="27"/>
  <c r="Z244" i="27"/>
  <c r="AA244" i="27"/>
  <c r="AB244" i="27"/>
  <c r="N245" i="27"/>
  <c r="O245" i="27"/>
  <c r="P245" i="27"/>
  <c r="Q245" i="27"/>
  <c r="R245" i="27"/>
  <c r="S245" i="27"/>
  <c r="T245" i="27"/>
  <c r="U245" i="27"/>
  <c r="V245" i="27"/>
  <c r="W245" i="27"/>
  <c r="X245" i="27"/>
  <c r="Y245" i="27"/>
  <c r="Z245" i="27"/>
  <c r="AA245" i="27"/>
  <c r="AB245" i="27"/>
  <c r="N246" i="27"/>
  <c r="O246" i="27"/>
  <c r="P246" i="27"/>
  <c r="Q246" i="27"/>
  <c r="R246" i="27"/>
  <c r="S246" i="27"/>
  <c r="T246" i="27"/>
  <c r="U246" i="27"/>
  <c r="V246" i="27"/>
  <c r="W246" i="27"/>
  <c r="X246" i="27"/>
  <c r="Y246" i="27"/>
  <c r="Z246" i="27"/>
  <c r="AA246" i="27"/>
  <c r="AB246" i="27"/>
  <c r="N247" i="27"/>
  <c r="O247" i="27"/>
  <c r="P247" i="27"/>
  <c r="Q247" i="27"/>
  <c r="R247" i="27"/>
  <c r="S247" i="27"/>
  <c r="T247" i="27"/>
  <c r="U247" i="27"/>
  <c r="V247" i="27"/>
  <c r="W247" i="27"/>
  <c r="X247" i="27"/>
  <c r="Y247" i="27"/>
  <c r="Z247" i="27"/>
  <c r="AA247" i="27"/>
  <c r="AB247" i="27"/>
  <c r="N248" i="27"/>
  <c r="O248" i="27"/>
  <c r="P248" i="27"/>
  <c r="Q248" i="27"/>
  <c r="R248" i="27"/>
  <c r="S248" i="27"/>
  <c r="T248" i="27"/>
  <c r="U248" i="27"/>
  <c r="V248" i="27"/>
  <c r="W248" i="27"/>
  <c r="X248" i="27"/>
  <c r="Y248" i="27"/>
  <c r="Z248" i="27"/>
  <c r="AA248" i="27"/>
  <c r="AB248" i="27"/>
  <c r="N249" i="27"/>
  <c r="O249" i="27"/>
  <c r="P249" i="27"/>
  <c r="Q249" i="27"/>
  <c r="R249" i="27"/>
  <c r="S249" i="27"/>
  <c r="T249" i="27"/>
  <c r="U249" i="27"/>
  <c r="V249" i="27"/>
  <c r="W249" i="27"/>
  <c r="X249" i="27"/>
  <c r="Y249" i="27"/>
  <c r="Z249" i="27"/>
  <c r="AA249" i="27"/>
  <c r="AB249" i="27"/>
  <c r="N250" i="27"/>
  <c r="O250" i="27"/>
  <c r="P250" i="27"/>
  <c r="Q250" i="27"/>
  <c r="R250" i="27"/>
  <c r="S250" i="27"/>
  <c r="T250" i="27"/>
  <c r="U250" i="27"/>
  <c r="V250" i="27"/>
  <c r="W250" i="27"/>
  <c r="X250" i="27"/>
  <c r="Y250" i="27"/>
  <c r="Z250" i="27"/>
  <c r="AA250" i="27"/>
  <c r="AB250" i="27"/>
  <c r="N251" i="27"/>
  <c r="O251" i="27"/>
  <c r="P251" i="27"/>
  <c r="Q251" i="27"/>
  <c r="R251" i="27"/>
  <c r="S251" i="27"/>
  <c r="T251" i="27"/>
  <c r="U251" i="27"/>
  <c r="V251" i="27"/>
  <c r="W251" i="27"/>
  <c r="X251" i="27"/>
  <c r="Y251" i="27"/>
  <c r="Z251" i="27"/>
  <c r="AA251" i="27"/>
  <c r="AB251" i="27"/>
  <c r="N252" i="27"/>
  <c r="O252" i="27"/>
  <c r="P252" i="27"/>
  <c r="Q252" i="27"/>
  <c r="R252" i="27"/>
  <c r="S252" i="27"/>
  <c r="T252" i="27"/>
  <c r="U252" i="27"/>
  <c r="V252" i="27"/>
  <c r="W252" i="27"/>
  <c r="X252" i="27"/>
  <c r="Y252" i="27"/>
  <c r="Z252" i="27"/>
  <c r="AA252" i="27"/>
  <c r="AB252" i="27"/>
  <c r="N171" i="27"/>
  <c r="O171" i="27"/>
  <c r="P171" i="27"/>
  <c r="Q171" i="27"/>
  <c r="R171" i="27"/>
  <c r="S171" i="27"/>
  <c r="T171" i="27"/>
  <c r="U171" i="27"/>
  <c r="V171" i="27"/>
  <c r="W171" i="27"/>
  <c r="X171" i="27"/>
  <c r="Y171" i="27"/>
  <c r="Z171" i="27"/>
  <c r="AA171" i="27"/>
  <c r="AB171" i="27"/>
  <c r="N172" i="27"/>
  <c r="O172" i="27"/>
  <c r="P172" i="27"/>
  <c r="Q172" i="27"/>
  <c r="R172" i="27"/>
  <c r="S172" i="27"/>
  <c r="T172" i="27"/>
  <c r="U172" i="27"/>
  <c r="V172" i="27"/>
  <c r="W172" i="27"/>
  <c r="X172" i="27"/>
  <c r="Y172" i="27"/>
  <c r="Z172" i="27"/>
  <c r="AA172" i="27"/>
  <c r="AB172" i="27"/>
  <c r="N173" i="27"/>
  <c r="O173" i="27"/>
  <c r="P173" i="27"/>
  <c r="Q173" i="27"/>
  <c r="R173" i="27"/>
  <c r="S173" i="27"/>
  <c r="T173" i="27"/>
  <c r="U173" i="27"/>
  <c r="V173" i="27"/>
  <c r="W173" i="27"/>
  <c r="X173" i="27"/>
  <c r="Y173" i="27"/>
  <c r="Z173" i="27"/>
  <c r="AA173" i="27"/>
  <c r="AB173" i="27"/>
  <c r="N174" i="27"/>
  <c r="O174" i="27"/>
  <c r="P174" i="27"/>
  <c r="Q174" i="27"/>
  <c r="R174" i="27"/>
  <c r="S174" i="27"/>
  <c r="T174" i="27"/>
  <c r="U174" i="27"/>
  <c r="V174" i="27"/>
  <c r="W174" i="27"/>
  <c r="X174" i="27"/>
  <c r="Y174" i="27"/>
  <c r="Z174" i="27"/>
  <c r="AA174" i="27"/>
  <c r="AB174" i="27"/>
  <c r="N175" i="27"/>
  <c r="O175" i="27"/>
  <c r="P175" i="27"/>
  <c r="Q175" i="27"/>
  <c r="R175" i="27"/>
  <c r="S175" i="27"/>
  <c r="T175" i="27"/>
  <c r="U175" i="27"/>
  <c r="V175" i="27"/>
  <c r="W175" i="27"/>
  <c r="X175" i="27"/>
  <c r="Y175" i="27"/>
  <c r="Z175" i="27"/>
  <c r="AA175" i="27"/>
  <c r="AB175" i="27"/>
  <c r="N176" i="27"/>
  <c r="O176" i="27"/>
  <c r="P176" i="27"/>
  <c r="Q176" i="27"/>
  <c r="R176" i="27"/>
  <c r="S176" i="27"/>
  <c r="T176" i="27"/>
  <c r="U176" i="27"/>
  <c r="V176" i="27"/>
  <c r="W176" i="27"/>
  <c r="X176" i="27"/>
  <c r="Y176" i="27"/>
  <c r="Z176" i="27"/>
  <c r="AA176" i="27"/>
  <c r="AB176" i="27"/>
  <c r="N177" i="27"/>
  <c r="O177" i="27"/>
  <c r="P177" i="27"/>
  <c r="Q177" i="27"/>
  <c r="R177" i="27"/>
  <c r="S177" i="27"/>
  <c r="T177" i="27"/>
  <c r="U177" i="27"/>
  <c r="V177" i="27"/>
  <c r="W177" i="27"/>
  <c r="X177" i="27"/>
  <c r="Y177" i="27"/>
  <c r="Z177" i="27"/>
  <c r="AA177" i="27"/>
  <c r="AB177" i="27"/>
  <c r="N178" i="27"/>
  <c r="O178" i="27"/>
  <c r="P178" i="27"/>
  <c r="Q178" i="27"/>
  <c r="R178" i="27"/>
  <c r="S178" i="27"/>
  <c r="T178" i="27"/>
  <c r="U178" i="27"/>
  <c r="V178" i="27"/>
  <c r="W178" i="27"/>
  <c r="X178" i="27"/>
  <c r="Y178" i="27"/>
  <c r="Z178" i="27"/>
  <c r="AA178" i="27"/>
  <c r="AB178" i="27"/>
  <c r="N179" i="27"/>
  <c r="O179" i="27"/>
  <c r="P179" i="27"/>
  <c r="Q179" i="27"/>
  <c r="R179" i="27"/>
  <c r="S179" i="27"/>
  <c r="T179" i="27"/>
  <c r="U179" i="27"/>
  <c r="V179" i="27"/>
  <c r="W179" i="27"/>
  <c r="X179" i="27"/>
  <c r="Y179" i="27"/>
  <c r="Z179" i="27"/>
  <c r="AA179" i="27"/>
  <c r="AB179" i="27"/>
  <c r="N180" i="27"/>
  <c r="O180" i="27"/>
  <c r="P180" i="27"/>
  <c r="Q180" i="27"/>
  <c r="R180" i="27"/>
  <c r="S180" i="27"/>
  <c r="T180" i="27"/>
  <c r="U180" i="27"/>
  <c r="V180" i="27"/>
  <c r="W180" i="27"/>
  <c r="X180" i="27"/>
  <c r="Y180" i="27"/>
  <c r="Z180" i="27"/>
  <c r="AA180" i="27"/>
  <c r="AB180" i="27"/>
  <c r="N181" i="27"/>
  <c r="O181" i="27"/>
  <c r="P181" i="27"/>
  <c r="Q181" i="27"/>
  <c r="R181" i="27"/>
  <c r="S181" i="27"/>
  <c r="T181" i="27"/>
  <c r="U181" i="27"/>
  <c r="V181" i="27"/>
  <c r="W181" i="27"/>
  <c r="X181" i="27"/>
  <c r="Y181" i="27"/>
  <c r="Z181" i="27"/>
  <c r="AA181" i="27"/>
  <c r="AB181" i="27"/>
  <c r="N182" i="27"/>
  <c r="O182" i="27"/>
  <c r="P182" i="27"/>
  <c r="Q182" i="27"/>
  <c r="R182" i="27"/>
  <c r="S182" i="27"/>
  <c r="T182" i="27"/>
  <c r="U182" i="27"/>
  <c r="V182" i="27"/>
  <c r="W182" i="27"/>
  <c r="X182" i="27"/>
  <c r="Y182" i="27"/>
  <c r="Z182" i="27"/>
  <c r="AA182" i="27"/>
  <c r="AB182" i="27"/>
  <c r="N183" i="27"/>
  <c r="O183" i="27"/>
  <c r="P183" i="27"/>
  <c r="Q183" i="27"/>
  <c r="R183" i="27"/>
  <c r="S183" i="27"/>
  <c r="T183" i="27"/>
  <c r="U183" i="27"/>
  <c r="V183" i="27"/>
  <c r="W183" i="27"/>
  <c r="X183" i="27"/>
  <c r="Y183" i="27"/>
  <c r="Z183" i="27"/>
  <c r="AA183" i="27"/>
  <c r="AB183" i="27"/>
  <c r="N184" i="27"/>
  <c r="O184" i="27"/>
  <c r="P184" i="27"/>
  <c r="Q184" i="27"/>
  <c r="R184" i="27"/>
  <c r="S184" i="27"/>
  <c r="T184" i="27"/>
  <c r="U184" i="27"/>
  <c r="V184" i="27"/>
  <c r="W184" i="27"/>
  <c r="X184" i="27"/>
  <c r="Y184" i="27"/>
  <c r="Z184" i="27"/>
  <c r="AA184" i="27"/>
  <c r="AB184" i="27"/>
  <c r="N185" i="27"/>
  <c r="O185" i="27"/>
  <c r="P185" i="27"/>
  <c r="Q185" i="27"/>
  <c r="R185" i="27"/>
  <c r="S185" i="27"/>
  <c r="T185" i="27"/>
  <c r="U185" i="27"/>
  <c r="V185" i="27"/>
  <c r="W185" i="27"/>
  <c r="X185" i="27"/>
  <c r="Y185" i="27"/>
  <c r="Z185" i="27"/>
  <c r="AA185" i="27"/>
  <c r="AB185" i="27"/>
  <c r="N186" i="27"/>
  <c r="O186" i="27"/>
  <c r="P186" i="27"/>
  <c r="Q186" i="27"/>
  <c r="R186" i="27"/>
  <c r="S186" i="27"/>
  <c r="T186" i="27"/>
  <c r="U186" i="27"/>
  <c r="V186" i="27"/>
  <c r="W186" i="27"/>
  <c r="X186" i="27"/>
  <c r="Y186" i="27"/>
  <c r="Z186" i="27"/>
  <c r="AA186" i="27"/>
  <c r="AB186" i="27"/>
  <c r="N187" i="27"/>
  <c r="O187" i="27"/>
  <c r="P187" i="27"/>
  <c r="Q187" i="27"/>
  <c r="R187" i="27"/>
  <c r="S187" i="27"/>
  <c r="T187" i="27"/>
  <c r="U187" i="27"/>
  <c r="V187" i="27"/>
  <c r="W187" i="27"/>
  <c r="X187" i="27"/>
  <c r="Y187" i="27"/>
  <c r="Z187" i="27"/>
  <c r="AA187" i="27"/>
  <c r="AB187" i="27"/>
  <c r="N188" i="27"/>
  <c r="O188" i="27"/>
  <c r="P188" i="27"/>
  <c r="Q188" i="27"/>
  <c r="R188" i="27"/>
  <c r="S188" i="27"/>
  <c r="T188" i="27"/>
  <c r="U188" i="27"/>
  <c r="V188" i="27"/>
  <c r="W188" i="27"/>
  <c r="X188" i="27"/>
  <c r="Y188" i="27"/>
  <c r="Z188" i="27"/>
  <c r="AA188" i="27"/>
  <c r="AB188" i="27"/>
  <c r="N189" i="27"/>
  <c r="O189" i="27"/>
  <c r="P189" i="27"/>
  <c r="Q189" i="27"/>
  <c r="R189" i="27"/>
  <c r="S189" i="27"/>
  <c r="T189" i="27"/>
  <c r="U189" i="27"/>
  <c r="V189" i="27"/>
  <c r="W189" i="27"/>
  <c r="X189" i="27"/>
  <c r="Y189" i="27"/>
  <c r="Z189" i="27"/>
  <c r="AA189" i="27"/>
  <c r="AB189" i="27"/>
  <c r="N190" i="27"/>
  <c r="O190" i="27"/>
  <c r="P190" i="27"/>
  <c r="Q190" i="27"/>
  <c r="R190" i="27"/>
  <c r="S190" i="27"/>
  <c r="T190" i="27"/>
  <c r="U190" i="27"/>
  <c r="V190" i="27"/>
  <c r="W190" i="27"/>
  <c r="X190" i="27"/>
  <c r="Y190" i="27"/>
  <c r="Z190" i="27"/>
  <c r="AA190" i="27"/>
  <c r="AB190" i="27"/>
  <c r="N191" i="27"/>
  <c r="O191" i="27"/>
  <c r="P191" i="27"/>
  <c r="Q191" i="27"/>
  <c r="R191" i="27"/>
  <c r="S191" i="27"/>
  <c r="T191" i="27"/>
  <c r="U191" i="27"/>
  <c r="V191" i="27"/>
  <c r="W191" i="27"/>
  <c r="X191" i="27"/>
  <c r="Y191" i="27"/>
  <c r="Z191" i="27"/>
  <c r="AA191" i="27"/>
  <c r="AB191" i="27"/>
  <c r="N192" i="27"/>
  <c r="O192" i="27"/>
  <c r="P192" i="27"/>
  <c r="Q192" i="27"/>
  <c r="R192" i="27"/>
  <c r="S192" i="27"/>
  <c r="T192" i="27"/>
  <c r="U192" i="27"/>
  <c r="V192" i="27"/>
  <c r="W192" i="27"/>
  <c r="X192" i="27"/>
  <c r="Y192" i="27"/>
  <c r="Z192" i="27"/>
  <c r="AA192" i="27"/>
  <c r="AB192" i="27"/>
  <c r="N193" i="27"/>
  <c r="O193" i="27"/>
  <c r="P193" i="27"/>
  <c r="Q193" i="27"/>
  <c r="R193" i="27"/>
  <c r="S193" i="27"/>
  <c r="T193" i="27"/>
  <c r="U193" i="27"/>
  <c r="V193" i="27"/>
  <c r="W193" i="27"/>
  <c r="X193" i="27"/>
  <c r="Y193" i="27"/>
  <c r="Z193" i="27"/>
  <c r="AA193" i="27"/>
  <c r="AB193" i="27"/>
  <c r="N194" i="27"/>
  <c r="O194" i="27"/>
  <c r="P194" i="27"/>
  <c r="Q194" i="27"/>
  <c r="R194" i="27"/>
  <c r="S194" i="27"/>
  <c r="T194" i="27"/>
  <c r="U194" i="27"/>
  <c r="V194" i="27"/>
  <c r="W194" i="27"/>
  <c r="X194" i="27"/>
  <c r="Y194" i="27"/>
  <c r="Z194" i="27"/>
  <c r="AA194" i="27"/>
  <c r="AB194" i="27"/>
  <c r="N195" i="27"/>
  <c r="O195" i="27"/>
  <c r="P195" i="27"/>
  <c r="Q195" i="27"/>
  <c r="R195" i="27"/>
  <c r="S195" i="27"/>
  <c r="T195" i="27"/>
  <c r="U195" i="27"/>
  <c r="V195" i="27"/>
  <c r="W195" i="27"/>
  <c r="X195" i="27"/>
  <c r="Y195" i="27"/>
  <c r="Z195" i="27"/>
  <c r="AA195" i="27"/>
  <c r="AB195" i="27"/>
  <c r="N196" i="27"/>
  <c r="O196" i="27"/>
  <c r="P196" i="27"/>
  <c r="Q196" i="27"/>
  <c r="R196" i="27"/>
  <c r="S196" i="27"/>
  <c r="T196" i="27"/>
  <c r="U196" i="27"/>
  <c r="V196" i="27"/>
  <c r="W196" i="27"/>
  <c r="X196" i="27"/>
  <c r="Y196" i="27"/>
  <c r="Z196" i="27"/>
  <c r="AA196" i="27"/>
  <c r="AB196" i="27"/>
  <c r="N197" i="27"/>
  <c r="O197" i="27"/>
  <c r="P197" i="27"/>
  <c r="Q197" i="27"/>
  <c r="R197" i="27"/>
  <c r="S197" i="27"/>
  <c r="T197" i="27"/>
  <c r="U197" i="27"/>
  <c r="V197" i="27"/>
  <c r="W197" i="27"/>
  <c r="X197" i="27"/>
  <c r="Y197" i="27"/>
  <c r="Z197" i="27"/>
  <c r="AA197" i="27"/>
  <c r="AB197" i="27"/>
  <c r="N198" i="27"/>
  <c r="O198" i="27"/>
  <c r="P198" i="27"/>
  <c r="Q198" i="27"/>
  <c r="R198" i="27"/>
  <c r="S198" i="27"/>
  <c r="T198" i="27"/>
  <c r="U198" i="27"/>
  <c r="V198" i="27"/>
  <c r="W198" i="27"/>
  <c r="X198" i="27"/>
  <c r="Y198" i="27"/>
  <c r="Z198" i="27"/>
  <c r="AA198" i="27"/>
  <c r="AB198" i="27"/>
  <c r="N199" i="27"/>
  <c r="O199" i="27"/>
  <c r="P199" i="27"/>
  <c r="Q199" i="27"/>
  <c r="R199" i="27"/>
  <c r="S199" i="27"/>
  <c r="T199" i="27"/>
  <c r="U199" i="27"/>
  <c r="V199" i="27"/>
  <c r="W199" i="27"/>
  <c r="X199" i="27"/>
  <c r="Y199" i="27"/>
  <c r="Z199" i="27"/>
  <c r="AA199" i="27"/>
  <c r="AB199" i="27"/>
  <c r="N200" i="27"/>
  <c r="O200" i="27"/>
  <c r="P200" i="27"/>
  <c r="Q200" i="27"/>
  <c r="R200" i="27"/>
  <c r="S200" i="27"/>
  <c r="T200" i="27"/>
  <c r="U200" i="27"/>
  <c r="V200" i="27"/>
  <c r="W200" i="27"/>
  <c r="X200" i="27"/>
  <c r="Y200" i="27"/>
  <c r="Z200" i="27"/>
  <c r="AA200" i="27"/>
  <c r="AB200" i="27"/>
  <c r="N201" i="27"/>
  <c r="O201" i="27"/>
  <c r="P201" i="27"/>
  <c r="Q201" i="27"/>
  <c r="R201" i="27"/>
  <c r="S201" i="27"/>
  <c r="T201" i="27"/>
  <c r="U201" i="27"/>
  <c r="V201" i="27"/>
  <c r="W201" i="27"/>
  <c r="X201" i="27"/>
  <c r="Y201" i="27"/>
  <c r="Z201" i="27"/>
  <c r="AA201" i="27"/>
  <c r="AB201" i="27"/>
  <c r="N202" i="27"/>
  <c r="O202" i="27"/>
  <c r="P202" i="27"/>
  <c r="Q202" i="27"/>
  <c r="R202" i="27"/>
  <c r="S202" i="27"/>
  <c r="T202" i="27"/>
  <c r="U202" i="27"/>
  <c r="V202" i="27"/>
  <c r="W202" i="27"/>
  <c r="X202" i="27"/>
  <c r="Y202" i="27"/>
  <c r="Z202" i="27"/>
  <c r="AA202" i="27"/>
  <c r="AB202" i="27"/>
  <c r="N203" i="27"/>
  <c r="O203" i="27"/>
  <c r="P203" i="27"/>
  <c r="Q203" i="27"/>
  <c r="R203" i="27"/>
  <c r="S203" i="27"/>
  <c r="T203" i="27"/>
  <c r="U203" i="27"/>
  <c r="V203" i="27"/>
  <c r="W203" i="27"/>
  <c r="X203" i="27"/>
  <c r="Y203" i="27"/>
  <c r="Z203" i="27"/>
  <c r="AA203" i="27"/>
  <c r="AB203" i="27"/>
  <c r="N204" i="27"/>
  <c r="O204" i="27"/>
  <c r="P204" i="27"/>
  <c r="Q204" i="27"/>
  <c r="R204" i="27"/>
  <c r="S204" i="27"/>
  <c r="T204" i="27"/>
  <c r="U204" i="27"/>
  <c r="V204" i="27"/>
  <c r="W204" i="27"/>
  <c r="X204" i="27"/>
  <c r="Y204" i="27"/>
  <c r="Z204" i="27"/>
  <c r="AA204" i="27"/>
  <c r="AB204" i="27"/>
  <c r="N205" i="27"/>
  <c r="O205" i="27"/>
  <c r="P205" i="27"/>
  <c r="Q205" i="27"/>
  <c r="R205" i="27"/>
  <c r="S205" i="27"/>
  <c r="T205" i="27"/>
  <c r="U205" i="27"/>
  <c r="V205" i="27"/>
  <c r="W205" i="27"/>
  <c r="X205" i="27"/>
  <c r="Y205" i="27"/>
  <c r="Z205" i="27"/>
  <c r="AA205" i="27"/>
  <c r="AB205" i="27"/>
  <c r="N206" i="27"/>
  <c r="O206" i="27"/>
  <c r="P206" i="27"/>
  <c r="Q206" i="27"/>
  <c r="R206" i="27"/>
  <c r="S206" i="27"/>
  <c r="T206" i="27"/>
  <c r="U206" i="27"/>
  <c r="V206" i="27"/>
  <c r="W206" i="27"/>
  <c r="X206" i="27"/>
  <c r="Y206" i="27"/>
  <c r="Z206" i="27"/>
  <c r="AA206" i="27"/>
  <c r="AB206" i="27"/>
  <c r="N207" i="27"/>
  <c r="O207" i="27"/>
  <c r="P207" i="27"/>
  <c r="Q207" i="27"/>
  <c r="R207" i="27"/>
  <c r="S207" i="27"/>
  <c r="T207" i="27"/>
  <c r="U207" i="27"/>
  <c r="V207" i="27"/>
  <c r="W207" i="27"/>
  <c r="X207" i="27"/>
  <c r="Y207" i="27"/>
  <c r="Z207" i="27"/>
  <c r="AA207" i="27"/>
  <c r="AB207" i="27"/>
  <c r="N208" i="27"/>
  <c r="O208" i="27"/>
  <c r="P208" i="27"/>
  <c r="Q208" i="27"/>
  <c r="R208" i="27"/>
  <c r="S208" i="27"/>
  <c r="T208" i="27"/>
  <c r="U208" i="27"/>
  <c r="V208" i="27"/>
  <c r="W208" i="27"/>
  <c r="X208" i="27"/>
  <c r="Y208" i="27"/>
  <c r="Z208" i="27"/>
  <c r="AA208" i="27"/>
  <c r="AB208" i="27"/>
  <c r="N209" i="27"/>
  <c r="O209" i="27"/>
  <c r="P209" i="27"/>
  <c r="Q209" i="27"/>
  <c r="R209" i="27"/>
  <c r="S209" i="27"/>
  <c r="T209" i="27"/>
  <c r="U209" i="27"/>
  <c r="V209" i="27"/>
  <c r="W209" i="27"/>
  <c r="X209" i="27"/>
  <c r="Y209" i="27"/>
  <c r="Z209" i="27"/>
  <c r="AA209" i="27"/>
  <c r="AB209" i="27"/>
  <c r="N210" i="27"/>
  <c r="O210" i="27"/>
  <c r="P210" i="27"/>
  <c r="Q210" i="27"/>
  <c r="R210" i="27"/>
  <c r="S210" i="27"/>
  <c r="T210" i="27"/>
  <c r="U210" i="27"/>
  <c r="V210" i="27"/>
  <c r="W210" i="27"/>
  <c r="X210" i="27"/>
  <c r="Y210" i="27"/>
  <c r="Z210" i="27"/>
  <c r="AA210" i="27"/>
  <c r="AB210" i="27"/>
  <c r="N211" i="27"/>
  <c r="O211" i="27"/>
  <c r="P211" i="27"/>
  <c r="Q211" i="27"/>
  <c r="R211" i="27"/>
  <c r="S211" i="27"/>
  <c r="T211" i="27"/>
  <c r="U211" i="27"/>
  <c r="V211" i="27"/>
  <c r="W211" i="27"/>
  <c r="X211" i="27"/>
  <c r="Y211" i="27"/>
  <c r="Z211" i="27"/>
  <c r="AA211" i="27"/>
  <c r="AB211" i="27"/>
  <c r="N212" i="27"/>
  <c r="O212" i="27"/>
  <c r="P212" i="27"/>
  <c r="Q212" i="27"/>
  <c r="R212" i="27"/>
  <c r="S212" i="27"/>
  <c r="T212" i="27"/>
  <c r="U212" i="27"/>
  <c r="V212" i="27"/>
  <c r="W212" i="27"/>
  <c r="X212" i="27"/>
  <c r="Y212" i="27"/>
  <c r="Z212" i="27"/>
  <c r="AA212" i="27"/>
  <c r="AB212" i="27"/>
  <c r="N213" i="27"/>
  <c r="O213" i="27"/>
  <c r="P213" i="27"/>
  <c r="Q213" i="27"/>
  <c r="R213" i="27"/>
  <c r="S213" i="27"/>
  <c r="T213" i="27"/>
  <c r="U213" i="27"/>
  <c r="V213" i="27"/>
  <c r="W213" i="27"/>
  <c r="X213" i="27"/>
  <c r="Y213" i="27"/>
  <c r="Z213" i="27"/>
  <c r="AA213" i="27"/>
  <c r="AB213" i="27"/>
  <c r="N214" i="27"/>
  <c r="O214" i="27"/>
  <c r="P214" i="27"/>
  <c r="Q214" i="27"/>
  <c r="R214" i="27"/>
  <c r="S214" i="27"/>
  <c r="T214" i="27"/>
  <c r="U214" i="27"/>
  <c r="V214" i="27"/>
  <c r="W214" i="27"/>
  <c r="X214" i="27"/>
  <c r="Y214" i="27"/>
  <c r="Z214" i="27"/>
  <c r="AA214" i="27"/>
  <c r="AB214" i="27"/>
  <c r="N215" i="27"/>
  <c r="O215" i="27"/>
  <c r="P215" i="27"/>
  <c r="Q215" i="27"/>
  <c r="R215" i="27"/>
  <c r="S215" i="27"/>
  <c r="T215" i="27"/>
  <c r="U215" i="27"/>
  <c r="V215" i="27"/>
  <c r="W215" i="27"/>
  <c r="X215" i="27"/>
  <c r="Y215" i="27"/>
  <c r="Z215" i="27"/>
  <c r="AA215" i="27"/>
  <c r="AB215" i="27"/>
  <c r="N216" i="27"/>
  <c r="O216" i="27"/>
  <c r="P216" i="27"/>
  <c r="Q216" i="27"/>
  <c r="R216" i="27"/>
  <c r="S216" i="27"/>
  <c r="T216" i="27"/>
  <c r="U216" i="27"/>
  <c r="V216" i="27"/>
  <c r="W216" i="27"/>
  <c r="X216" i="27"/>
  <c r="Y216" i="27"/>
  <c r="Z216" i="27"/>
  <c r="AA216" i="27"/>
  <c r="AB216" i="27"/>
  <c r="N217" i="27"/>
  <c r="O217" i="27"/>
  <c r="P217" i="27"/>
  <c r="Q217" i="27"/>
  <c r="R217" i="27"/>
  <c r="S217" i="27"/>
  <c r="T217" i="27"/>
  <c r="U217" i="27"/>
  <c r="V217" i="27"/>
  <c r="W217" i="27"/>
  <c r="X217" i="27"/>
  <c r="Y217" i="27"/>
  <c r="Z217" i="27"/>
  <c r="AA217" i="27"/>
  <c r="AB217" i="27"/>
  <c r="N218" i="27"/>
  <c r="O218" i="27"/>
  <c r="P218" i="27"/>
  <c r="Q218" i="27"/>
  <c r="R218" i="27"/>
  <c r="S218" i="27"/>
  <c r="T218" i="27"/>
  <c r="U218" i="27"/>
  <c r="V218" i="27"/>
  <c r="W218" i="27"/>
  <c r="X218" i="27"/>
  <c r="Y218" i="27"/>
  <c r="Z218" i="27"/>
  <c r="AA218" i="27"/>
  <c r="AB218" i="27"/>
  <c r="AB2" i="27"/>
  <c r="AA2" i="27"/>
  <c r="Z2" i="27"/>
  <c r="Y2" i="27"/>
  <c r="X2" i="27"/>
  <c r="W2" i="27"/>
  <c r="V2" i="27"/>
  <c r="U2" i="27"/>
  <c r="T2" i="27"/>
  <c r="S2" i="27"/>
  <c r="R2" i="27"/>
  <c r="Q2" i="27"/>
  <c r="F73" i="29" l="1"/>
  <c r="F57" i="29"/>
  <c r="F72" i="29"/>
  <c r="F40" i="29"/>
  <c r="F48" i="29"/>
  <c r="F41" i="29"/>
  <c r="F64" i="29"/>
  <c r="C25" i="29"/>
  <c r="D22" i="29" s="1"/>
  <c r="F49" i="29"/>
  <c r="F56" i="29"/>
  <c r="F65" i="29"/>
  <c r="Q25" i="29"/>
  <c r="C115" i="29"/>
  <c r="C117" i="29"/>
  <c r="C119" i="29"/>
  <c r="F116" i="29"/>
  <c r="F118" i="29"/>
  <c r="C151" i="29"/>
  <c r="C160" i="29" s="1"/>
  <c r="G151" i="29"/>
  <c r="G160" i="29" s="1"/>
  <c r="M90" i="29"/>
  <c r="M100" i="29" s="1"/>
  <c r="E90" i="29"/>
  <c r="E101" i="29" s="1"/>
  <c r="F151" i="29"/>
  <c r="F160" i="29" s="1"/>
  <c r="L90" i="29"/>
  <c r="L100" i="29" s="1"/>
  <c r="D90" i="29"/>
  <c r="D97" i="29" s="1"/>
  <c r="F115" i="29"/>
  <c r="E118" i="29"/>
  <c r="E116" i="29"/>
  <c r="E151" i="29"/>
  <c r="E160" i="29" s="1"/>
  <c r="K90" i="29"/>
  <c r="K101" i="29" s="1"/>
  <c r="E115" i="29"/>
  <c r="D118" i="29"/>
  <c r="D116" i="29"/>
  <c r="D151" i="29"/>
  <c r="D160" i="29" s="1"/>
  <c r="J90" i="29"/>
  <c r="J100" i="29" s="1"/>
  <c r="D115" i="29"/>
  <c r="C118" i="29"/>
  <c r="C116" i="29"/>
  <c r="I90" i="29"/>
  <c r="I97" i="29" s="1"/>
  <c r="F119" i="29"/>
  <c r="F117" i="29"/>
  <c r="H90" i="29"/>
  <c r="H101" i="29" s="1"/>
  <c r="E119" i="29"/>
  <c r="E117" i="29"/>
  <c r="C90" i="29"/>
  <c r="C101" i="29" s="1"/>
  <c r="G90" i="29"/>
  <c r="G97" i="29" s="1"/>
  <c r="D119" i="29"/>
  <c r="D117" i="29"/>
  <c r="N90" i="29"/>
  <c r="N98" i="29" s="1"/>
  <c r="F90" i="29"/>
  <c r="F97" i="29" s="1"/>
  <c r="Q46" i="31"/>
  <c r="Q47" i="31"/>
  <c r="Q48" i="31"/>
  <c r="Q49" i="31"/>
  <c r="Q50" i="31"/>
  <c r="Q51" i="31"/>
  <c r="Q52" i="31"/>
  <c r="Q53" i="31"/>
  <c r="Q54" i="31"/>
  <c r="Q55" i="31"/>
  <c r="Q56" i="31"/>
  <c r="Q57" i="31"/>
  <c r="Q58" i="31"/>
  <c r="Q59" i="31"/>
  <c r="Q60" i="31"/>
  <c r="Q61" i="31"/>
  <c r="Q62" i="31"/>
  <c r="Q22" i="31"/>
  <c r="Q23" i="31"/>
  <c r="Q24" i="31"/>
  <c r="Q25" i="31"/>
  <c r="Q26" i="31"/>
  <c r="Q27" i="31"/>
  <c r="Q28" i="31"/>
  <c r="Q29" i="31"/>
  <c r="Q30" i="31"/>
  <c r="Q31" i="31"/>
  <c r="Q32" i="31"/>
  <c r="Q33" i="31"/>
  <c r="Q34" i="31"/>
  <c r="Q9" i="31"/>
  <c r="Q10" i="31"/>
  <c r="Q11" i="31"/>
  <c r="Q12" i="31"/>
  <c r="Q13" i="31"/>
  <c r="Q14" i="31"/>
  <c r="Q15" i="31"/>
  <c r="Q16" i="31"/>
  <c r="Q17" i="31"/>
  <c r="Q18" i="31"/>
  <c r="Q19" i="31"/>
  <c r="Q20" i="31"/>
  <c r="Q21" i="31"/>
  <c r="Q2" i="31"/>
  <c r="Q3" i="31"/>
  <c r="Q4" i="31"/>
  <c r="Q5" i="31"/>
  <c r="Q6" i="31"/>
  <c r="Q7" i="31"/>
  <c r="Q8" i="31"/>
  <c r="Q35" i="31"/>
  <c r="Q36" i="31"/>
  <c r="Q37" i="31"/>
  <c r="Q38" i="31"/>
  <c r="Q39" i="31"/>
  <c r="Q40" i="31"/>
  <c r="Q41" i="31"/>
  <c r="Q42" i="31"/>
  <c r="Q43" i="31"/>
  <c r="Q44" i="31"/>
  <c r="Q45" i="31"/>
  <c r="N2" i="27"/>
  <c r="O2" i="27"/>
  <c r="P2" i="27"/>
  <c r="R35" i="31" l="1"/>
  <c r="D70" i="29" s="1"/>
  <c r="R2" i="31"/>
  <c r="D24" i="29"/>
  <c r="D21" i="29"/>
  <c r="F19" i="29"/>
  <c r="D20" i="29"/>
  <c r="F20" i="29"/>
  <c r="D23" i="29"/>
  <c r="R45" i="31"/>
  <c r="D38" i="29" s="1"/>
  <c r="R22" i="31"/>
  <c r="D46" i="29" s="1"/>
  <c r="R9" i="31"/>
  <c r="D54" i="29" s="1"/>
  <c r="D62" i="29"/>
  <c r="C155" i="29"/>
  <c r="F155" i="29"/>
  <c r="G155" i="29"/>
  <c r="C156" i="29"/>
  <c r="C158" i="29"/>
  <c r="M101" i="29"/>
  <c r="C157" i="29"/>
  <c r="C159" i="29"/>
  <c r="M97" i="29"/>
  <c r="M99" i="29"/>
  <c r="F157" i="29"/>
  <c r="M98" i="29"/>
  <c r="G157" i="29"/>
  <c r="F159" i="29"/>
  <c r="F156" i="29"/>
  <c r="E158" i="29"/>
  <c r="E97" i="29"/>
  <c r="E159" i="29"/>
  <c r="G159" i="29"/>
  <c r="E100" i="29"/>
  <c r="E98" i="29"/>
  <c r="G156" i="29"/>
  <c r="G158" i="29"/>
  <c r="E99" i="29"/>
  <c r="L98" i="29"/>
  <c r="F158" i="29"/>
  <c r="K98" i="29"/>
  <c r="D98" i="29"/>
  <c r="L101" i="29"/>
  <c r="K99" i="29"/>
  <c r="J97" i="29"/>
  <c r="G101" i="29"/>
  <c r="L97" i="29"/>
  <c r="J98" i="29"/>
  <c r="N97" i="29"/>
  <c r="H100" i="29"/>
  <c r="G98" i="29"/>
  <c r="C98" i="29"/>
  <c r="I98" i="29"/>
  <c r="G99" i="29"/>
  <c r="E120" i="29"/>
  <c r="E125" i="29" s="1"/>
  <c r="I99" i="29"/>
  <c r="H97" i="29"/>
  <c r="E156" i="29"/>
  <c r="D99" i="29"/>
  <c r="D155" i="29"/>
  <c r="F99" i="29"/>
  <c r="D100" i="29"/>
  <c r="H99" i="29"/>
  <c r="F100" i="29"/>
  <c r="L99" i="29"/>
  <c r="K97" i="29"/>
  <c r="C120" i="29"/>
  <c r="C128" i="29" s="1"/>
  <c r="N99" i="29"/>
  <c r="N100" i="29"/>
  <c r="I100" i="29"/>
  <c r="H98" i="29"/>
  <c r="K100" i="29"/>
  <c r="I101" i="29"/>
  <c r="D120" i="29"/>
  <c r="D127" i="29" s="1"/>
  <c r="J99" i="29"/>
  <c r="F101" i="29"/>
  <c r="C100" i="29"/>
  <c r="J101" i="29"/>
  <c r="D159" i="29"/>
  <c r="C97" i="29"/>
  <c r="G100" i="29"/>
  <c r="F98" i="29"/>
  <c r="D158" i="29"/>
  <c r="N101" i="29"/>
  <c r="E155" i="29"/>
  <c r="C99" i="29"/>
  <c r="E157" i="29"/>
  <c r="F120" i="29"/>
  <c r="D156" i="29"/>
  <c r="D101" i="29"/>
  <c r="D157" i="29"/>
  <c r="R64" i="31" l="1"/>
  <c r="C26" i="29"/>
  <c r="N102" i="29"/>
  <c r="K102" i="29"/>
  <c r="H102" i="29"/>
  <c r="J102" i="29"/>
  <c r="M102" i="29"/>
  <c r="D125" i="29"/>
  <c r="D131" i="29" s="1"/>
  <c r="E128" i="29"/>
  <c r="D102" i="29"/>
  <c r="E126" i="29"/>
  <c r="E129" i="29"/>
  <c r="C126" i="29"/>
  <c r="E127" i="29"/>
  <c r="E102" i="29"/>
  <c r="I102" i="29"/>
  <c r="F102" i="29"/>
  <c r="L102" i="29"/>
  <c r="G102" i="29"/>
  <c r="D128" i="29"/>
  <c r="C102" i="29"/>
  <c r="F126" i="29"/>
  <c r="F128" i="29"/>
  <c r="F129" i="29"/>
  <c r="C127" i="29"/>
  <c r="C129" i="29"/>
  <c r="C125" i="29"/>
  <c r="D126" i="29"/>
  <c r="D129" i="29"/>
  <c r="F127" i="29"/>
  <c r="F125" i="29"/>
  <c r="E130" i="29" l="1"/>
  <c r="C130" i="29"/>
  <c r="D130" i="29"/>
  <c r="F130" i="29"/>
</calcChain>
</file>

<file path=xl/comments1.xml><?xml version="1.0" encoding="utf-8"?>
<comments xmlns="http://schemas.openxmlformats.org/spreadsheetml/2006/main" xmlns:mc="http://schemas.openxmlformats.org/markup-compatibility/2006" xmlns:xr="http://schemas.microsoft.com/office/spreadsheetml/2014/revision" mc:Ignorable="xr">
  <authors>
    <author>Charles Ffoulkes</author>
  </authors>
  <commentList>
    <comment ref="B14" authorId="0" shapeId="0" xr:uid="{C436B970-ADCF-4FB7-B9C6-F14A796920C2}">
      <text>
        <r>
          <rPr>
            <b/>
            <sz val="9"/>
            <color indexed="81"/>
            <rFont val="Tahoma"/>
            <family val="2"/>
          </rPr>
          <t>Charles Ffoulkes:</t>
        </r>
        <r>
          <rPr>
            <sz val="9"/>
            <color indexed="81"/>
            <rFont val="Tahoma"/>
            <family val="2"/>
          </rPr>
          <t xml:space="preserve">
add (b)</t>
        </r>
      </text>
    </comment>
    <comment ref="H14" authorId="0" shapeId="0" xr:uid="{71D6B9F6-EDA3-485F-94B6-AFDFEE07C4C9}">
      <text>
        <r>
          <rPr>
            <b/>
            <sz val="9"/>
            <color indexed="81"/>
            <rFont val="Tahoma"/>
            <family val="2"/>
          </rPr>
          <t>Charles Ffoulkes:</t>
        </r>
        <r>
          <rPr>
            <sz val="9"/>
            <color indexed="81"/>
            <rFont val="Tahoma"/>
            <family val="2"/>
          </rPr>
          <t xml:space="preserve">
a) opportunity winter = low
b) risk summer = medium</t>
        </r>
      </text>
    </comment>
    <comment ref="I18" authorId="0" shapeId="0" xr:uid="{72993AB3-4B63-4B94-BA49-67D4CFF047F6}">
      <text>
        <r>
          <rPr>
            <b/>
            <sz val="9"/>
            <color indexed="81"/>
            <rFont val="Tahoma"/>
            <family val="2"/>
          </rPr>
          <t>Charles Ffoulkes:</t>
        </r>
        <r>
          <rPr>
            <sz val="9"/>
            <color indexed="81"/>
            <rFont val="Tahoma"/>
            <family val="2"/>
          </rPr>
          <t xml:space="preserve">
a) quality = Medium
b) quantity = High</t>
        </r>
      </text>
    </comment>
    <comment ref="J18" authorId="0" shapeId="0" xr:uid="{B4B8F469-00A9-47CE-9098-15DDC4214325}">
      <text>
        <r>
          <rPr>
            <b/>
            <sz val="9"/>
            <color indexed="81"/>
            <rFont val="Tahoma"/>
            <family val="2"/>
          </rPr>
          <t>Charles Ffoulkes:</t>
        </r>
        <r>
          <rPr>
            <sz val="9"/>
            <color indexed="81"/>
            <rFont val="Tahoma"/>
            <family val="2"/>
          </rPr>
          <t xml:space="preserve">
a) quality = Medium
b) quantity = High</t>
        </r>
      </text>
    </comment>
    <comment ref="K18" authorId="0" shapeId="0" xr:uid="{DC0A6C76-F157-4415-B6AB-FF5D6F9C602B}">
      <text>
        <r>
          <rPr>
            <b/>
            <sz val="9"/>
            <color indexed="81"/>
            <rFont val="Tahoma"/>
            <family val="2"/>
          </rPr>
          <t>Charles Ffoulkes:</t>
        </r>
        <r>
          <rPr>
            <sz val="9"/>
            <color indexed="81"/>
            <rFont val="Tahoma"/>
            <family val="2"/>
          </rPr>
          <t xml:space="preserve">
a) quality = Medium
b) quantity = High</t>
        </r>
      </text>
    </comment>
    <comment ref="L18" authorId="0" shapeId="0" xr:uid="{2900A218-BB7F-43D2-8F33-EFBF6D4565B4}">
      <text>
        <r>
          <rPr>
            <b/>
            <sz val="9"/>
            <color indexed="81"/>
            <rFont val="Tahoma"/>
            <family val="2"/>
          </rPr>
          <t>Charles Ffoulkes:</t>
        </r>
        <r>
          <rPr>
            <sz val="9"/>
            <color indexed="81"/>
            <rFont val="Tahoma"/>
            <family val="2"/>
          </rPr>
          <t xml:space="preserve">
a) quality = Medium
b) quantity = High</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Hannah Oliver</author>
  </authors>
  <commentList>
    <comment ref="M226" authorId="0" shapeId="0" xr:uid="{05647C66-7CCD-4389-B81B-65746DC466E6}">
      <text>
        <r>
          <rPr>
            <b/>
            <sz val="9"/>
            <color indexed="81"/>
            <rFont val="Tahoma"/>
            <family val="2"/>
          </rPr>
          <t>Hannah Oliver:</t>
        </r>
        <r>
          <rPr>
            <sz val="9"/>
            <color indexed="81"/>
            <rFont val="Tahoma"/>
            <family val="2"/>
          </rPr>
          <t xml:space="preserve">
RBRA actions addressed in same section of the annex as N11.</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Charles Ffoulkes</author>
  </authors>
  <commentList>
    <comment ref="A1" authorId="0" shapeId="0" xr:uid="{1C1FC2FF-1944-4281-A78C-5AB835C496D9}">
      <text>
        <r>
          <rPr>
            <b/>
            <sz val="9"/>
            <color indexed="81"/>
            <rFont val="Tahoma"/>
            <family val="2"/>
          </rPr>
          <t xml:space="preserve">Source: </t>
        </r>
        <r>
          <rPr>
            <sz val="9"/>
            <color indexed="81"/>
            <rFont val="Tahoma"/>
            <family val="2"/>
          </rPr>
          <t xml:space="preserve">Table 1, under section 4. Recommendations to Government, of the 2023 Progress Report to Parliament webpage. Available at https://www.theccc.org.uk/publication/2023-progress-report-to-parliament/ [Accessed 10 Jan. 2024]
</t>
        </r>
      </text>
    </comment>
    <comment ref="B1" authorId="0" shapeId="0" xr:uid="{B0762F3E-6BA1-4823-B9B2-FFA856C7527D}">
      <text>
        <r>
          <rPr>
            <b/>
            <sz val="9"/>
            <color indexed="81"/>
            <rFont val="Tahoma"/>
            <family val="2"/>
          </rPr>
          <t xml:space="preserve">Source: </t>
        </r>
        <r>
          <rPr>
            <sz val="9"/>
            <color indexed="81"/>
            <rFont val="Tahoma"/>
            <family val="2"/>
          </rPr>
          <t xml:space="preserve">Table 1, under section 4. Recommendations to Government, of the 2023 Progress Report to Parliament webpage. Available at https://www.theccc.org.uk/publication/2023-progress-report-to-parliament/ [Accessed 10 Jan. 2024]
</t>
        </r>
      </text>
    </comment>
    <comment ref="C1" authorId="0" shapeId="0" xr:uid="{478A90D1-E477-4CC3-A194-578A25341136}">
      <text>
        <r>
          <rPr>
            <b/>
            <sz val="9"/>
            <color indexed="81"/>
            <rFont val="Tahoma"/>
            <family val="2"/>
          </rPr>
          <t xml:space="preserve">Source: </t>
        </r>
        <r>
          <rPr>
            <sz val="9"/>
            <color indexed="81"/>
            <rFont val="Tahoma"/>
            <family val="2"/>
          </rPr>
          <t xml:space="preserve">Table 1, under section 4. Recommendations to Government, of the 2023 Progress Report to Parliament webpage. Available at https://www.theccc.org.uk/publication/2023-progress-report-to-parliament/ [Accessed 10 Jan. 2024]
</t>
        </r>
      </text>
    </comment>
    <comment ref="D1" authorId="0" shapeId="0" xr:uid="{DA6D15E3-FDA5-4D74-96A7-78B5ADDB46A6}">
      <text>
        <r>
          <rPr>
            <b/>
            <sz val="9"/>
            <color indexed="81"/>
            <rFont val="Tahoma"/>
            <family val="2"/>
          </rPr>
          <t xml:space="preserve">Source: </t>
        </r>
        <r>
          <rPr>
            <sz val="9"/>
            <color indexed="81"/>
            <rFont val="Tahoma"/>
            <family val="2"/>
          </rPr>
          <t xml:space="preserve">Table 1 under section 4 of the 2023 Progress Report to Parliament webpage. Available at https://www.theccc.org.uk/publication/2023-progress-report-to-parliament/ [Accessed 10 Jan. 2024]
</t>
        </r>
      </text>
    </comment>
    <comment ref="E1" authorId="0" shapeId="0" xr:uid="{1D0A898A-C59C-4962-B241-03D9677B7573}">
      <text>
        <r>
          <rPr>
            <b/>
            <sz val="9"/>
            <color indexed="81"/>
            <rFont val="Tahoma"/>
            <family val="2"/>
          </rPr>
          <t xml:space="preserve">Source: </t>
        </r>
        <r>
          <rPr>
            <sz val="9"/>
            <color indexed="81"/>
            <rFont val="Tahoma"/>
            <family val="2"/>
          </rPr>
          <t xml:space="preserve">Table 1.1 in CCC Progress in adapting to climate change: 2023 Report to Parliament. Available at https://www.theccc.org.uk/wp-content/uploads/2023/03/WEB-Progress-in-adapting-to-climate-change-2023-Report-to-Parliament.pdf [Accessed 10 Jan. 2024]
</t>
        </r>
      </text>
    </comment>
    <comment ref="F1" authorId="0" shapeId="0" xr:uid="{A0F8F6FF-F541-4D2B-B8E1-6E25757CF587}">
      <text>
        <r>
          <rPr>
            <b/>
            <sz val="9"/>
            <color indexed="81"/>
            <rFont val="Tahoma"/>
            <family val="2"/>
          </rPr>
          <t xml:space="preserve">Source: </t>
        </r>
        <r>
          <rPr>
            <sz val="9"/>
            <color indexed="81"/>
            <rFont val="Tahoma"/>
            <family val="2"/>
          </rPr>
          <t xml:space="preserve">Table 1, under section 4. Recommendations to Government, of the 2023 Progress Report to Parliament webpage. Available at https://www.theccc.org.uk/publication/2023-progress-report-to-parliament/ [Accessed 10 Jan. 2024]
</t>
        </r>
      </text>
    </comment>
    <comment ref="G1" authorId="0" shapeId="0" xr:uid="{C3D57E55-C80C-4E3D-B9B3-0F8C52947A49}">
      <text>
        <r>
          <rPr>
            <b/>
            <sz val="9"/>
            <color indexed="81"/>
            <rFont val="Tahoma"/>
            <family val="2"/>
          </rPr>
          <t xml:space="preserve">Source: </t>
        </r>
        <r>
          <rPr>
            <sz val="9"/>
            <color indexed="81"/>
            <rFont val="Tahoma"/>
            <family val="2"/>
          </rPr>
          <t xml:space="preserve">Table 1, under section 4. Recommendations to Government, of the 2023 Progress Report to Parliament webpage. Available at https://www.theccc.org.uk/publication/2023-progress-report-to-parliament/ [Accessed 10 Jan. 2024]
</t>
        </r>
      </text>
    </comment>
    <comment ref="H1" authorId="0" shapeId="0" xr:uid="{1AF07270-BB05-409F-AD8D-65CEB0C4D9C4}">
      <text>
        <r>
          <rPr>
            <b/>
            <sz val="9"/>
            <color indexed="81"/>
            <rFont val="Tahoma"/>
            <family val="2"/>
          </rPr>
          <t xml:space="preserve">Source: </t>
        </r>
        <r>
          <rPr>
            <sz val="9"/>
            <color indexed="81"/>
            <rFont val="Tahoma"/>
            <family val="2"/>
          </rPr>
          <t xml:space="preserve">Government response to the Climate Change Committee 2023 report to Parliament - progress in adapting to climate change. Published 26 October 2023. Available at: https://www.gov.uk/government/publications/government-response-to-the-climate-change-committee-2023-adaptation-progress-report/government-response-to-the-climate-change-committee-2023-report-to-parliament-progress-in-adapting-to-climate-change [Accessed 10 Jan. 2024]
</t>
        </r>
      </text>
    </comment>
    <comment ref="I1" authorId="0" shapeId="0" xr:uid="{9E88EECA-205B-4AA7-8C0F-7B1E50712B00}">
      <text>
        <r>
          <rPr>
            <b/>
            <sz val="9"/>
            <color indexed="81"/>
            <rFont val="Tahoma"/>
            <family val="2"/>
          </rPr>
          <t xml:space="preserve">Source: </t>
        </r>
        <r>
          <rPr>
            <sz val="9"/>
            <color indexed="81"/>
            <rFont val="Tahoma"/>
            <family val="2"/>
          </rPr>
          <t xml:space="preserve">Government response to the Climate Change Committee 2023 report to Parliament - progress in adapting to climate change. Published 26 October 2023. Available at: https://www.gov.uk/government/publications/government-response-to-the-climate-change-committee-2023-adaptation-progress-report/government-response-to-the-climate-change-committee-2023-report-to-parliament-progress-in-adapting-to-climate-change [Accessed 10 Jan. 2024]
</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Charles Ffoulkes</author>
  </authors>
  <commentList>
    <comment ref="A1" authorId="0" shapeId="0" xr:uid="{DA358AD9-DA6D-46E0-BE33-0EB1D0C1C422}">
      <text>
        <r>
          <rPr>
            <b/>
            <sz val="9"/>
            <color indexed="81"/>
            <rFont val="Tahoma"/>
            <family val="2"/>
          </rPr>
          <t xml:space="preserve">Source: </t>
        </r>
        <r>
          <rPr>
            <sz val="9"/>
            <color indexed="81"/>
            <rFont val="Tahoma"/>
            <family val="2"/>
          </rPr>
          <t>Government response to the Climate Change Committee 2023 report to Parliament - progress in adapting to climate change. Published 26 October 2023. Available at: https://www.gov.uk/government/publications/government-response-to-the-climate-change-committee-2023-adaptation-progress-report/government-response-to-the-climate-change-committee-2023-report-to-parliament-progress-in-adapting-to-climate-change [Accessed 10 Jan. 2024]</t>
        </r>
        <r>
          <rPr>
            <b/>
            <sz val="9"/>
            <color indexed="81"/>
            <rFont val="Tahoma"/>
            <family val="2"/>
          </rPr>
          <t xml:space="preserve">
</t>
        </r>
        <r>
          <rPr>
            <sz val="9"/>
            <color indexed="81"/>
            <rFont val="Tahoma"/>
            <family val="2"/>
          </rPr>
          <t xml:space="preserve">
</t>
        </r>
      </text>
    </comment>
  </commentList>
</comments>
</file>

<file path=xl/sharedStrings.xml><?xml version="1.0" encoding="utf-8"?>
<sst xmlns="http://schemas.openxmlformats.org/spreadsheetml/2006/main" count="7608" uniqueCount="1936">
  <si>
    <t xml:space="preserve">Full list of CCRA3 risk and opportunity scores </t>
  </si>
  <si>
    <t>This spreadsheet summarises all of the magnitude and urgency scores, by UK nation, for each climate change risk and opportunity assessed in the CCRA3 Technical Report.  
Also shown are the Committee's scores against the criteria used to determine the top eight priority risk areas for action in the next two years, outlined in the CCRA3 Advice Report.</t>
  </si>
  <si>
    <t>Source: https://www.theccc.org.uk/publication/independent-assessment-of-uk-climate-risk/#supporting-data-charts</t>
  </si>
  <si>
    <t>Magnitude Score</t>
  </si>
  <si>
    <r>
      <t>Risk or Opportunity Descriptor (</t>
    </r>
    <r>
      <rPr>
        <b/>
        <sz val="11"/>
        <color theme="0"/>
        <rFont val="Calibri"/>
        <family val="2"/>
        <scheme val="minor"/>
      </rPr>
      <t>BOLD</t>
    </r>
    <r>
      <rPr>
        <sz val="11"/>
        <color theme="0"/>
        <rFont val="Calibri"/>
        <family val="2"/>
        <scheme val="minor"/>
      </rPr>
      <t xml:space="preserve"> = Committee priority risks)</t>
    </r>
  </si>
  <si>
    <t>Chapter</t>
  </si>
  <si>
    <t>Nation</t>
  </si>
  <si>
    <t>Present Day</t>
  </si>
  <si>
    <t>2050, 2°</t>
  </si>
  <si>
    <t>2050, 4°</t>
  </si>
  <si>
    <t>2080, 2°</t>
  </si>
  <si>
    <t>2080, 4°</t>
  </si>
  <si>
    <t>Adaptation Score</t>
  </si>
  <si>
    <t>Urgency Score</t>
  </si>
  <si>
    <t>UK-wide Urgency score for Advice Report</t>
  </si>
  <si>
    <t>CCC Progress Scores for England (2019)*</t>
  </si>
  <si>
    <t>CCC Progress Scores for Scotland (2019)*</t>
  </si>
  <si>
    <t>Key policy opportunities in the next 2 years (UK wide, Committee View)</t>
  </si>
  <si>
    <t>N1 Risks to terrestrial species and habitats from changing climatic conditions and extreme events, including temperature change, water scarcity, wildfire, flooding, wind, and altered hydrology (including water scarcity, flooding and saline intrusion)</t>
  </si>
  <si>
    <t>England</t>
  </si>
  <si>
    <t>High</t>
  </si>
  <si>
    <t>Partially</t>
  </si>
  <si>
    <t>More action needed</t>
  </si>
  <si>
    <t>Low (3)</t>
  </si>
  <si>
    <t>Medium (Amber)</t>
  </si>
  <si>
    <t>High (Environment and nature recovery policy reform)</t>
  </si>
  <si>
    <t>Scotland</t>
  </si>
  <si>
    <t>Wales</t>
  </si>
  <si>
    <t>Northern Ireland</t>
  </si>
  <si>
    <t>N2 Risks to terrestrial species and habitats from pests, pathogens and invasive species</t>
  </si>
  <si>
    <t>Medium</t>
  </si>
  <si>
    <t>N3 Opportunities from new species colonisations in terrestrial habitats</t>
  </si>
  <si>
    <t>No</t>
  </si>
  <si>
    <t>Further investigation</t>
  </si>
  <si>
    <t>Further Investigation</t>
  </si>
  <si>
    <t>N/A</t>
  </si>
  <si>
    <t>Low (No key policies looking at opportunities in the next 2 years)</t>
  </si>
  <si>
    <t xml:space="preserve">N4 Risk to soils from changing climatic conditions, including seasonal aridity and wetness. </t>
  </si>
  <si>
    <t>Very partially</t>
  </si>
  <si>
    <t>Low (Red)</t>
  </si>
  <si>
    <t>High (New land management and rural support schemes)</t>
  </si>
  <si>
    <t xml:space="preserve">N5 Risks and opportunities for natural carbon stores, carbon sequestration and GHG emissions from changing climatic conditions, including temperature change and water scarcity 
</t>
  </si>
  <si>
    <t>High (Net Zero, new land management and rural support schemes, Environment and nature recovery policy)</t>
  </si>
  <si>
    <t>N6 Risks to and opportunities for agricultural and forestry productivity from extreme events and changing climatic conditions (including temperature change, water scarcity, wildfire, flooding, coastal erosion, wind and saline intrusion).</t>
  </si>
  <si>
    <t>Low (1)</t>
  </si>
  <si>
    <t>N7 Risks to agriculture from pests, pathogens and invasive species</t>
  </si>
  <si>
    <t>High (New land management and rural support schemes, naure recovery policy reform)</t>
  </si>
  <si>
    <t>N8 Risks to forestry from pests, pathogens and invasive species</t>
  </si>
  <si>
    <t>Medium (5)</t>
  </si>
  <si>
    <t>High (New land management and rural support schemes, nature recovery policy reform)</t>
  </si>
  <si>
    <t xml:space="preserve">N9 Opportunities for agricultural and forestry productivity from new/alternative species becoming suitable. </t>
  </si>
  <si>
    <t>Low (No key policies looking at opportunities in the next two years)</t>
  </si>
  <si>
    <t>N10 Risks to aquifers and agricultural land from sea level rise, saltwater intrusion</t>
  </si>
  <si>
    <t>Low</t>
  </si>
  <si>
    <t>Unknown</t>
  </si>
  <si>
    <t>Yes</t>
  </si>
  <si>
    <t>Low (no key policies in the next two years)</t>
  </si>
  <si>
    <t>Watching brief</t>
  </si>
  <si>
    <t xml:space="preserve">N11 Risks to freshwater species and habitats from changing climatic conditions and extreme events, including higher water temperatures,  flooding, water scarcity and phenological shifts. </t>
  </si>
  <si>
    <t>High (Replacement of the Water Framework Directive, nature recovery policies)</t>
  </si>
  <si>
    <t>N12 Risks to freshwater species and habitats from pests, pathogens and invasive species</t>
  </si>
  <si>
    <t xml:space="preserve">N13 Opportunities to freshwater species and habitats from new species colonisations </t>
  </si>
  <si>
    <t>Sustain current action</t>
  </si>
  <si>
    <t>N14 Risks to marine species, habitats and fisheries from changing climatic conditions, including ocean acidification and higher water temperatures.</t>
  </si>
  <si>
    <t xml:space="preserve">Medium </t>
  </si>
  <si>
    <t>Medium (implementation of MPA network and new fisheries policy)</t>
  </si>
  <si>
    <t>N15 Opportunities to marine species, habitats and fisheries from changing climatic conditions</t>
  </si>
  <si>
    <t>UK</t>
  </si>
  <si>
    <t>N16 Risks to marine species and habitats from pests, pathogens and invasive species</t>
  </si>
  <si>
    <t>N17 Risks and opportunities to coastal species and habitats due to coastal flooding, erosion and climate factors</t>
  </si>
  <si>
    <t>Medium (New or reviewed coasyal policies and implementation of renewed flood policies)</t>
  </si>
  <si>
    <t>N18 Risks and opportunities from climate change to landscape character</t>
  </si>
  <si>
    <t xml:space="preserve">I1 Risks to infrastructure networks (water, energy, transport, ICT) from cascading failures </t>
  </si>
  <si>
    <t>High (review of national risk assessments)</t>
  </si>
  <si>
    <t>I2 Risks to infrastructure services from river, surface water and groundwater flooding</t>
  </si>
  <si>
    <t>Medium (implementation of flood policies)</t>
  </si>
  <si>
    <t xml:space="preserve">I3 Risks to infrastructure services from coastal flooding and erosion </t>
  </si>
  <si>
    <t>High (New or reviewed coasyal policies and implementation of renewed flood policies)</t>
  </si>
  <si>
    <t>I4 Risks to bridges and pipelines from flooding and erosion</t>
  </si>
  <si>
    <t xml:space="preserve">I5 Risks to transport networks from slope and embankment failure </t>
  </si>
  <si>
    <t>High (Green)</t>
  </si>
  <si>
    <t>High (Network Rail review of vulnerability of the rail network following the Stonehaven crash)</t>
  </si>
  <si>
    <t xml:space="preserve">I6 Risks to hydroelectric generation from low or high river flows </t>
  </si>
  <si>
    <t>Medium (reviews underway of environmental permitting)</t>
  </si>
  <si>
    <t>I7 Risks to subterranean and surface infrastructure from subsidence</t>
  </si>
  <si>
    <t xml:space="preserve">I8 Risks to public water supplies from reduced water availability </t>
  </si>
  <si>
    <t>High (8)</t>
  </si>
  <si>
    <t>Medium (upcoming plans for water efficiency and reducing demand, next round in water resources planning in a few years' time)</t>
  </si>
  <si>
    <t>I9 Risks to energy generation from reduced water availability</t>
  </si>
  <si>
    <t>High (Net Zero)</t>
  </si>
  <si>
    <t xml:space="preserve">I10 Risks to energy from high and low temperatures, high winds, lightning </t>
  </si>
  <si>
    <t>High(8)</t>
  </si>
  <si>
    <t xml:space="preserve">I11 Risks to offshore infrastructure from storms and high waves </t>
  </si>
  <si>
    <t>I12Risks to transport from high and low temperatures, high winds, lightning</t>
  </si>
  <si>
    <t>I13 Risks to digital from high and low temperatures, high winds, lightning</t>
  </si>
  <si>
    <t>Low (2)</t>
  </si>
  <si>
    <t>H1 Risks to health and wellbeing from high temperatures</t>
  </si>
  <si>
    <t>High (Reviews of building regulations and planning, Net Zero)</t>
  </si>
  <si>
    <t>H2 Opportunities for health and wellbeing from higher temperatures</t>
  </si>
  <si>
    <t>H3 Risks to people, communities and buildings from flooding</t>
  </si>
  <si>
    <t>H4 Risks to people, communities and buildings from sea level rise</t>
  </si>
  <si>
    <t>Medium (New or reviewed coastal policies and implementation of renewed flood policies)</t>
  </si>
  <si>
    <t>H5 Risks to building fabric</t>
  </si>
  <si>
    <t>Medium (reviews of building regulations)</t>
  </si>
  <si>
    <t xml:space="preserve">H6 Risks and opportunities from summer and winter household energy demand 
(a) Opportunity - winter </t>
  </si>
  <si>
    <t>H6 Risks and opportunities from summer and winter household energy demand
(b) Risk - summer</t>
  </si>
  <si>
    <t>As above</t>
  </si>
  <si>
    <t>H7 Risks to health and wellbeing from changes in air quality</t>
  </si>
  <si>
    <t>H8 Risks to health from vector-borne diseases</t>
  </si>
  <si>
    <t>Medium (reviews of disease planning may emerge post-Covid, but uncertain)</t>
  </si>
  <si>
    <t>H9 Risks to food safety and food security</t>
  </si>
  <si>
    <t>Medium (new food security strategies)</t>
  </si>
  <si>
    <t>H10 Risks to health from water quality and household water supply
(a) water quality</t>
  </si>
  <si>
    <t>H10 Risks to health from water quality and household water supply
(b) water quantity</t>
  </si>
  <si>
    <t>H11 Risks to cultural heritage</t>
  </si>
  <si>
    <t>H12 Risks to health and social care delivery</t>
  </si>
  <si>
    <t>Medium (reviews of health and social care planning may emerge post-Covid, but uncertain)</t>
  </si>
  <si>
    <t>H13 Risks to education and prison services</t>
  </si>
  <si>
    <t>B1 Risks to business sites from flooding</t>
  </si>
  <si>
    <t>B2 Risks to business locations and infrastructure from coastal change from erosion, flooding and extreme weather events</t>
  </si>
  <si>
    <t>B3 Risks to businesses from water scarcity</t>
  </si>
  <si>
    <t>B4 Risks to finance, investment and insurance including access to capital for businesses</t>
  </si>
  <si>
    <t>High (TCFD reporting, focus on finance for COP26)</t>
  </si>
  <si>
    <t>B5 Risks to business from reduced employee productivity due to infrastructure disruption and higher temperatures in working environments</t>
  </si>
  <si>
    <t>B6 Risks to business from disruption to supply chains and distribution networks</t>
  </si>
  <si>
    <t>High (TCFD reporting, possible increased focus on supply chain resilience post-Covid)</t>
  </si>
  <si>
    <t>B7 Opportunities for business from changes in demand for goods and services</t>
  </si>
  <si>
    <t>ID1 Risks to UK food availability, safety, and quality from climate change overseas</t>
  </si>
  <si>
    <t>ID2 Opportunities for UK food availability and exports from climate impacts overseas</t>
  </si>
  <si>
    <t>ID3 Risks and opportunities to the UK from climate-related international human mobility</t>
  </si>
  <si>
    <t>ID4 Risks to the UK from international violent conflict resulting from climate change on the UK</t>
  </si>
  <si>
    <t>Low (No key policies looking or opportunities ac the next two years)</t>
  </si>
  <si>
    <t>ID5 Risks to international law and governance from climate change overseas that will impact the UK</t>
  </si>
  <si>
    <t>ID6 Opportunities from climate change (including arctic ice melt) on international trade routes</t>
  </si>
  <si>
    <t>ID7 Risks from climate change on international trade routes</t>
  </si>
  <si>
    <t>Medium (TCFD reporting)</t>
  </si>
  <si>
    <t>ID8 Risk to the UK finance sector from climate change overseas</t>
  </si>
  <si>
    <t>ID9 Risk to UK public health from climate change overseas</t>
  </si>
  <si>
    <t>ID10 Risk multiplication from the interactions and cascades of named risks across systems and geographies</t>
  </si>
  <si>
    <t>*Note that the highest relevant score from the adaptation priorities used in the progress reports is provided here, based on the Committee's judgement.</t>
  </si>
  <si>
    <t>About this document</t>
  </si>
  <si>
    <t>This document was produced by RSK ADAS Limited ('ADAS') on behalf of the Climate Change Committee.</t>
  </si>
  <si>
    <t>Please refer to the report which accompanies this spreadsheet for further information.</t>
  </si>
  <si>
    <t>Contents</t>
  </si>
  <si>
    <t>This document has eight tabs which contain the following information:</t>
  </si>
  <si>
    <t>Tab</t>
  </si>
  <si>
    <t>Description</t>
  </si>
  <si>
    <t>Contents Page</t>
  </si>
  <si>
    <t>Background information and contents of this document.</t>
  </si>
  <si>
    <t>CCRA3 Risks</t>
  </si>
  <si>
    <t>Summary table of the CCRA3 risks and content from the Technical Report for 'Benefits of further adaptation action in the next five years'.</t>
  </si>
  <si>
    <t>CCRA3 actions for NAP3</t>
  </si>
  <si>
    <t>Evaluation of the extent to which NAP3 addressed the adaptation actions recommended in CCRA3.</t>
  </si>
  <si>
    <t>PR23 Recommendations</t>
  </si>
  <si>
    <t>Outlines the CCC recommendations to Government in the 2023 Progress Report to Parliament and the Government's response to these.</t>
  </si>
  <si>
    <t>Graphs</t>
  </si>
  <si>
    <t>Summary visualisations to illustrate evaluation findings.</t>
  </si>
  <si>
    <t>No. actions per risk</t>
  </si>
  <si>
    <t>Provides a summary of the number of inferred adaptation actions that were provided in the CCRA3 Technical Report, per risk.</t>
  </si>
  <si>
    <t>Glossary</t>
  </si>
  <si>
    <t>Summary of acronyms used within the Government's Response to the CCC Recommendations.</t>
  </si>
  <si>
    <t>Key</t>
  </si>
  <si>
    <t>Key to typologies and evaluation scores used in the assessment.</t>
  </si>
  <si>
    <t>Data sources</t>
  </si>
  <si>
    <t>The source of data for each column in each tab is listed within the note for each column title.</t>
  </si>
  <si>
    <t>Summary of data sources used within this document:</t>
  </si>
  <si>
    <t>Document</t>
  </si>
  <si>
    <t>Available from:</t>
  </si>
  <si>
    <t>CCC (2021) Advice to Government - Full Risk Table - Scoring and Priorities</t>
  </si>
  <si>
    <t>https://www.theccc.org.uk/wp-content/uploads/2021/07/Independent-Assessment-of-UK-Climate-Risk-Advice-to-Government-Full-Risk-Table-Scoring-and-Priorities.xlsx</t>
  </si>
  <si>
    <t xml:space="preserve">CCC (2023) Progress Report to Parliament </t>
  </si>
  <si>
    <t>https://www.theccc.org.uk/publication/progress-in-adapting-to-climate-change-2023-report-to-parliament/</t>
  </si>
  <si>
    <t>Defra (2023) The Third National Adaptation Programme (NAP3) and the Fourth Strategy for Climate Adaptation Reporting</t>
  </si>
  <si>
    <t>https://assets.publishing.service.gov.uk/media/64ba74102059dc00125d27a7/The_Third_National_Adaptation_Programme.pdf</t>
  </si>
  <si>
    <t>Defra (2023) Annex 1: Climate risks and opportunities</t>
  </si>
  <si>
    <t>https://assets.publishing.service.gov.uk/media/64b52a430ea2cb001315e3b7/NAP3_Annex_1_Climate_risks_and_opportunities.pdf</t>
  </si>
  <si>
    <t>Defra (2023) Government response to the Climate Change Committee 2023 report to Parliament – progress in adapting to climate change</t>
  </si>
  <si>
    <t>https://www.gov.uk/government/publications/government-response-to-the-climate-change-committee-2023-adaptation-progress-report/government-response-to-the-climate-change-committee-2023-report-to-parliament-progress-in-adapting-to-climate-change</t>
  </si>
  <si>
    <t>UK Climate Risk (2021) Independent Assessment (CCRA3) Technical Report</t>
  </si>
  <si>
    <t>https://www.ukclimaterisk.org/publications/technical-report-ccra3-ia/</t>
  </si>
  <si>
    <t>ID#</t>
  </si>
  <si>
    <r>
      <t>Risk or Opportunity Descriptor (</t>
    </r>
    <r>
      <rPr>
        <b/>
        <sz val="10"/>
        <color theme="0"/>
        <rFont val="Calibri"/>
        <family val="2"/>
      </rPr>
      <t>BOLD</t>
    </r>
    <r>
      <rPr>
        <sz val="10"/>
        <color theme="0"/>
        <rFont val="Calibri"/>
        <family val="2"/>
      </rPr>
      <t xml:space="preserve"> = Committee priority risks)</t>
    </r>
  </si>
  <si>
    <t>Committee Priority risk</t>
  </si>
  <si>
    <t>Benefits of further adaptation action in the next five years (CCRA3 section X.X.3)</t>
  </si>
  <si>
    <t xml:space="preserve"> Indicative costs and benefits of additional adaptation (CCRA3 section X.X.3.1)</t>
  </si>
  <si>
    <t>England Magnitude Score Present Day</t>
  </si>
  <si>
    <t>England Magnitude Score 2050, 2°</t>
  </si>
  <si>
    <t>England Magnitude Score 2050, 4°</t>
  </si>
  <si>
    <t>England Magnitude Score 2080, 2°</t>
  </si>
  <si>
    <t>England Magnitude Score 2080, 4°</t>
  </si>
  <si>
    <t>England Adaptation Score</t>
  </si>
  <si>
    <t>England Urgency Score</t>
  </si>
  <si>
    <t>Nature</t>
  </si>
  <si>
    <t>Working land and seas</t>
  </si>
  <si>
    <t>Food security</t>
  </si>
  <si>
    <t>Water supply</t>
  </si>
  <si>
    <t>Energy</t>
  </si>
  <si>
    <t>Telecommunications &amp; ICT</t>
  </si>
  <si>
    <t>Transport</t>
  </si>
  <si>
    <t>Towns and Cities</t>
  </si>
  <si>
    <t>Buildings</t>
  </si>
  <si>
    <t>Health</t>
  </si>
  <si>
    <t>Community preparedness and response</t>
  </si>
  <si>
    <t>Business</t>
  </si>
  <si>
    <t>Finance</t>
  </si>
  <si>
    <t>Interdependencies</t>
  </si>
  <si>
    <t>Not captured</t>
  </si>
  <si>
    <t>B01</t>
  </si>
  <si>
    <t xml:space="preserve">Given our assessment above, our view is that there will be significant benefits from further action in the next five years from low-regret actions to improve the evidence base and provide further awareness raising, advice and support to businesses to improve their resilience to flooding. Quantifying risks and impacts is difficult, particularly for individual business sectors, where data is often commercially sensitive. However, Sayers et al. (2020) report that if further adaptation measures are taken, in addition to what is currently planned then the UK-wide expected annual damages for non-residential properties could decrease by up to 21% increase by 2080. Results are calculated under the Enhanced Whole System model. 
Businesses could also make use of the flood forecasting and warning services provided by the Environment Agency, Natural Resources Wales and SEPA, in conjunction with the Met Office, to plan for and respond to flooding in their areas. In terms of government support, stakeholder engagement indicates that investing in 3D interactive models for commercial properties would be beneficial for data collection. Whilst this will require significant government investment, insurance companies alone are unlikely to bear the upfront costs. It is likely that improving the uptake of property flood protection by businesses will have significant benefits in the next five years, though further data are required to understand this and the current level of uptake specifically in the context of SMEs. </t>
  </si>
  <si>
    <t xml:space="preserve">The overall benefits of further investment in flood management for commercial property through the reduction in expected annual damages are estimated by Sayers et al. (2020). This study does not estimate the costs of these measures, and thus does not undertake a cost-benefit analysis, but the literature in general reports high benefit to cost ratios from such investment (Rojas et al., 2013: Ward et al., 2017).
There are some low regret activities where Government can act to enhance adaptation in the private sector. The uptake of adaptation measures by businesses is relatively low, with small businesses particularly at risk: only a quarter of businesses with fewer than 10 employees have continuity plans for extreme weather (in GOS and Foresight, 2017). This despite the fact that such plans are a cost-effective adaptation measure: around four-fifths of businesses with continuity plans in place report that the benefits of having a plan exceed the costs of producing one. There is, therefore, a role for raising awareness on climate risks (flood alerts) and providing relevant information and response planning.  There is now a reasonable evidence base on the costs and benefits of property resilience and resistance measures for households (Environment Agency, 2015; Wood Plc 2019). These found that a number of flood resilience and resistance measures could be considered no-regret adaptation measures (i.e., a benefit to cost ratio of greater than one in cases where there is a greater than 1% chance of Annual Exceedance Probability, AEP). In general, this literature reports that all measures are more expensive if retrofitted rather than installed in new builds. For resistance measures, the difference between costs of retrofitting vs. incorporating into new builds are more modest. However, the applicability of each of these measures depends on the type of flooding (recurrence and depth), as this alters the relative cost-effectiveness (and benefit to cost ratio). While there is less data on the costs and benefits of similar measures for commercial properties, it is likely that similar findings of low-regret adaptation opportunities apply.  There is also some wider literature on the benefits of blue and green infrastructure in alleviating direct and indirect damages from flooding to industry and infrastructure, using the city of Newcastle as a case study (Blue-Green Cities Project, 2016). This assessed the benefits of sustainable urban drainage on water flow, sediment dynamics and flood risk in fluvial systems.  Given the residual damage costs even with current flood management policy (Sayers et al., 2020) this is clearly an area where there are benefits of future action, and in many cases these benefits are projected to outweigh the costs. </t>
  </si>
  <si>
    <t>Y</t>
  </si>
  <si>
    <t>B02</t>
  </si>
  <si>
    <t>6.3.3.1 Additional planned adaptation that would address the adaptation shortfall? (B2)
Adaptation actions in the next five years have the potential to enable business opportunities to be created from climate change impacts on the coast, and possibly to avoid further losses.
Opportunities exist for coastal businesses from the re-designation of management policy in coastal areas (e.g., from defended to undefended). Depending on the designation, the opportunity exists for businesses to bid for coastal partnership funding to redevelop the coastal area. There is also the potential for business opportunities to emerge from habitat creation, or new approaches to construction to enable communities to ‘live with rising seas’. Coastal properties could also be purchased and repurposed to generate income, e.g., wind farms, temporary holiday lets (Coastal Partnership East, 2019) Overall there is a lack of research and evidence in this area.  There is also a business opportunity for new designs/building structures, such as portable beach homes which can be lifted out of harm’s way, providing low impact low risk solutions for future sea-side tourism. 
Sayers et al. (2020) report that if further adaptation measures are taken, in addition to what is currently planned (see Figure 6.8), then the UK-wide expected annual damages for non-residential properties will increase by 5% in 2050 and increase by 27% by 2080 compared to present day levels of expected damage in the 2°C warming scenario and increase by 27% by 2050 and 58% by 2080 in the 4°C warming scenario. It should be noted however that the Sayers report did not cover coastal erosion and was concluded before the publication of the National Flood and Coastal Erosion Risk Management Strategy (Environment Agency, 2020b) and the Flood and Coastal Erosion Risk Management Strategy Policy Statement (HM Government, 2020). Results are calculated under the Enhanced Whole System model, with results by country for both the 2°C and 4°C warming scenarios presented in Figure 6.9. As can be seen, additional adaptation would significantly decrease expected annual damages to non-residential properties in Scotland and Wales. It is important to note that adaptation solutions do not apply across the board and are context specific. For example, increased coastal protection may work in one community in response to sea level rise, but relocation may be more feasible for a different community. 
Figure 6.9 Further adaptation: Percentage change in expected annual damages to non-residential properties for scenarios of global warming reaching 2°C and 4°C in the late 21st Century - coastal flooding, direct, £millions (%). Source: Sayers et al. (2020)
Some other potential benefits of further adaptation in the next five years include increased transparency about protection levels and limits to avoid false sense of security; public engagement in developing future visions for coastal communities; or investments in community resilience. 
According to the CCC coastal change report (CCC, 2018), one of the main factors that could aid implementation of more proactive, and cost-effective relocation of coastal properties and assets at risk (i.e., ‘move the risk’), is a change in government policy, associated funding prioritisation and outcome measures. It should be noted that this report was published before the publication of the National Flood and Coastal Erosion Risk Management Strategy (Environment Agency, 2020b) and the Flood and Coastal Erosion Risk Management Strategy Policy Statement (HM Government, 2020). These changes could facilitate the ability to plan and implement the management approaches identified for each of the coastal areas around the UK, particularly those at high risk. More active business engagement with existing resources available for coastal development in ‘at risk’ areas would likely increase adaptation, for example through FCERM partnership funding and Grant-in-Aid support. New guidance was released on the Grant-in-Aid scheme in 2020 to help businesses identify what resources are available for adaptation and what additional funds would need to be secured. 
Transparency around planned coastal designation changes (from defended to undefended) could support more active adaptation. Providing clearer communication and more transparency should help businesses to avoid a false sense of security and to allow them to plan for future climate risks. Given that the Shoreline Management Plans are non-statutory policy documents, they can only inform wider strategic planning. The Plans also do not consider the full scale of future climate change risks (e.g., high++ scenarios) and do not set out the more radical adaptation responses that could manage those risks.
The CO-designing the Assessment of Climate Change costs (COACCH) research report (COACCH, 2019a) notes that the costs of adaptation vary significantly with the level of future climate change, the level of acceptable risk protection and the framework of analysis (protection versus economic efficiency). Recognising and working with uncertainty as part of integrated and sustainable policies requires an iterative and flexible approach that positions coastal change adaptation within a broader integrated coastal-zone management policy framework. For example, new coastal development visions should be fully aligned with climate futures. The COACCH Report, which also includes an analysis of adaptation in the UK, reinforces the message that the most appropriate response to sea-level rise for coastal areas is a combination of adaptation to deal with the inevitable rise and mitigation to limit the long-term rise to a manageable level (COACCH, 2019a) 
Climate change forms part of a range of risks and uncertainties most industries routinely face. For example, seafood sector adaptations could include much closer science-industry collaboration and engaged research in the short term; and a move towards a more robust and strategic fisheries knowledge base in the medium term (Garrett et al., 2015). More work is needed to identify business opportunities in high-risk coastal areas, including better understanding of funding resources, clearer communication and a realistic appraisal of the risks and opportunities for businesses at the coast. 
More research is required to understand the costs and benefits of different adaptation responses to loss of coastal locations for businesses and infrastructure. Further analysis is required on how risk will change in the future and how this should inform decisions on a national outcome and strategy for flood risk alleviation. The National Infrastructure Commission (NIC) proposed the adoption or exploration of national minimum standards of resilience (NIC, 2018) though as yet this has not been adopted by government.
Defra (2018) indicate that local businesses (potentially with assets at risk) are often an important source of partnership funding for larger schemes. This must be capitalised during stakeholder engagement. Moreover, critical business infrastructure like transport or ports, as well as industry critical business infrastructure such as industrial plants (i.e. chemical and petrochemical plants, oil refineries, gas processing plants) and factories (i.e., food processing facilities, pharmaceutical manufacturing), which are typically located  on the coast or on tidal rivers / estuaries out of necessity for process feedstock import and finished product export can be given a level of protected status when it comes to government flood risk management, as suggested by ABP (2016). The Institute of Mechanical Engineers suggests that this infrastructure is vital to national economic prosperity and growth as well as local economies and communities (IMechE 2019).
Our view is that for some sectors and some parts of the UK, guidance on appropriate adaptation in the short term has been identified (e.g., fisheries in England and Scotland), however in other parts of the UK, more investigation is needed to identify pathways of action, for example in Northern Ireland. Since CCRA2, the policy environment has changed, creating new opportunities for businesses and creating more adaptation guidance and support in all four of the UK countries. In the longer term, actions relating to the institutional arrangements for adaptation could be considered. For example, governance of fisheries (of both regulated and non-regulated species) could be adapted in the short, medium and long term as there will likely be a need for flexible institutional arrangements to respond to climate change.
The finance sector can encourage adaptation by policyholders through incentivisation; Governments and insurers can play a key role by providing further financial incentives for adaptation; for instance, they can set policy premiums at a level that more closely reflects the risk to which individual properties are exposed. However, some elements of coastal change such as erosion are excluded from insurance. If adaptation measures are not implemented, the insurance that currently exists will become more expensive and less available.  At present, flood insurance for businesses is being driven by private insurance companies, with low government scope or obligation to pay compensation (Sayers et al., 2020). This issue merits further investigations given lack of consideration in current flooding evidence reports (Sayers et al., 2020).</t>
  </si>
  <si>
    <t>The overall benefits of further investment in coastal flood management for commercial property – and the reduction in expected annual damages – are shown in Figure 6.8 and 6.9 The Sayers et al. (2020) study does not estimate the costs of these measures, and thus does not undertake a cost-benefit analysis. In general terms, the literature reports that coastal adaptation is an extremely cost-effective response, significantly reducing residual damage costs to very low levels (Hinkel et al., 2014), however, in rural areas, such measures often have benefit-cost ratios lower than one.  A new approach to investigating the wider dividends of adaptation and resilience interventions is demonstrated by Roezer et al., 2021 for the case of Felixstowe on the East Coast of England, where increased coastal protection from the new flood defences stimulated new investments in the property sector including the creation of new jobs and a boost to local businesses through increase in visitors, of which the local authority attributed around 50% to the new flood protection scheme.  The assessment and retrospective evaluation of additional resilience dividends by the Coastal Partnership East (CPE), a group of local authorities, as part of the monitoring and valuation stage was done to support the business case for similar projects and future interventions. (Roezer et al., 2021).</t>
  </si>
  <si>
    <t>B03</t>
  </si>
  <si>
    <t>6.4.3.1 Additional planned adaptation that would address the adaptation shortfall? (B3)
Watkiss et al. (2019) found that there are high benefits (although also high potential costs) of further action to reduce the risk of water scarcity.  The costs and benefits do not just fall under the category of businesses but are part of a larger picture of action to reduce demand and increase supply across business, infrastructure, and households, with an aim of protecting and enhancing the natural environment.
Currently, there is a lack of incentives for water companies to help reduce commercial water use, and reduction efforts have been left to the retail market, unlike in the domestic sector. Further understanding of sectoral usage is required for this (Ofwat and Environment Agency, 2020). Water UK (2016) has estimated that a ‘twin track’ approach of demand management coupled with appropriate development of new resources and potential transfers is the most suitable strategy for providing drought resilience in the future. They estimated that total costs per annum for all potential future scenarios to maintain resilience at existing levels in England and Wales are between £50 million and £500 million per annum in demand management and new water resource options. If resilience to ‘severe drought’ is adopted, this increases to between £60 million and £600 million and for resilience to extreme drought (beyond the 1 in 100-year event) to between £80 million and £800 million per annum. In England a number of the policy measures that Defra consulted on in 2019 to reduce personal water use, for example, could also help increase business water efficiency and reduce water and energy use. Prime among these is water efficiency labelling of water using products linked to minimum standards for new build and retrofits which would realise significant benefits both for domestic and business water users (Defra, 2019).
One idea MOSL (2020) are looking at is to map out their data on business water users and overlay that data set with maps of current or future water stress areas the Environment Agency hold.  This would help identify where efforts to reduce business use could be prioritised and what types of businesses/sectors could be targeted.  Ideally this can be used to inform next round of water resource plans so a further adaptation action for the next 5 years. High consumption businesses can be incentivized monetarily, for instance through cheaper rates for businesses if they don’t consume in the summer when peak demand is hard to manage. 
Some of the key business benefits of handling water stewardship effectively include (WWF and M&amp;S, 2017) reduced water related business risk, increased drought preparedness, reduced carbon emissions from supply and heating of water, continuity of supply from sourcing locations for retail businesses, cost savings associated with water efficiency, strong engagement with the local community, and reputational benefits. 
WWF suggests there will be significant benefits to the UK from taking the following further actions (WWF, 2015): the UK government should share the evidence base, for example the Environment Agency’s water and agriculture monitoring, widely with business and explore opportunities to help businesses identify key hotspots (e.g., showing impacts related to product type). To ensure there is a strong framework for the sustainable management of water WWF suggests more efforts to bring non-compliant farmers in England into compliance and ensuring basic legislation is sufficient to support further achievement of good heath, as defined by the Water Framework Directive. Other suggestions focus on reforming abstraction licensing to ensure environmental needs are met as a function of every licence and that abstraction charges encourage efficient use; and continuing investment in the Catchment Based Approach including by exploring ways to encourage private sector support and funding (WWF 2015). 
Stakeholder discussions as part of the UKCCRA3 stakeholder engagement indicate that a consistent methodology for measuring &amp; reporting water use for products (water foot printing) is to be encouraged. There would be benefits to looking at whole life cycle approach to measuring water usage and make sure embedded water is fully taken into account in such reporting. The long-term trends and pinch point analysis would provide useful tools for industry and Government to show where to focus efforts for either improved water efficiency of business or increased resilience of supply. The retail market could help to create incentives for businesses to become more water efficient but has so far only had a limited impact. The opening of the retail market for water offers multiple benefits for businesses but the potential effect on water efficiency is uncertain.  
The CEO Water Mandate’s Corporate Water Disclosure Guidelines offer a common approach to disclosure. They put forward metrics that can begin to harmonize practice and also provide guidance for defining what to report. These Guidelines have the potential to drive convergence and harmonization with respect to how companies report their water management practices while helping to minimize reporting burdens, thus allowing companies to allocate more time and resources to actively manage water. The list of endorsing companies as well as reports on their progress can be found online and are updated regularly (CEO Water Mandate, 2014).</t>
  </si>
  <si>
    <t>As highlighted above, there are studies which have considered the overall costs and benefits of national level action to reduce the risk of water scarcity.  There are also a complementary set of demand side measures that can be introduced by businesses, many of which are no-regret and low-regret.  As a general rule of thumb, reductions of 30% in water bills are usually achievable at little or no cost for sites that have not previously tried to save water, and as much as 50%, or more, if projects with capital investment payback periods of up to two years are included (WRAP, 2005). 
There are detailed cost-effectiveness assessments of measures for industrial sites, with indications of costs and payback periods.  However, as highlighted above, there remain important barriers to address to encourage the uptake of such measures, which includes a role for government to raise awareness and create appropriate incentives. There is a strong case for Governments to consider adopting consistent national minimum levels of resilience, recognizing that there are significant issues to address, including inter-regional and inter-generational fairness. The investment needed to increase resilience appears relatively modest compared with the cost of drought. A twin-track approach that includes supply enhancement, with associated transfers, as well as demand management, is the most appropriate strategic mix for the future. There is a case for a national level adaptive plan that supports ongoing water company plans and balances risks against opportunities to defer costs. See also Chapter 4 (Jaroszweski, Wood and Chapman, 2021) and Chapter 5 (Kovats and Brisley, 2021).</t>
  </si>
  <si>
    <t>B04</t>
  </si>
  <si>
    <t>6.5.3.1 Additional planned adaptation that would address the adaptation shortfall? (B4)
There have been significant shifts in assessing, disclosing and analysing climate risks and more is expected in light of expected shifts from voluntary to mandatory action driven by regulators. However, translating this increased risk knowledge into action and drawing conclusions is equally important, and the extent to which companies will successfully do this remains unclear. While it is clear that the extent of physical risks is currently low and expected to become significant in the longer-term there are clear dangers in considering physical risks ‘as under control’: lock-ins for example in terms of real-estate investment but also lack of insurance uptake, particularly on business continuity. 
Since CCRA2, changes have mainly been made in climate risk regulation and reporting as opposed to changing capital flows. Moreover, given the tightening climate policy landscape, there are significant lock-in effects if there is no substantial redirection of financial flows. Whilst banking and insurance sectors have effectively responded to current extreme weather events, the increase in magnitude and frequency of impacts in the future means the likelihood of “unhedgeable risk” is higher – straining the insurance sector. Given that financial risks are still not integrated within firm operating models or in financial markets as a whole, there are still significant systemic risks (Mandel et al, 2020). Whilst companies have started adopting TCFD recommendations, identifying climate risks is only the first step. TCFD’s most recent status update report acknowledges that there needs to be a better understanding of how disclosing climate-related financial information is changing corporate strategies on adaptation, and how investors are using the disclosed information to inform their decisions (Power et.al. 2020; TCFD, 2020).  CISL (2019) recommends early action in addressing risks to accessing finance and investment is predicted to lead to higher economic growth rates and returns over the long run when compared to scenarios of inaction. Moreover, further investment is required to scale-up pre-existing resilience solutions and technologies (NDF, 2020). 
The following are a number of key areas that could be addressed in the next five years:
●	Requirements imposed on banks and insurers: Based on Pillar 2 of the supervision of institutions’ risk management, regulators could prescribe additional capital on a case-by-case basis, for instance if a financial institution does not adequately monitor and manage climate-related risks. This would first require new expectations to be set in this regard (BIS, 2020). Further action is required by banks in order to meet Bank of England stress testing requirements. Currently there is very little data and organisational capacity to collect information in the aftermath of disasters (e.g. collection strategies after a flood) (Deloitte, 2020). Banks require data (e.g. location of collateral, exposure to carbon intensive industries etc.) in order to better respond to physical and transition risk. For instance, green vs brown exposure and funding of carbon intensive industries is not being considered (Deloitte, 2020). In scenario analysis, the banking sector needs to adopt and consider much longer timelines than it is used to at present (Deloitte, 2020).
●	Broadening scope of existing regulations: The current review of climate stress testing by the Bank of England’s PRA (Bank of England, 2019) provides an opportunity to broaden the scope, identify limitations and important constraints, and support companies in their internal interpretation of scenario analysis results. Whilst the stress-testing is intermittently paused due to COVID-19 (IMF, 2020), this could be a step towards encouraging more scenario-based analysis among financial institutions on a regular basis. In the future, regulators could make it mandatory for financial institutions to stress-test their portfolios against a common set of scenarios. (UNEP-FI / Vivid 2019). Mandatory disclosure is also called for by the IMF (2020). Stakeholder engagement suggested there is insurers support for this, with mandatory disclosure of methodologies and impact recommended.  
●	Insurability: Given rising uncertainty, Mckinsey (2020) recommend risk-sharing agreements between private and public financial institutions, similar to that seen in flood insurance, in order to meet financing gaps. Given that Flood Re is only available to non-businesses, there should be increased incentives for resilience to businesses. This also directly relates to uptake of insurance. Whilst there is an increase in the uptake of climate related insurance products, products need to be more streamlined, made cost-effective and user-friendly to promote further business uptake (Marsh &amp; McLennan Companies 2018). Insurance can be used to incentivise risk-reducing behaviour, for example by rewarding adaptation measures like hardening of physical assets (Mckinsey, 2020). As highlighted in section 7.10 of Chapter 7 (Challinor and Benton, 2021), this uptake in insurance from the UK’s expertise within re-insurance companies and catastrophe risk modelling organisations is an opportunity for the UK insurance market to grow.
●	Disclosing and reporting: Further standardisation and clarification on scenario analysis models are required so comparisons can be made. Moreover, inclusion of additional asset classes will make these models more useful for investors (Mercer, 2019). Standardisation can occur through investor collaboration facilitated by government-led initiatives (UNEP-FI, 2019). Scenario analyses currently do not cover the entire value-chain of businesses and further integration is required between transition and physical risks as well as the link between micro and macroeconomic impacts (UNEP-FI, 2019). Further developments of dashboards and monitoring mechanisms are required to capture “investors and markets channelling finance to climate solutions” and change in financial flows are a response to climate risk (CPI, 2019). Additionally, more bottom-up information, such as KPIs from businesses, need to be incorporated in scenario analyses which have predominantly been top-down. A push for disclosure of granular, asset level data is required from businesses for scenario analysis to be successful (UNEP-FI, 2019).
●	Financial and physical risk metrics: It is important to recognise the interplay of financial metrics and physical risk metrics: for example, the credit risk of a bank from increasing physical risk can be low if it does not lend to companies in high-risk areas. Finity (2019) show it is important to distinguish between risk to individual financial companies versus wider financial implications. Unless physical risk is being reduced through more adaptation investment and action, those damages will occur and have financial implications. 
●	Incorporating risk reduction and data into insurance requirements: One proposed solution relating to the short-term valuation cycle issue is that policymakers and insurers could incorporate risk reduction and adaptation measures into insurance requirements (CISL, 2019). Other options include making sure risk data is populated across a wide range of sectors and groups, including a focus both on the current symptoms and problems and the underlying causes incorporated into day-to-day decision-making. Surminski (2017) showed that it is essential to first address the use of data and transparency around risk levels. This foundational trust and understanding is needed to reduce the risk of the private sector withdrawing altogether from the flood insurance space or consumers not being able or willing to pay high premiums (Surminski, 2017). 
●	Financing adaptation: Where funding pools exist, like bond markets, better education is required to match counterparties (Marsh &amp; McLennan Companies 2018). Further research is required in the area of new products, such as resilience bonds, which would use premium discounts for long-term planning, such as investment in sustainable infrastructure, in the catastrophe bond market. Synergies between climate financing and risk management strategies in the banking and insurance sector must be further explored (Marsh &amp; McLennan Companies 2018).
●	More collaboration between different parts of the financial system: Capital providers to investors and lenders will likely want to understand how such location decisions, intermediated by insurance availability (discussed above) and adaptation action (discussed below), are taking account of the physical risks of climate change. To the extent that investors and lenders do alter location decisions, it is projected to be much less disruptive to the real economy if this happens over a long period of time rather than as an abrupt response to one or a series of particular events (CISL, 2019). However, investors and lenders, combined with policymakers, may find it easier to take a longer-term perspective. They could work in concert with insurers to encourage the uptake of adaptation measures, for instance, by making both loans and insurance contingent on the installation of relevant adaptation measures (CISL, 2019). This is in line with UNEP-FI (2018) who encourage improved collaboration between banks, borrowers, governments and the insurance industry, and would increase the quality of forward-looking disclosures.</t>
  </si>
  <si>
    <t xml:space="preserve">It is difficult to estimate the potential costs and benefits of adaptation. However, what is clear is that the potential risks to the financial markets from climate change are extremely large, and because of the role of UK financial services, very large for the UK. EIU (2015) estimated the value at risk, as a result of climate change, to the total global stock of manageable assets (currently $143 trillion) as $4.2 trillion (mean expected losses, discounted in present value terms) between now and the end of the century, and still half this even under a pathway to 2°C global warming by 2100.  
</t>
  </si>
  <si>
    <t>B05</t>
  </si>
  <si>
    <t>6.6.3.1 Additional planned adaptation that would address the adaptation shortfall? (B5)
The CCRA2 Evidence Report (Surminski et al., 2016) outlined a need to further research and understanding of the key interdependencies between business and infrastructure, the types of employment at greatest risk and the effectiveness of planned or autonomous adaptation. Collecting business continuity information on productivity and extreme weather is critical to understanding this risk better. 
Adaptation reporting could help to increase uptake and encourage businesses to prioritise this risk, but a requirement would be needed to include productivity risks in reports, which is challenging given the current voluntary approach to reporting adopted by the UK Government.
Very few studies have looked at either the risk or adaptation underway in the UK, suggesting further investigation is required across the UK to better quantify both the scale of the problem, and the benefits of implementing measures to address it both in current and future climates. In particular, evidence for future risk from reduced employee productivity is limited. 
6.6.3.2 Indicative costs and benefits of further adaptation action (B5)
There is some information on various adaptation options to reduce heat in commercial buildings and also linkages to the information available for domestic buildings (see the discussion of low and no-regret options for risk H1, Chapter 5: Kovats and Brisley, 2021). Day et al. (2019) assessed 17 adaptation measures (drawn from a longer list of over 30), including both solutions for indoor and outdoor work, to address higher base temperatures as well short-term temperature peaks. The authors estimated the ‘potential scale of impact’ as well as the ‘feasibility’ of the measures. This also includes analysis of which actions can be taken forward by the private sector, by government and by individuals. The study also considers the economic costs of each adaptation measure including direct financial costs of implementing the measure, and a range of ‘indirect’ costs. Costa et al. (2016) also estimated averted losses from alternative adaptation measures for three case study cities (Antwerp, Bilbao, and London) for a warm year at the end of the century (2081-2100). These studies identify a range of low and no-regret adaptation actions. 
Some opportunities for labour productivity adaptation are identified such as transition to new ways of working (remote working, flexible working) and low carbon and energy efficiency buildings to maintain employee productivity (ILO, 2019, Day et al., 2019). These behavioural changes have been tested and employed by various businesses with the onset of the COVID-19 pandemic, but longer-term behavioural change is yet to be seen. Moreover, there are occupational and sectoral divergences in the uptake of new ways of working, with some professions lending themselves better to flexible working than others.
Increasing collaboration and strengthening governance in this space may also deliver benefits in the next five years. Better collaboration between business, building owners, government and infrastructure operators could help facilitate adaptation.  These efforts could replicate the engagement and collaborations seen in the flooding space and be linked to net-zero initiatives, recognizing that heat poses challenges for reaching net-zero. 
With regards to nature-based solutions as a potential adaptation response to extreme heat, there is emerging literature estimating the climate benefits of urban natural capital at the UK scale (Eftec et al., 2018). This valuation methodology provides estimates of temperature reduction in city areas and benefits, which feed into the Natural Capital Accounts by ONS (ONS 2018). Although experimental in nature, these estimates give a sense of the scale of benefits (particularly in terms of avoided loss of productivity) and how these might rise over time with an increasing frequency of ‘hot’ days. For instance, in 2017, the annual benefits of cooling from green and blue space in urban areas was estimated at £244m, with London dominating the benefits (reflecting the climate of London, the scale of its economy and the unusually large area of green space for such a big city). The ONS 2018 assessment uses analysis from Eftec (Defra, 2018a) and is based on Costa et al.’s (2016). However, increasing the area of large natural spaces in urban areas, in response to rising climate risks, appears challenging, not least because of the opportunity cost of land. Initiatives led by the private sector such as ‘Living roofs and walls – from policy to practice’ aim to address these issues.</t>
  </si>
  <si>
    <t>B06</t>
  </si>
  <si>
    <t xml:space="preserve">6.7.3.1 Additional planned adaptation that would address the adaptation shortfall? (B6)
The majority of further actions involve capacity building, institutional changes, or the development of new strategies, technologies or ways of working, which will take time to develop, test and implement. Therefore, there is a benefit to putting these in place within the next five years even where the climate-related risks are not immediate. Indeed, the BCI recommends an offensive rather than a defensive approach (Marsh &amp; McLennan Companies 2018), while McKinsey (2020) finds significant potential for many industries to adapt in the next decade. For example, in the case of rare earth metals they estimated that 50-80% of risk could be eliminated if adaptation measures were implemented (McKinsey 2020). Furthermore, many of the actions can be seen as ‘no-regrets’ options business continuity planning that builds resilience in supply chains or improves the quality of business relationships offers immediate benefits.
Strategies that businesses could take to further build resilience include:
●	Product diversification or geographical diversifying (WWF, 2018).
●	Scenario analysis to ensure plans are robust under different plausible outcomes by explicitly defining and separating external scenarios from internal plans (Marsh &amp; McLennan Companies, 2018). 
●	Ensuring risks are incorporated into risk registers and management programmes so that optimal resources and opportunities to improve corporate performance and earnings can be identified (BCI, 2018a).
●	Intensification in the use of storage facilities (COACCH, 2019).
●	More ‘bridging’ actions, that is, inclusion of supply chain partners in risk assessments, planning and communications (Crisis Control, 2017). Given the post-EU exit uncertainty due to changing supply chains Tim et al. (2019) recommend more investment in the agricultural systems of source countries in order to minimise climate risk. And the World Business Council for Sustainable Development (Land workers' Alliance, 2019) recommends adopting a circular model for resilience, with shocks and stressors in the food, agriculture and forestry sector, being met with adaptation response and transformation of existing business models and supply chains. 
●	Making more use of technology to improve traceability mechanisms (YGCP, 2020) and to predict, monitor, record, measure or report supply chain risks and communicate with suppliers. For example, using automated communication and notification systems, BCM platforms, incident management platforms or social media monitoring (favoured by SMEs) (BCI, 2018b; BCI, 2019a).
●	Expanding firm level insurance coverage of physical risks to supply chains, including by use of new products such as non-damage supply chain insurance plans and parametric insurance (for example, with pay-outs based on a drought duration index or rainfall data rather than losses) or captive insurance solutions. The latter can improve climate resilience by strategically funding risk exposures, preparing for a worst-case scenario in the face of increasing frequencies and by accessing reinsurance markets and alternative capital markets to fund less predictable risks (Marsh &amp; McLennan Companies, 2018; BCI, 2019a). 
There are roles for both the public and private sector in driving resilience through supporting or/ incentivising their own supply chains to implement adaptation measures by:
●	Requiring physical risk disclosures and setting contractual arrangements that take adaptation into account (UNEP-FI and Acclimatise, 2018). 
●	Using resilience criteria with choosing suppliers as part of procurement processes (Crisis Control, 2017). For public sector procurement, the Public Services (Social Value) Act provides a potential tool by requiring commissioners of public services to think about how they can also secure wider social, economic and environmental benefits. (Source: CCRA3 Stakeholder Event, February 2020)
●	Helping suppliers reduce their own risks (Crisis Control, 2017). For example, the water stewardship approach provides companies with a means of committing resource and using influence to support good water practices in areas of weak governance.
●	Promoting business continuity, with a particular focus on strategies that achieve multiple goals including resilience and sustainability for which there may be market failures. For example, distributed manufacturing, seasonal produce and local sourcing have a role to play in achieving both sustainability and resilience goals (Colwill et al., 2016).
There is also a role for government in capacity building and setting the right institutional environment (COACCH, 2019), such as by:
●	Promoting the establishment of binding supply chain due diligence legislation on a national level while ensuring international alignment (YGCP, 2020).
●	Promoting the coherent use and development of modern traceability technology, namely blockchain (YGCP, 2020).
●	Supporting improved climate and location-based information and integration with other types of information (UNEP-FI and Acclimatise, 2018).
Taking into account all three steps of the urgency assessment we conclude that more action is needed, but with a low certainty in the evidence, which is skewed towards larger companies, the food sector and self-reporting. The reliance on overseas markets means UK supply chains are exposed to climate impacts abroad with exposure increasing due to climate change. While some action has been taken by businesses and others on supply chain resilience and there are opportunities from advances in technologies, there are many barriers to adaptation. It is unclear how effective current and planned actions will be in managing climate or weather-related disruption specifically. The COVID-19 crisis may lead to companies and entire industries rethinking their global supply chain model. This presents an opportunity for step change in government action to facilitate this and achieve multiple benefits.
This is applicable across all DAs, but more work is needed to understand regional differences. The evidence base is strongest for England, followed by Scotland, with less for NI and Wales. </t>
  </si>
  <si>
    <t xml:space="preserve">There are some aspects of climate change risks and responses that have been quantified for food supply chain resilience. Even here, however, there is little information on the associated costs and benefits (in aggregate), as identified by recent review of food supply chains and adaptation (Watkiss et al., 2019), though it did identify potential adaptation measures and their potential (qualitative) benefits and costs, indicating net beneficial further actions exist. </t>
  </si>
  <si>
    <t>B07</t>
  </si>
  <si>
    <t>6.8.3.1 Additional planned adaptation that would address the adaptation shortfall? (B7)
Identifying opportunities in increased demand for goods and services, such as climate advisory or adaptation products are important to make a business case for climate adaptation in the next five years. This requires greater evidence, such as case-studies, and further investigation into emerging sectors. Currently, there is low confidence in information available, and some opportunities, such as in the retail sector, require further investigation. Business capacity needs to be assessed post-COVID-19, to determine whether these opportunities will be realised, and what barriers exist. 
Across the country there appear significant opportunities linked to retro-fitting of the building stock. Most initiatives such as the smart energy programme, are currently aimed at achieving low-carbon targets. Using these investments to also increase climate resilience of buildings would bring employment and profitability to construction and advisory services. 
Opportunities in some sectors, like increased use of air conditioning due to hot weather, must be reassessed, especially in view of lock-ins, maladaptation, threshold effects and associated transition risks, such as changes in energy policy.  
In view of COVID-19, a greater emphasis must be placed on transformational adaptation, and the opportunities this brings (Tompkins et al., 2010; UKCIP, 2015). Changes in demand for goods and services must be viewed in tandem with sectoral change, technological advances and the institutional and labour-market changes. The emphasis placed on ‘green stimulus’ presents government-backed demand in sectors. Whilst the UK currently ranks highly in the ‘Green Stimulus Index’, this is largely due to underlying environmental performance. 
There are also some new opportunities in transport, industry and energy (Vivid Economics and Finance for Biodiversity Initiative, 2020). Opportunities for financial investments have also been identified. However, it remains to be seen whether there is industry-wide demand for adaptation solutions (Vivid Economics and Finance for Biodiversity Initiative, 2020). 
Further investigation is required into the regulatory and institutional networks that can facilitate these opportunities. The LSE Climate Risk Business Survey (2020) found that respondents engaging with suppliers, regulators, banks, investors and insurers are undertaking a more diverse range of adaptation actions. It remains to be seen whether recommendations for investment in adaptation technologies presented by the CCC (2020) or expert calls for a Sustainable Recovery Alliance (Allan et al., 2020; Hepburn et al., 2020) proposed to the Government will occur and produce benefits.</t>
  </si>
  <si>
    <t xml:space="preserve">Given the range of sectors and opportunities it is difficult to identify specific costs and benefits of adaptation. There are sectors where analysis has been undertaken (e.g. Watkiss et al., 2019 for wine) which indicates that under a scenario where wine growers were able to realise the benefits of climate change due to better information (and appropriate response), and at the same time introduce adaptation measures to address potential variability risks, there would be very large economic benefits, and a high benefit to cost ratio.
</t>
  </si>
  <si>
    <t>H01</t>
  </si>
  <si>
    <t>5.2.3.1 Additional planned adaptation that would address the adaptation shortfall (H1)
There are benefits of adaptation in the next five years, particularly to avoid lock with housing and urban designs that are not adapted to future temperature extremes.
The requirements for housing to be suitable for future climates require coordinated action and optimisation of outcomes against the range of objectives (climate and non-climate related). The evidence indicates that currently decarbonisation (Net Zero) and adaptation policies and strategies are not well aligned (CCC, 2019d). The EAC (Environmental Audit Committee, 2018a) highlighted the need for cross-departmental policy and it is important that overheating risks are addressed in all types of buildings where people spend significant time. 
The CCC have made a number of recommendations to Government in relation to housing across the UK (CCC, 2019a): 
•	A legal standard or regulation should be introduced to address overheating risk for current and future climates at design stage of new-build homes or renovations. 
•	Ensure that passive cooling measures are prioritised over mechanical cooling where a risk of overheating is identified. 
•	Further action is needed to better understand when overheating occurs in existing homes in order for passive cooling measures and behaviour change programmes to be targeted effectively. 
Climate change presents several risks for housing alongside overheating, such as flooding and damp risks. It is likely to be more effective and less expensive (especially for social housing landlords) to address these risks at the same time through retrofitting to address overheating. In our view, there is a need for increased guidance and incentives to address overheating in existing homes through retrofitting, given the lack of information available on what measures are effective for householders (CCC, 2019a; Power et al., 2020).
Based on the assessment above, our view is that continuous preventative planning to include long term risks would have benefits in the next five years, including consideration of longer term risks within current emergency preparedness planning.
Air conditioning (or mechanical space cooling) has additional benefits and potential harms, in addition to the increased household energy costs (see Risk H6 for a more detailed discussion). There may also be other health dis-benefits from air conditioning; there is some evidence regarding the negative effects of using air conditioning, including the understanding that it can limit acclimatisation (Yu et al., 2012). The presence of air conditioning in housing is currently low in the UK (at about 3% of homes) (Khare et al., 2015). Although uptake may increase autonomously in the future, relying on air conditioning to deal with the risk is a potentially maladaptive solution, and it expels waste heat into the environment – thereby enhancing the urban heat island effect.</t>
  </si>
  <si>
    <t>The quantified benefits and costs of addressing overheating in buildings involves a range of assumptions about mortality risks associated with overheating. 
Several studies have compared the costs of mechanical vs. passive methods of space cooling in new houses and retrofits (Grant et al., 2011; Frontier Economics, Irbaris LLP and Ecofys, 2013; Adaptation Sub-Committee, 2014; Li et al., 2019; Wood Plc, 2019). These generally report positive benefit to cost ratios or high cost-effectiveness (£ / % reduction in temperature). This indicates the potential for low regret options but also that there is a need (and opportunity) to address further risks in climate smart design to address lock-in risks and co-benefits. 
This is a complex area to assess costs (to households) given the multiple co-benefits and potential harms for each housing intervention. No-cost options to manage overheating can be effective to some extent, such as utilising increased natural ventilation (opening windows), using existing blinds and curtains during the day to limit heat gain and changing behaviours. Shading is the most cost-effective option for cooling houses (Wood Plc, 2019). Many low-carbon retrofit options share commonalities with adaptation options and so could potentially share the cost and reduce overall costs.
There is also analysis of the benefits and costs of heatwave warning systems. Several studies report high benefit to cost ratios for future heat related mortality (Bouwer et al., 2018; Chiabai et al., 2018) including analysis in the UK for the Heat Health Watch System (HHWS) (Hunt et al., 2017). Benefit to cost ratios are high and increase significantly under climate change.
The studies assume that the cost of operating the warning system increases under future climate change, but this may not be the case as the health system response may become more efficient, and the costs to the provider (e.g. the Met Office) are assumed to be fixed. As discussed above, the heat alert systems alone do not fully manage the health risk in the population (Watkiss et al., 2019b).</t>
  </si>
  <si>
    <t>H02</t>
  </si>
  <si>
    <t>There are clearly benefits from further investment in strategies to increase physical activity and mental health – and the opportunities for outdoor recreation and active travel.
There is little information on the costs and benefits involved in additional interventions to help address opportunities for health and well-being, but there is likely to be the potential for low-regret and low-cost interventions to help raise awareness and ensure opportunities are fully realised. There are well established interventions for public health communication and awareness raising although these have largely been targeted at impacts rather than opportunities in the health and adaptation domain to date. Interventions to enhance opportunities could lead to large economic benefits (Hunt et al., 2017) in terms of societal welfare from three components: (i) lower resource costs, i.e. avoided medical treatment costs; (ii) increased opportunity costs from gains in productivity; and (iii) the avoided dis-utility, i.e. pain or suffering, concern and inconvenience to family and others. A no-regret option would be to investigate these potential benefits and look at the possible interventions to help deliver these.</t>
  </si>
  <si>
    <t>H03</t>
  </si>
  <si>
    <t>The types of adaptation measures required and the impacts on managing flood risk vary spatially. Figure 5.9 shows how the increase in risk is more sensitive to the adaptation choice than others. This highlights the limited opportunities for enhanced adaptation in some of the small local authorities and those in coastal settings with limited available land outside of the flood plain for new development. The difference between the alternative adaptation portfolios is also particularly marked for some local authorities, suggesting that enhanced adaptation efforts in these areas will be required to manage future risk. Importantly even with enhanced adaptation, residual risk is not inconsequential, requiring sustained action to minimise the impacts of this risk and potentially requiring transformational solutions such as relocation.
Figure 5.9. Drivers of change in future Expected Annual Damages (total) by 2080s. Reproduced from Sayers et al.(2020a)
Whilst Defra’s Policy Statement, the English and Welsh national FCERM strategies and the proposed strategy for Scotland promote many elements of the enhanced whole system adaptation scenario, the challenge now is to move from strategic aspirations to delivery on the ground. Specific areas where our assessment suggests additional action is needed in the next five years are summarised below:
•	The shift from protection to embracing a range of measures that achieve resilience is supported across the UK. Articulating and promoting exactly what this means in practice is likely to be challenging. Whilst there is a substantial body of research being conducted to inform and facilitate this change in approach, working across the UK nations and widely sharing outcomes from case study examples and initiatives such as the Flood and Coastal Resilience Innovation programme in England is needed to enable a more integrated approach. This could also generate fuller public engagement about the respective roles of different actors in reducing risk and taking adaptive measures, as well as help to promote community level responses that could build resilience.
•	There is an economic case for increasing investment in socially vulnerable areas, and whilst current funding approaches prioritise support for deprived communities in England, Scotland and Wales, introducing new metrics focused on reducing social vulnerability to flooding in UK government and devolved administration outcome measures could help further mitigate the social costs of flooding, which could improve upon current approaches (Sayers et al., 2017b). 
•	It would be beneficial to understand how new developments built in at-risk areas are being made safe and resilient, for all new properties in high risk locations. This information should be publicly available by development, and should include whether properties are being protected by flood defences (and if so to what level) as well as the extent to which PFR has been implemented in new development.
•	The lack of a statutory requirement for SuDS across the UK, other than Wales, and lack of monitoring in all jurisdictions remains a continued challenge. With surface water flood risk projected to increase under all scenarios and the need to achieve biodiversity (and soon environmental) net gain in all new developments, there is a strong argument for greater enforcement.
•	Data collected for England shows that the uptake of PFR measures remains much lower than the potential cost-beneficial rate of uptake (CCC, 2019b), and there is a lack of data on uptake in the devolved administrations. Understanding of the barriers to PFR uptake has improved, informed by research in England and Scotland; subsequent recommendations now need to be acted upon.</t>
  </si>
  <si>
    <t xml:space="preserve">The three portfolios in the research report on future flood projections influence the future increase in risk to properties and associated EAD (Sayers et al., 2020a). In a scenario of 4°C global warming in 2100 with high population growth, continuing Current Levels of Adaptation is expected to offset future EAD in the 2080s by around £7.4 billion (all damages, not just residential, direct and indirect). Under the same scenario, an Enhanced Whole System is estimated to offset £8.2 billion EAD but only £6.4 billion is offset by the Reduced Whole System, meaning that the net increase in risk is much greater at around £2.8 billion. It is important to note that residual risk remains under all scenarios as it is not realistic to eliminate all flood risk. As detailed earlier, national strategies in place (or in train) aspire to many of the elements of the Enhanced Whole System, the degree to which these are effectively implemented will determine the level of flood risk reduction.
There is a very large literature on the costs and benefits of flood protection for adaptation, indeed, it is the most comprehensively covered area in the literature (OECD, 2019). These studies tend to find high benefit to cost ratios, for both hard and soft protection measures, and for grey and green infrastructure. However, values are highly site- and context-specific.
In terms of property resilience and resistance measures, there have been several studies that have investigated the costs and benefits of these measures. These include Defra (2008), EA (2015a) and Royal Haskoning DHV (2012; 2019). The most recent report from the CCC (Wood Plc, 2019) found that a number of flood resilience and resistance measures could be considered no-regret adaptation measures (i.e. a benefit to cost ratio of greater than one in cases where there is a greater than 1% chance of Annual Exceedance Probability (AEP)). In general, this literature reports that all measures are more expensive if retrofitted rather than installed in new builds. For resistance measures, the difference between costs of retrofitting vs. incorporating into new builds are more modest. However, the applicability of each of these measures depends on the type of flooding (recurrence and depth), as this alters the relative cost-effectiveness (and benefit to cost ratio).
Given the residual damage costs even with current flood management policy, this is clearly an area where there are benefits of future action, and in many cases these benefits will outweigh the costs. </t>
  </si>
  <si>
    <t>H04</t>
  </si>
  <si>
    <t>Our view is that there will be benefits from a ‘national conversation’ about risk acceptability, and local discussions, particularly in England and Wales, to identify the communities at risk and then develop plans for these communities including providing clear messages about how a process of change will be delivered. This brings in requirements in relation to the following areas, which Defra (Ballard et al., 2018) recently highlighted to improve coastal change in adaptation, but these apply equally to other parts of the UK:
•	Strategic planning 
o	Interpretation of and required actions relating to Coastal-Change-Management-Areas.
o	How to bring adaptation planning in line with SMP delivery.
o	Improved strategies across SMPs and policy unit boundaries. 
•	Legal 
o	Perceived needs related to legal issues include guidance on and support with articulating a clear legal framework around adaptation planning, roll back and other adaptation policy implementation processes.
•	Funding – perceived needs related to funding include guidance on and support with:
o	Developing and delivering long-term investment strategies.
o	Full suite of financing options available.
o	How to best incentivise roll back.
o	Development of new financial products that could enable vulnerable communities to adapt cost-effectively.
•	Community engagement
o	Raising awareness of SMP and policies generally, including how to convey that there may be risks with policy non-deliverability due to longer term funding gaps.
o	Securing funds for dedicated and skilled community engagement individuals to reduce future risk and raise awareness.
o	Securing engagement and buy-in from elected councillors.
o	Strategic planning for supporting community infrastructure.
o	Strategic planning for caravan park businesses and their inhabitants.
•	Monitoring
o	Perceived needs related to monitoring include guidance on and support with monitoring coastal erosion, monitoring property and infrastructure at risk and when lost to coastal erosion (including temporary infrastructure e.g. caravans).</t>
  </si>
  <si>
    <t>In general terms, the literature reports that coastal adaptation is an extremely cost-effective response, significantly reducing residual damage costs down to very low levels (Hinkel et al., 2014). However, in locations with very few properties, such measures often have benefit-cost ratios lower than one. This may contribute to decisions that a community’s long term viability is unsustainable, when viewed from the perspective of economic efficiency. However, many more issues are involved in such cases, such as threat to life should existing or upgraded defences be breached, and there is a need for any economic analysis to consider the wider issues, and also consider different perspectives including social justice.</t>
  </si>
  <si>
    <t>H05</t>
  </si>
  <si>
    <t>Improving housing quality has multiple benefits. There are direct benefits to health and wellbeing in addition to reducing household costs. The health burden from damp homes in particular is high.
Subsidence tends to be a slowly progressing threat, and most adaptation is reactive, in the form of repair once major problems emerge. There is well established information on the costs of reactive adaptation from subsidence insurance claims (see above), and indeed insurance is an adaptation response to current and future risks. There are potential benefits from more proactive approaches, with most of the literature focusing on monitoring, measurement and prediction (e.g. Erkens and Stouthamer (2020)), and these are a low-regret option in national adaptation planning and awareness raising to households. There is a wider literature on the costs and benefits of direct intervention measures to reduce subsidence, but most of this is focused on human induced subsidence (e.g. water related). For the shrink swell subsidence of most relevance to the UK, the main options are centred on proactive approaches already in use, e.g. vegetation control (trees) and local water management. For high risk areas, these are likely to be low regret.
An important response to windstorm risks is household insurance, which acts as a risk spreading mechanism for extreme wind events. The evidence from tropical wind storms indicates that retrofitting (for increased storm intensity or frequency from climate change) has high adaptation costs, especially for roofing upgrades (RMS, 2009), although it can lead to high benefits. There is less evidence for Europe, but this tends to report similar findings (Hunt and Anneboina, 2011; UBA, 2012). These sources indicate reasonable benefit: cost ratios (at least for some options) (BEIS, 2019b; Spinoni et al., 2020). For household options, costs are lower in new builds, and can include siting and orientation, design and materials. The potential for increased building codes to cope with more intense windstorms is considered a low-regret option, however a review (ECONADAPT, 2017) has identified that benefit to cost ratios vary significantly with the risk level, the marginal costs of higher resilience, the existing cost and life-time of the asset, the costs of retrofitting based on local costs of materials and labour, and on the discount rate.
For damp or excessive moisture due to flooding, and intense or driving rain, the main current approach for managing risks for new buildings is through building standards and there has been recent research for moisture in buildings (MHCLG, 2019d). As highlighted above, there are potential benefits of a more integrated approach on moisture in buildings as part of a whole-house approach and accounting for the changing climate and potentially greater risks over time, although there would need to be an analysis of the potential costs and benefits of the climate uplifts, taking into account the long life-times and potential lock-in for new builds, but also the cost premium and nature of benefits (future, uncertain) (May and Sanders, 2017). The benefits of further adaptation for the existing building stock is highly variable and less well characterised, and there appears to be less economic evidence on potential options: this is identified as a potential gap.
Appropriate guidance and tools to support decision-making appear to be lacking, and are needed for the implementation of adaptation measures in the next decade in order to avoid lock-in with inappropriate housing designs.</t>
  </si>
  <si>
    <t>H06</t>
  </si>
  <si>
    <t>5.7.3.1 Heating demand (H6)
A more considered analysis of this opportunity could allow potential benefits to be maximised. This is particularly important in the context of Net Zero, where changing future heating demand could have a material impact on the potential Net Zero options. This applies equally to all UK nations, as the reduction in winter heating demand is high in all areas. There is a need for better integration of this issue in Net Zero policy analysis, and subsequent government intervention to deliver Net Zero (i.e. reduced winter heating should be considered in the package of policies, incentives and instruments that government introduces to help deliver Net Zero). There is a strong economic case for such action based on the value of information, as this could significantly reduce the costs of delivering net zero for the household sector (or put another way, in a case where this information is not included, incentives will be introduced to deliver higher heating demand than is needed).
It is also highlighted that information to help households and business/industry recognise these beneficial effects, i.e. awareness raising, could help deliver the full potential economic benefits, i.e. to minimise rebound effects.
5.7.3.2 Cooling demand (H6)
Additional action could be undertaken to build increased cooling demand into energy policy, including through the three areas for households identified above:
•	Incorporate future changes in energy demand from warmer winter and hotter summers into energy efficiency and low carbon heating policy and technologies being rolled out across the UK.
•	Incentivise the uptake of passive cooling over mechanical cooling measures as far as is appropriate.
•	Provide support for households that might experience ‘summer fuel poverty’ through e.g. inability to afford air conditioning if this is required.
Mechanical cooling has costs and benefits that can be compared to alternatives. These include a wide range of options associated with buildings (passive ventiliation), behaviour, green infrastructure and land-use planning. These were set out in Risk H1. There is some information on the economics of AC versus alternatives, with analysis of the costs and benefits of many options (Grant et al., 2011; Frontier Economics et al., 2013; Adaptation Sub-Commitee, 2014; CCC, 2019d; Wood Plc, 2019). These studies generally favour passive cooling, but there are differences between existing building and new builds, and the timing of installation and when overheating risks occur in the future is also important (reflecting the different cost profile of capital and operating costs). At the current time, the higher externalities of air conditioning (carbon and air pollution) tend to reduce the attractiveness of this option, but this will change with decarbonisation of the electricity system under Net Zero. In a case where air conditioning is not discouraged (i.e. if choice of cooling is left to households and the private sector, and therefore met with mechanical cooling, passive or other alternatives, or cooling demand is unmet), then it would be expected that penetration rates for AC would rise significantly in England (as indicated in the evidence above). In this case, there would still be benefits from further action, notable with energy efficiency standards for cooling equipment (Low or no-regret), as well as energy efficiency awareness programmes (as there is currently for heating).
Such programmes already exist for commercial buildings, but have not yet been transferred to residential ones. In a case where passive cooing is favoured, there are a range of further actions needed, which are set out in H1.</t>
  </si>
  <si>
    <t>H07</t>
  </si>
  <si>
    <t>The main actions that will have benefits in the next five years are further implementation of the Clean Air Strategy and uptake of the recommendations by the Chief Medical Officer. Any actions that reduce emissions of outdoor pollutants (and pollutant pre-cursors) will generally also have a positive effect on future air quality.
Further research is required on the implications of climate change for wildfire and pollen risks. Further research is needed on the interactions between air pollutants and heat exposures.
For indoor air pollution, NICE recommends the following actions to regulators to improve indoor air quality, which will also have benefits for future episodes of poor indoor air quality driven by hot weather, or increased levels of damp or mould (NICE, 2020):
•	Update existing ventilation standards, for example building regulations, or develop new ones for indoor air quality. Base them on current safe limits set for pollutants in residential developments. See, for example, World Health Organization guidelines on selected pollutants (WHO, 2010) and dampness and mould (WHO, 2009b), and the Public Health England indoor air quality guidelines for selected VOCs (PHE, 2019a).
•	Use existing building regulation enforcement activities to improve indoor air quality. Ensure enforcement takes place within the specified timelines. See the government's Building Regulations 2010 (UK Government, 2010) and Housing health and safety rating system operating guidance, and the Planning Portal's Failure to comply with the building regulations.
It is important to consider the health co-benefits and possible trade-offs of potential adaptation actions to address the climate-driven aspects of air quality. Nature-based solutions including tree planting have been proposed to improve air quality under climate change (Seddon et al., 2020). The effect of tree planting on air quality is dependent on the scenario, scale and species used, and it is unlikely to be a major intervention to improve air quality (AQEG, 2020). Air quality gains from nature-based solutions can be marginal and other actions are also needed. Additional benefits to health and wellbeing can be drawn from increased use of green spaces (Wuyts et al., 2008; Osborne et al., 2017; Fleming et al., 2018). Promoting the planting of trees, especially in urban areas along roads has complex effects. Vegetation can simultaneously act as a very local physical barrier (and pollutant depositional sink) between source and receptor, and as an impediment to pollutant dispersal. The net effect will be highly dependent on specific local factors, and it is not possible to generalise other than to say that it is a local effect. Tree planting may also have adverse effects for the concentration of pollen and increase allergic responses (Fleming et al., 2018; Scottish Government, 2020b).</t>
  </si>
  <si>
    <t>There has been detailed analysis of the costs and benefits of options for reducing outdoor air pollution, which have supported the development of national air quality standards and policies from the European Commission’s Clean Air For Europe package and policies (EC, 2013) and the UK Clean Air Strategy (Defra, 2019b) with well-established methods for valuation (Defra, 2020a). It is also highlighted that these existing air quality policies will significantly reduce air pollution levels, including background levels of regional pollution from Europe (which are important for particulate and ozone levels in the UK), as well as direct emissions from sources in the UK. This means future air pollution levels should be much lower than current, and the marginal effect of climate change will act on a much lower baseline (Lacressonnière et al., 2017). The future levels of air pollution will fall even further with the implementation of Net Zero policies.
There may be benefits of additional adaptation (to target climate-induced changes in air quality and with regards to Net Zero drivers) which could address the most climate-sensitive pollutants. Climate change could be more explicitly considered within existing air quality policies and identified air quality improvement measures). Potential areas where further action might be beneficial are improved early warning and response plans for extreme events, notably where there is an interaction between heat and air quality, and work on the costs and benefits of adaptation to improve indoor air quality.</t>
  </si>
  <si>
    <t>H08</t>
  </si>
  <si>
    <t>Disease and vector surveillance is a public good. There would be direct benefits to improve disease and vector surveillance in all four countries, given the very large benefits of catching vectors and pathogens before they become established. There are benefits of further action, with many low regret options to improve or modify monitoring and surveillance systems. There are some estimates of impacts and studies of willingness to pay for vaccination against tick-borne encephalitis (Slunge, 2015). Further work on vector competence would also be beneficial. Further work on modelling risk if emergent vector borne disease due to climate change through laboratory and climate driven modelling studies is also needed.
The main benefits of further action are in enhanced monitoring and surveillance systems, including early warning, and these can be considered a low-regret option (WHO, 2013). Surveillance programs are highly cost effective. There are also studies that show that vaccination for tick-borne encephalitis (TBE) may be cost-effective, for people who may be exposed through work, rather than the whole population (Desjeux et al., 2005; Slunge, 2015).</t>
  </si>
  <si>
    <t>H09</t>
  </si>
  <si>
    <t xml:space="preserve">Activities such as horizon scanning and continuous monitoring are necessary to ensure current regulations are adequate as the future to the food system is increasingly uncertain from possible emerging diseases due to climate change.
Routine monitoring of food security across the UK is also essential to protect public health and limit unnecessary costs for the health and social care system. Predicting future climate risks to the UK food system will ensure vulnerable groups to food insecurity are protected and the impacts to public health are minimised.
As mycotoxins may be an increasing risk the UK food system in the future, some proposed strategies in agriculture and food transport can limit the risk of fungal infections (e.g. optimal harvest timing). Additionally, adopting new farming techniques such as deep ploughing to control ergot (proposed in the Scottish Quality Crops Farm Assurance Guidance), targeting fungicide application, planting crop resistance varieties and introducing bio-control or genetic modification measures may limit the introduction of fungal spores to crops and the subsequent food system, though there are trade-offs with some of these measures, including deep ploughing (which can increase soil erosion and carbon losses) and increased used of pesticides (Food Standards Scotland, 2015).
</t>
  </si>
  <si>
    <t xml:space="preserve">The economic impacts of food-borne disease and food safety are well understood. The FSA has developed a cost of illness model, monetising direct and indirect costs associated with food-borne illness (including food-borne Norovirus, Salmonella and Campylobacter). Measures to improve food safety, food regulations and education on food handling and safety, coupled with horizon scanning and continuous monitoring for emerging risks, are likely to be a low regret option (WHO, 2013). 
There are some economic studies that have assessed the economic benefits of maintaining or reducing food related disease cases in the UK under future climate change (e.g. Kovats et al. (2011)), and these find the economic benefits could be significant if the current levels of infection are maintained or increased.
For food security, there are existing actions being taken to build the resilience of food supply chains, though these have a focus on the private sector. However, the complexity of supply chains and their multi-staged processes, coupled with the uncertainty around climate change impacts, indicates that the private sector might struggle to take all appropriate actions, and there is a role for Government to play in removing some of the barriers to enable and encourage private sector adaptation, as well as ensuring a higher level of resilience along supply chains. There has been some analysis of adaptation options in this area (Watkiss et al., 2019b) which has identified early low and no-regret options, but also highlighted the need for adaptive management, research and learning. </t>
  </si>
  <si>
    <t>H10</t>
  </si>
  <si>
    <t>H10 Risks to health from water quality and household water supply
(a) water quality
(b) water quantity</t>
  </si>
  <si>
    <t xml:space="preserve">There are likely to be benefits of further actions to improve water quality by reducing the risk of surface water flooding, such as the development of SuDS (sustainable drainage systems), catchment management, wetland creation (theses are discussed in more detail in Chapter 3 on natural environments), and improvements to bathing water quality. Nature-based solutions also help combat urban heat islands and prevent surface water and river flooding (see Chapter 3: Berry and Brown, 2021).
There is some concern about chemical incidents during flooding and a need for further emergency planning (Chapter 4: Jaroszweski, Wood and Chapman, 2021).
Further activities are also needed to assess the future risks to, and measures that are needed to protect, private water supplies.
</t>
  </si>
  <si>
    <t xml:space="preserve">There are studies which have considered the overall costs and benefits of national level action to reduce the risk of water scarcity. These include supply side measures, which are discussed in Chapter 4 (Jaroszweski, Wood and Chapman, 2021). They also include marginal abatement cost curves of emergency measures for droughts (Atkins, 2018b), as well as the estimates of costs and benefits of measures to provide household water supply during droughts (National Infrastructure Commission, 2018). Alongside this, there is a complementary set of demand-side measures that can be introduced by homes, many of which are no-regret and low-regret. Water UK (2016) assessed a twin track approach of demand management coupled with appropriate development of new resources and potential transfers as being the most suitable strategy for providing drought resilience in the future. They estimated that total costs per annum for all potential future scenarios (under the Business As Usual base demand management strategy) to maintain resilience at existing levels in England and Wales are between £50 million and £500 million per annum in demand management and new water resource options. If resilience to ‘severe drought’ is adopted, this increases to between £60 million and £600 million and for resilience to extreme drought, between £80 million and £800 million per annum. There are several studies that have looked at demand side measures for households that identify a large number of low and no-regret options. The study by Arup (2008) looked at a range of water saving measures, and estimated costs and pay-back times. A similar study was commissioned by the CCC (Grant et al., 2011) looking at cost-effectiveness of alternative household options, and this was updated by Wood Plc (2019) updating a previous cost-curve study.
These studies identify estimated measures with benefit to cost ratios above 1 for different house types, comparing new build vs. discretionary retrofit. The study provides unit-cost estimates for different measures, and calculated cost-curves to show their relative cost-efficiency. When considering wider benefits from a societal perspective (including avoided GHG emissions), additional no-regret measures are identified. Generally, end-of life upgrades and measures installed in new builds were more cost-effective compared to retrofits. These studies highlight the high economic benefits of further action. </t>
  </si>
  <si>
    <t>H11</t>
  </si>
  <si>
    <t xml:space="preserve">Further action would be beneficial with regards to mapping climate related hazards that are relevant to heritage, in understanding the vulnerability of different heritage assets to these hazards and identifying those types of assets and locations that are most at risk. The complexity of ownership of heritage assets and the synergies with landscape, land management and the natural environment mean that this is complex. Standardising data collation and facilitating sharing would help further understanding of risks and opportunities.
It is very challenging to estimate the costs and benefits of adaptation for cultural heritage because of its heterogeneity. Costs are very site specific, and benefit analyses involve challenging valuation aspects that include direct and wider economic benefits, but also non-use values, the latter including option, existence, and bequest value. Further, in many cases, adaptation will be part of broader interventions targeting at risk areas, e.g. coastal or river flood management.
For particularly sensitive sites, there are options for monitoring and surveillance in order to recommend both preventative and remedial action. There are also some limited examples in the international literature with case studies (ex ante and ex post), as well as willingness to pay studies that provide some estimates to compare against potential costs (for specific cultural heritage sites). For example, Pollard-Belsheim et al. (2014) investigated the effectiveness of adaptation strategies to preserve coastal archaeological sites.
There are also some additional issues with the impact of climate change on artefacts inside museums and galleries. There is some evidence on the options for guaranteeing the appropriate indoor climate, which involve similar issues on the choice between mechanical or passive cooling. Coelho et al. (2020) examined such examples and report passive retrofit measures are cost-effective, but again, adaptation effectiveness will be extremely site specific. Once this is in place, then further action is required across the UK to enhance the resilience of built and natural heritage.
Societies benefit from and are dependent on cultural heritage, which includes ecosystem services (e.g. marine-based livelihoods and food security) and other cultural services (i.e. non-material benefits from ecosystems). However, understanding and attributing the impacts are complicated due to the complexities of assessing, measuring and quantifying cultural services and other social benefits related to cultural heritage. More work needs to be done on the risks and benefits of adaptation options and adaptive capacity, as well as other barriers such as institutional inertia and socio-cultural acceptability of risks. 
</t>
  </si>
  <si>
    <t>H12</t>
  </si>
  <si>
    <t>This risk needs to be managed strategically at a national level. Regional/local level climate risk assessments should be carried out by Trusts, Health Boards and local government social services (where these are not already happening) to help them plan forward with climate risks in mind. As highlighted in the sections above, a particular issue is around heat risks in care settings, and thus there are similar issues for passive versus mechanical cooling options as for all buildings (see H1). There are obvious potential benefits from ensuring new care homes and hospitals are designed for the future climate. This is particularly important given the high risks and potential for lock-in involved, i.e. the higher costs of retrofitting later. There are also potential options for retrofitting existing care homes and hospitals.
For hospitals, there is some literature on hospital design (including retrofitting) that emphasises passive approaches (Giridharan et al., 2013; Fifield et al., 2018) which highlight the potential benefits of such designs, but also highlights that other drivers, notably economics, are preventing uptake. However, the costs and benefits of actions, especially for retrofitting existing buildings, will be very site specific.
There is some analysis of potential adaptation options for care homes (Oikonomou et al., 2020) (Gupta et al., 2016a; PHE, 2018b). These studies identify a range of options, including in care home operation (monitoring, early warning, emergency response), passive and mechanical cooling, and enhanced regulations, standards and guidance from care sector bodies and Government departments. Some initial work has been undertaken to explore a cost-benefit evaluation of building adaptations designed to protect against heat risks to residents of care homes in England (Ibbetson, 2021). The work found that various physical adaptations have the potential to at least be cost-effective and reduce heat risk. For example, in one case study, external window shading was estimated to reduce mean indoor temperatures by 0.9°C in a ‘warm’ summer and 0.6°C in an ‘average’ summer. In this case, for a care home of 50 residents, over a 20-year time horizon and assuming an annual discount rate of 3.5%, the monetized benefit of reduced Years of Life Lost (YLL) would be between £44,000 and £230,000 depending on which life-expectancy assumption is used. Although this range represents appreciable uncertainty, it appears that modest cost adaptations to heat risk may be justified in conventional cost-benefit terms even under conservative assumptions about life expectancy and should therefore be considered as an important complement to operation responses.
Other adaptation options can be considered low regret (i.e. heat management plans, some passive ventilation measures). Further investigation of the range of adaptation options across the UK would be highly beneficial.
Given these gaps in understanding, further action is therefore needed to specifically address the risk of overheating in residential care buildings. Adaptations through design measures (such as glazing improvement (where needed), draught proofing, shutters, reflective surfaces, green cover and green space, and ceiling fans) can help to reduce the risk of overheating in the next five years (see also discussion of housing interventions above).
Monitoring of indoor temperatures and other indicators would be an additional response. Indoor temperature/ thermal comfort monitoring could be installed in a stepwise method, to monitor changes over time.
The COVID-19 pandemic may have long term implications for the resilience of the health and social care sector. The pandemic has caused additional stress on the health and social care system due to increased demand (likely to last until 2022) and additional pressures on local finances (likely to last longer term).</t>
  </si>
  <si>
    <t>H13</t>
  </si>
  <si>
    <t>5.14.3.1 Education (H13)
Across the education system, many schools are limited in their resources, are older buildings, and staff lack sufficient knowledge, hindering effective climate adaptation planning to respond to and recover from extreme events. The general set of adaptation interventions for schools are similar to other buildings, although there are additional low regret options for behavioural responses and emergency plans. There is some specific information on potential options and general affordability (e.g. GLA (2020)), as well as potential benefits (noting these include reduced cognitive and learning issues, mental health, and lost school days). Thompson et al. (2015) report on several projects under the Innovate UK’s Design for Future Climate, Adapting Buildings (D4FC) programme, which included schools, with reported costs for adaptation measures. There is also some international literature which identifies the benefit to cost ratios for greening schools (Kats, 2003, 2006; Zhang et al., 2018) which report higher costs, but net benefits when considered on a life cycle basis. However, costs and benefits vary on a case-by-case basis, and between retrofits and new buildings.
Further adaptation measures are essential to avoid lock-in with building designs and adapt to the future risks of overheating, flooding and other climate hazards. Importantly, the first step for adaptation is developing a school climate adaptation plan with specific targets, strategies, tasks and roles to ensure its delivery and effectiveness. This plan must be centred to ensuring child health and wellbeing, thus engagement across the whole school system, including school decision makers and external support is necessary with the aim to increase the school’s adaptive capacity. A whole school approach is desired to reach optimal effectiveness, considering positive and negative measures and how they interact, but also how this plan integrates with the wider school agenda. Having a school climate adaptation plan delivers multiple positive outcomes including reduced bills, increased learning opportunities, improved biodiversity and better air quality.
A variety of adaptation measures targeted at school buildings have also been proposed by the Greater London Authority that are specific to London Schools, but are likely relevant to the UK-wide context (GLA, 2020). These include multiple modifications to roofs such as green or blue roofs and cool roofs which are reflective or light in colour. As overheating is increasingly becoming a high risk to schools, many measures suggested are around cooling technologies and ventilation. Examples of these systems include windcatchers – natural ventilation systems harnessing wind blowing to ventilate indoor areas – automated window ventilation, hybrid natural and mechanical ventilation, and mechanical cooling or air movement (air conditioning). Additional measures to manage heat risks include thermal massing and solar shading – interception of sunlight to reduce heat entering buildings.
Many measures have been proposed as effective adaptive strategies for school outdoor grounds across difference space requirements and resource availabilities (GLA, 2020). For schools with limited space availability, rain planters and gardens, tree and shade structures, drain filters and permeable or green surfaces are effective ways to manage heat, flood and water scarcity risks through increasing shade, water availability, biodiversity and promoting draining of excess water. Additionally, schools with more space availability can install or adopt below- or above-ground rainwater attenuation tanks and ponds to store excess rainwater and potentially regulate local temperature, reducing the urban heat effect. Furthermore, some measures require a large area, thus schools with the available space can implement a swale – a shallow ditch to store, transport and absorb run-off – or a basin – a shallow depression in the ground covered in grasses to capture water, reducing run off.
Schools should also consider ways to reduce the risk of water shortages by limiting their reliance on the mains water supply (see Risk I8 in Chapter 4: Jaroszweski, Wood and Chapman, 2021). To reduce water use, schools can install tap aerators and low flow taps which reduce flow of water through taps by up to 50%; also dual flush toilets allow two available flush volumes, reducing water consumption. Furthermore, reducing usage through behavioural changes to minimise consumption and wastage will have a positive impact on London’s water supply. Additional building modifications include increasing the permeability of surfaces to replenish the water table, which has added benefits for reducing flood risk and harvesting rainwater for non-drinking purposes (GLA, 2020).</t>
  </si>
  <si>
    <t>I01</t>
  </si>
  <si>
    <t xml:space="preserve">4.2.3.1 Additional adaptation that would address the adaptation shortfall (I1)
There are beneficial adaptation actions which could be enacted during the next five years. However, the benefits of these actions are often primarily aimed at a particular infrastructure system, and hence also relate to other risks within this report. For instance, Thacker et al. (2018) demonstrate the benefits of bringing forward adaptation work in the protection of electricity substations. The study concentrates on the ETR 138 recommendations that major electricity assets be made resilient to a 1:1000-year flood. By simulating the potential costs involved in cascading impacts of flood-related substation failure it is found that (i) building a wall is cost beneficial for all substations; (ii) relocating the substation is not cost beneficial in most cases; and (iii) in approximately 50% of cases, raising the substation would be cost beneficial.
CCC (2017) argue that common standards of resilience (such as ISO 14091) would help with investment planning and help emergency planners better understand the potential for service disruption arising from assets in their area. ETR 138 ‘Resilience to Flooding’ is given as a good example that has been adopted within the electricity transmission and distribution sector. It is stated that enhanced arrangements for information sharing on critical risks of interdependence are required to assist in creating the appropriate institutional conditions for adaptation. </t>
  </si>
  <si>
    <t xml:space="preserve">There is some evidence on the potential costs and benefits of adaptation for infrastructure investment (OECD, 2015) and in general positive benefit-to-cost ratios are reported for making infrastructure resilient (GCA, 2019). However, there is little evidence on the economic benefits for addressing cascading risks or moving to a systems-based approach. The studies that do exist tend to assess the additional benefits in considering indirect costs from adaptation (rather than just the avoided costs of damage to the infrastructure asset and operation itself), e.g. Thacker et al. (2018) for electricity substations, and Pant et al. (2020) for multiple networks. The consideration of indirect risks increases benefit streams and thus leads to higher economic benefits (and NPVs/BCR ratios). Evidence from other countries highlights that a systems-approach can also highlight the key vulnerability pinch points in networks, and thus help to direct adaptation, e.g. over-designing some key nodes or elements of the network. </t>
  </si>
  <si>
    <t>I02</t>
  </si>
  <si>
    <t xml:space="preserve">4.3.3.1. Additional planned adaptation that would address the adaptation shortfall (I2)
As recommended in CCRA2 (Dawson et al., 2016), there remains a need for the development of consistent indicators of network resilience to flood risk across all critical national infrastructure sectors and networks. Such indicators would help to create the institutional conditions for adaptation and would allow for improvements to be measured over time. This could build on improvement in local hazard information, such as the Cabinet Office’s Resilience Direct platform which provides street-level surface water flood forecasts to authorities and category 1 and 2 responders.
In response to modelled impacts on emergency services due to observed surface and fluvial flooding in York, Coles et al. 2017 argued that an appropriate adaptation strategy should identify areas on the road network that are most vulnerable to flooding, as well as parts of the road network that are crucial for emergency services, e.g. access to hospitals. Green et al. (2017) recommended that the ambulance service should ensure that they are situated at strategic stand-by points during flood conditions to minimise the impact of a blocked road network on delaying emergency response to vulnerable locations.
For urban road transport, Pregnolato et al. (2016) suggest both green infrastructure and conventional engineering measures to improve resilience. Spatial distribution of green roofs reduced person delays during a 1 in 10-year flood by 26%, compared with 12% from hard engineering measures for a single junction (both are compared with the effects of a 1 in 10-year flood with no adaptation), which highlights the potential benefits of blue-green infrastructure for urban flood resilience. The economic feasibility of this measure has not been assessed. 
As covered in Risk I1, Thacker et al. (2018) demonstrate the benefits of bringing forward adaptation work in the protection of electricity substations. It is estimated that if National Grid brought forward the entirety of planned works scheduled for 2022, this would result in additional savings of £133,260,000 in avoided expected annual losses (although this would be constrained by planning and time scale). It must be noted that this research is based on simulation work. </t>
  </si>
  <si>
    <t>There is evidence on the potential costs and benefits of further adaptation. Much of this indicates high economic benefits from investing in flood adaptation for infrastructure (OECD, 2015: GCA, 2019). However, some care should be taken in interpreting this evidence, as much is based on ‘predict and optimise’ studies (where future risk levels are known), rather than an analysis taking account of uncertainty (and thus the potential for under or over investment). 
The effects of different adaptation strategies on the annual expected damages from river flooding in the UK can be estimated from a recent EU+UK-wide regional climate change impact assessment (Dottori et al., 2020), which used a regional-scale hydrological model with country-specific flood depth-damage functions to simulate economic damages under different global warming and adaptation scenarios. Without adaptation, annual expected damages increase from 0.03% of UK GDP nowadays, to 0.04 and 0.06% of GDP with 2°C and 3°C global warming respectively (assuming the population and economy of 2100). However, the impacts are significantly reduced with adaptation. With 3°C global warming by 2100, the reduction in expected annual damage compared with no adaptation, in 2100, is 87% for raising of dykes, 94% for retention areas, 39% for relocation of built-up areas and 50% for building damage reduction measures.
More generally, there are a range of low-regret measures that have been identified in this area (Vallejo and Mullan, 2017; Watkiss et al., 2019), which include:
• Supporting decision-making by providing tools and information,
• Screening climate risks (climate risk management) in public investments,
• Screening climate risks (climate risk management) in private sector investments,
• Enabling infrastructure resilience through policy and regulation,
• Encouraging the disclosure of climate risks/uptake in commercial finance,
• Supporting innovative risk spreading (insurance).
There are also estimates of the economic benefits and costs of some green infrastructure (McVittie et al., 2017), though these are often site-specific. It is highlighted that there are important governance challenges, as well as opportunity and transaction costs associated with green infrastructure (Watkiss et al., 2019). The benefit to cost ratios of SuDS have been studied (e.g., Ossa-Moreno et al., 2017), and guidance exists for estimation (Benefit of SuDS Tool (BeST) (UKCIRIA)), although the financial case alone does not appear to incentivise adaptation.</t>
  </si>
  <si>
    <t>I03</t>
  </si>
  <si>
    <t>4.4.3.1 Additional planned adaptation that would address the adaptation shortfall (I3)
There is increased realisation that it is unrealistic to promote a ‘hold the line’ policy for much of the coastline. The CCC (2018a) highlighted that 1,460 km of coastline in England designated as 'hold the line' to the end of the century, achieves a much lower benefit-cost-ratio than the flood and coastal erosion risk management interventions that are government-funded today. On this basis therefore, funding for these locations is unlikely and realistic plans to adapt to the inevitability of change are needed now. This raises the fundamental questions of how to: (i) plan our future shoreline on the open coast and along estuaries; and (ii) deliver practical portfolios of adaptation options that are technically feasible, balance costs and benefits, can attract appropriate finance, and are socially acceptable.
Recent research commissioned by the CCC (Jacobs, 2018) has explored the application of adaptation pathways to help explore alternative sequences of adaptation responses to climate change at a sample of coastal sites. The process of developing and evaluating alternative adaptation pathways allows potentially flexible responses to be explored in the face of uncertainty. As noted earlier, there are significant uncertainties inherent in estimating the rate of mean sea-level rise and the future frequency and severity of extreme coastal events that drive coastal erosion and flooding. The use of adaptation pathways for the long-term planning of flood risk management, first used in developing the Thames Estuary 2100 flood risk management strategy (Environment Agency, 2012), has been shown to be a promising technique that is being applied more widely (e.g. in developing the Humber 2100+ flood risk management strategy). The Environment Agency committed to increase use of adaptive management in flood and coastal risk management (Environment Agency, 2020a). As mentioned earlier, Hall et al. (2019) quantify sequences of adaptations that would be needed to protect London from flooding by the sea to the year 2300. The approach is transferable to other vulnerable coastal cities of high strategic, economic and political importance.
Much of the work required in this area revolves around better understanding risk. Firstly, comprehensive data on the scale of risk from coastal erosion and flood risk for roads, ports and airports are required for future climates. Secondly, better monitoring and evaluation of existing policies would be beneficial to determine to what extent these are managing the risk down (such as with the risk of flooding to rail). Given the uncertainties around sea level rise, ‘what if’ planning for high coastal risk scenarios would be beneficial for understanding what could be done in the event of very high rates of change.</t>
  </si>
  <si>
    <t>In general terms, the literature reports that coastal adaptation is an extremely cost-effective response, significantly reducing residual damage costs down to very low levels (Hinkel et al., 2014). 
The National Infrastructure Commission (2018c) analysed the investment that would be required to provide a range of resilience standards for coastal flooding. The benefits of achieving a resilient infrastructure sector were estimated as the value of the ‘avoided’ or ‘mitigated’ damage and disruption caused by climate-induced events. Similar analysis was undertaken by the Environment Agency (2014), updated in Environment Agency (2019b), who estimated that the net present value of the optimised long-term investment in flood and coastal erosion risk protection, including the economic damages avoided by making the investment, including the benefits of protecting infrastructure.</t>
  </si>
  <si>
    <t>High (New or reviewed coastal policies and implementation of renewed flood policies)</t>
  </si>
  <si>
    <t>I04</t>
  </si>
  <si>
    <t>4.5.3.1 Additional planned adaptation that would address the adaptation shortfall (I4)
For pipelines, the Energy Network Association (2015) stated improving drainage in areas that regularly flood during extreme weather events is one strategy of adaptation; monitoring of river and coastal erosion, as well as the development of flood, coastal and updated contingency defence measures as further strategies. Pipeline operators may be forced to follow new land zoning codes or adaptation measures such as re-routing lines from high-risk areas, and structural upgrades to existing infrastructure.
For bridges, Nasr et al (2019) found that scour depth can be reduced by streamlining abutments by means of wing walls, and piers by means of cutwaters. Alternatively, the use of stone pitching to armour the riverbed around abutments and piers is a very effective way to prevent scour.
Reforming maintenance and inspection manuals should accommodate the effects of climate change, e.g. through a revision of the design codes to account for the effects of climate change, specifically in relation to bridge foundation scour and the effects of increased wetting and drying of soils in which pipelines are buried. Mitigation methods suggested include new protocols of maintenance and early-warning systems, however more data are needed to support this direction of development. Sayers et al. (2015) state that the most significant adaptation is likely to come through changes in maintenance operations, improving collaboration with emergency managers, recognising emergency management as an integral function of managing infrastructure.</t>
  </si>
  <si>
    <t xml:space="preserve">The costs of adapting pipelines and bridges to climate change are very site-specific, and costs vary significantly between adapting the current stock versus new infrastructure. There is some older literature on the costs of adaptation for bridges (road and rail bridges) to address scour risk (Nemry and Demirel, 2012), which includes estimates for the UK and Ireland where annual costs are estimated at €47 million/year in the 2050s. Of these costs, 80% are for road and 20% for rail bridges. This is reported at approximately 2% of current road maintenance costs. The benefits of adaptation – in terms of avoided scour, possible failure, and subsequent repair or reconstruction (and indirect effects include travel time losses) – were not assessed, though the costs of any failures are normally large.
Bridges and tunnels have a long service life which makes them priority assets for adaptation. Lamb et al. (2019) considered the economic costs of bridge failures due to scour over the Great British rail network, including travel time costs, estimating the annual risk (expected annual utility cost to passengers, but excluding freight and speed restrictions when scour damage is suspected) of between £6 million and £60 million. This provides some baseline costs, onto which future climate risks will act, and adaptation could reduce. The Tomorrow's Railway and Climate Change Adaptation (TRaCCA) programme did look at options for the rail network overall to adapt in the most cost-effective way, with some quick wins suggested, although for scour this focused on better vulnerability information (RSSBa, 2016).
For the road network, Atkins (2013a) looked at the potential risks of climate change on road bridges for the Highways Agency (but considered all risks, not just scour). This looked at reduced service life, additional maintenance and associated lane closures, and found the benefits of adaptation were similar to costs for central scenarios (with benefit to cost ratios close to one) but BCRs rose significantly under worst case scenarios. </t>
  </si>
  <si>
    <t>I05</t>
  </si>
  <si>
    <t>CCRA2 stated that further action was required to ensure that projected increases in heavy rainfall events are factored into long-term renewal programmes for earthworks, especially for the rail network. This will reduce vulnerability now and is likely to be cost-effective to implement, given that the risk is increasing with further asset deterioration combining with heavier and more frequent rainfall events.
Adaptation methods suggested within the current literature focus on providing improved numerical tools for infrastructure asset owners to predict failure occurrence, improved instrumentation and monitoring systems to detect pre-failure slope behaviour linked to decision support systems, more detailed characterisation of engineered soil assets, continued use of slope inspection programs, and greater use of soft engineering techniques such as vegetation management to reinforce vulnerable slopes. Some deterioration methods are not fully understood, which will impact adaptation strategies. Hughes et al. (2016) discuss the need for continuous monitoring of pore pressures during and after construction; this is mentioned as an adaptation measure.</t>
  </si>
  <si>
    <t>There are some clear low-regret options for addressing these risks. For railways, inspection and maintenance are key activities to monitor slope and embankment failure risks in advance, at a relatively low cost (RSSB, 2016b). Currently, routes use a drainage decision support tool and data collected from drainage inspections, surveys and assessments, with drainage assets currently required to be inspected at least every five years (Haines, 2020). A low-regret option would be to increase inspection frequency (especially for higher risk areas).
Drainage is also key for the stability and resilience of earthworks. There are obvious low-regret and easily implementable options for enhanced maintenance of drainage systems for addressing surface and groundwater water away from roads and railways. The costs of increasing drainage capacity in new road infrastructure also appears to be low regret, adding only a small percentage to the overall construction costs. For new builds, there are also options for improving monitoring around complex systems such as embankments; Tang et al. (2018) recommend remote sensing tools and report that new engineered slopes are an opportunity to design intelligent monitoring systems in a cost-efficient way, e.g. by installing systems during construction rather than retrofitting them later.
There is mixed evidence about the effectiveness of specific interventions such as vegetation management. This can help manage soil moisture fluctuations in the near-surface zone (Tang et al. 2018), and there is evidence that mature trees have positive effects on embankment slopes (Smethurst et al., 2015). However, Network Rail reported that the removal of trees is not necessarily the cause of landslips; during summer they may cause the earthworks to dry out, and they can pose additional risks during windstorms. On the contrary, there is an increased incidence of trains running into fallen trees; vegetation management has a role to play in mitigating climate risk of earthworks, but it needs trade-off between benefits and risks (e.g. at the toe of an embankment).
Network Rail spent approximately £100 million on earthworks and drainage investment per annum (on average) from 2009 to 2014 and was planning to double this in the subsequent five years. The benefits of these investments are in terms of avoided damage, which are very large for rail slope and embankment failure. Similar considerations are made for highways, where the costs of planned maintenance work are weighed against the risks of highway closure and repair and travel time delays. However, there is high heterogeneity with site and location (Glendinning et al, 2014) which means adaptation is context specific (and thus so are benefits and costs).</t>
  </si>
  <si>
    <t>I06</t>
  </si>
  <si>
    <t>4.7.3.1. Additional planned adaptation that would address the adaptation shortfall (I6)
For new schemes, ensuring climate impacts are considered in both site selection and design will enable owners to maximise the system outputs under future climate and minimise risks of damage as far as it is possible to protect from high end events. As highlighted above, guidance is available to help such assessments (IHA, 2019). For existing schemes, retrospective climate risk assessments can better inform operational planning and take action, if necessary, to protect assets and the downstream environment from harm during high water flows or flooding. For both run-of-river and impoundment schemes, UKCP18 consistent projections of river flow and catchment processes would be required to assess the implications of future flow patterns on their operation and revenues, and in particular to assess the risks of damage to hydro-electric power infrastructure from extreme high flow events, together with the implications of changing temperatures and the patterns of drought and rainfall on embankment safety.
For existing reservoir or impoundment-based hydroelectric schemes, the suitability of spillways to future peak flow should be ensured, updating probable maximum flow rates to include climate change (Duncan et al. 2010). For existing and future run-of-river schemes assessing their suitability under future low and peak flows is necessary, adaptations could involve incorporating a weir – however there are wider ecological implications of weirs, making this option unsuitable (Duncan et al. 2010). To increase hydro power output from existing run-of river schemes during periods of increased winter flow, larger turbines can be installed (Sample et al. 2015), although Sample notes that increasing turbine size to take advantage of increased flows during winter would likely be at the expense of reducing further output during periods of low flow. For impoundment schemes to take advantage of higher winter rainfall, increases in reservoir sizes and or turbine capacity will be necessary (Duncan et al. 2010; Sample et al. 2015).</t>
  </si>
  <si>
    <t>There is now considerable information on the technical adaptation options available for the hydro-electric generation sector, including sector specific guidance (IHA, 2019), albeit primarily focused on new builds. There are also many international studies that look at the costs and benefits of adaptation, for current plants and especially new build (e.g. Nassopoulos et al. 2012; Cervigni et al., 2015; NRDI, 2016).
There are also several studies that look at the potential economic costs of changes in rainfall and river flows, and thus hydroelectric generation at the European level, which include analysis of the UK (van Vliet et al. 2016; Tobin et al., 2017; Després and Adamovic, 2020). These studies project increases in hydro generation output with climate change, but there are large differences between studies (and projections and scenarios) including some projections of reductions in output, and differences between storage and run-of-river. Consideration of different studies reveals the considerable uncertainty involved, and thus the need for both low and no-regret options and iterative adaptive management. For new plants (although these are not a major focus for the UK, even under net zero scenarios), decision making under uncertainty is key, and has been applied (see international studies above).
For existing plants there are a set of no-regret options for high flows, notably with weather and climate services, for both extreme events and early warning but also more general reservoir operation optimisation. There are also various engineering options for additional spillways, and measures such as fuse gates which can be added, which are generally considered low-regret options for addressing high flow risks. There are more structural options to address changes in flood return period and peak intensity, but these tend to be much more expensive.
The large downside risks for hydropower revenues are from low flows during periods of drought, especially for run-of-the-river plants. Most adaptation studies focus on turbine upgrades (e.g. EBRD, 2015) which are more cost-effective than larger structural changes (dam heightening, conveyance structures), although there is usually some degree of trade-off (i.e. lower optimisation but greater flexibility for flow variation). Turbine upgrades also offer some potential to take account of upside risks.
There is greater potential for including all these adaptation measures in the design and construction of new projects, and decision scaling has been quite widely applied to take account of climate risks and plan adaptation at the international level for such assessments (e.g. Ray et al., 2015; Karki et al. 2015), and is incorporated in the IHA guidance (2019). However, there is often a careful balance of costs and benefits of adaptation, because of the upfront costs, versus the benefits in terms of future (and thus discounted) benefit streams.</t>
  </si>
  <si>
    <t>I07</t>
  </si>
  <si>
    <t>4.8.3.1 Additional planned adaptation that would address the adaptation shortfall (I7)
More research is needed for the production of more accurate and consistent data, for investigating the interdependencies of infrastructure and understanding potential adaptation strategies (mainly limited to monitoring at present). The heterogeneity of railway earthworks is a challenge to understanding their future behaviour. More detailed information on sub-surface composition would assist in predicting future behaviour but would be costly to achieve. Quantifying the uncertainty in soil properties would be beneficial.
Removal of trees from railway embankments has been shown to reduce shrink-swell movement, though this comes at a cost of reducing the reinforcement effect of tree roots and increases in pore water pressure leading to loss of stability (Briggs et al., 2016). Increased ground and weather monitoring and the use of real-time decision support tools has been proposed as a potential method to mitigate the risks of shrink-swell.</t>
  </si>
  <si>
    <t>Land subsidence tends to be a slowly progressing threat, which can reduce the incentives for early action (Erkens and Stouthamer, 2020). As a result, most information is on repair costs, i.e. after subsidence has occurred (especially for residential and commercial properties). As highlighted above, there are some potential risks for rail tracks (but lower risks for highway pavements) as well as potentially some risks to buried infrastructure. There are some low-regret options, e.g. increased monitoring in higher risk areas, as well as vegetation control, but there appears to be little information on the costs and benefits for future climate risks.</t>
  </si>
  <si>
    <t>I08</t>
  </si>
  <si>
    <t xml:space="preserve">4.9.3.1 Additional planned adaptation that would address the adaptation shortfall (I8)
The CCRA3 water resources project (HR Wallingford, 2020) finds that the only scenarios that result in a significant UK-wide supply-demand balance surplus are ones in which additional adaptation action is taken to reduce demand or where the current and announced adaptation scenario is applied to the central population. This scenario includes the water companies’ own ambitions for reducing per capita consumption for England and Wales, baseline values were used for Scottish Water and Northern Ireland water as those companies have reported no intention to significantly increase meter penetration in households or other measures to reduce household consumption. Considering reservoirs, the routine use of climate projections and their potential impacts on the bund and spillways during safety inspections and mid- to long-term planning would better protect them from failures exacerbated by climate change. Establishing appropriate leakage targets using a sufficiently wide assessment framework considering all potential users may improve multi-sector resilience and economic efficiency of water and water rights use. Defra announced it is looking to bring in a statutory long-term water demand target by October 2022. The target will likely combine demand on public water supplies from households, business and due to leakage.
</t>
  </si>
  <si>
    <t>There are estimates in the literature on the benefits of further action. In terms of the supply side there are several studies that have considered additional measures, but these focus more on drought. Water UK (2016) estimated that a ‘twin track’ approach of demand management coupled with development of new resources and potential transfers is the most suitable strategy for providing drought resilience in the future. They estimated that total costs per annum for all potential future scenarios (under the business as usual base demand management strategy) to maintain resilience at existing levels in England and Wales are between £50 million and £500 million per annum in demand management and new water resource options. If resilience to ‘severe drought’ is adopted, this increases to between £60 million and £600 million and for resilience to extreme drought, between £80 million and £800 million per annum. The National Infrastructure Commission (2018b) estimated that in England alone the total costs between 2020 and 2050 of implementing emergency measures to provide household water supply during a 0.5% drought, weighted by the occurrence probability, range between £13 and £16 billion. The total costs over the same period of implementing emergency measures against a 0.2% drought range between £21 billion and £27 billion (costs on a present value basis (2018 prices) weighted by the occurrence probability). Atkins (2018) used cost benefit analysis to build marginal abatement cost curves of emergency measures, i.e. when drought severity is beyond the capacity planned for through long-term water resources planning. This included examples for the Thames Basin. The results indicate that many emergency measures would be challenging to implement, provide uncertain yields and incur significant costs (Atkins, 2018).
There is also a suite of demand side measures that can be introduced by homes, many of which are no-regret and low-regret. Water UK (2016) assessed a twin track approach of demand management coupled with appropriate development of new resources and potential transfers as being the most suitable strategy for providing drought resilience in the future. They estimated that total costs per annum for all potential future scenarios (under the business and usual base demand management strategy) to maintain resilience at existing levels in England and Wales are between £50 million and £500 million per annum in demand management and new water resource options. If resilience to ‘severe drought’ is adopted, this increases to between £60 million and £600 million and for resilience to extreme drought, between £80 million and £800 million per annum. There are several studies that have looked at demand side measures for households that identify a large number of low- and no-regret options. The study by ARUP (2008) looked at a range of water saving measures, and estimated costs and pay-back times. A similar study was commissioned by the CCC (Davis Langdon, 2011) looking at cost-effectiveness of alternative household options, and this was updated by Wood Plc (2019), updating a previous cost-curve study. These studies identify estimated measures with benefit to cost ratios above 1 for different house types, comparing new-built vs discretionary retrofit. The study provides unit-cost estimates for different measures, and calculated cost-curves to show their relative cost-efficiency. When considering wider benefits from a societal perspective (including avoided GHG emissions), additional no-regret measures are identified. Generally, end-of life upgrades and measures installed in new builds were more cost-effective compared to retrofits. These studies highlight the high economic benefits of further action.
Research by Artesia (2019) for Water UK assessed the savings, costs and benefits of 18 water demand reduction interventions. It was estimated that with concerted effort by government departments, regulators and water companies, £64 benefit for every £1 spent could be achieved. The report found that the best strategy to maximise demand reductions involved mandatory water labelling and increased smart metering (above that in current water company plans). It was estimated that a 2,300 Ml/d reduction in demand beyond current ambitions could be achieved through these measures. 
Additional information on research regarding the costs and benefits of additional measures is set out in Table 4.32 below.</t>
  </si>
  <si>
    <t>I09</t>
  </si>
  <si>
    <t>4.10.3.1 Additional planned adaptation that would address the adaptation shortfall (I9)
With respect to guiding new small plants which fall under the major infrastructure project thresholds and those already built on inland sites, further actions are warranted given abstraction reforms remain to be implemented in England and Wales, which, together with climate projections for the future water resources available in different catchment areas (Sayers et al., 2020), could guide new infrastructure siting and cooling technology choices. The evidence for risks to energy generation due to higher water temperatures and/or reduced river flows should be kept under review, with long-term monitoring of risk levels and adaptation activity as advised in CCRA2, with additional consideration of how an expansion in hydrogen and biofuel production in the UK would affect vulnerability to reduced water availability.</t>
  </si>
  <si>
    <t>The costs of further monitoring, and some strategic analysis to look at water related risks (water demand and flooding) for Net Zero generation, are low-regret options and would have clear benefits through the information provided.
For existing thermal plants, there are low regret adaptation options centred on monitoring of risk levels, including early warning and subsequent emergency management during extremes. In other European countries, where these risks have already materialised, adaptation options have focused on demand management and there is some analysis (Perrels et al., 2015) of the economic benefits of demand management options (for industry) and the potential use of smart grids to help manage non-essential energy use during these events; these might provide options should risks increase in the UK. There are also studies that look at the economic benefits of alternative cooling systems (Després and Adamovic, 2020), which find high benefits, but these tend to be focused on nuclear with river water abstraction (which is not relevant in the UK) or thermal plant (which are being phased out under Net Zero), however these technologies are suitable for biomass and CCS sites.
For the new mix of energy generation for Net Zero, and especially for biofuel, biomass, CCS and hydrogen, the most obvious no regret option is for further analysis of the possible risks with respect to water demand of new generation plant, the number required, and the linkages with Risk I8 on water supply. These factors could lead to important adaptation options around siting and technology options, and at the very least, the cost implications for any water use under a changing climate.</t>
  </si>
  <si>
    <t>I10</t>
  </si>
  <si>
    <t xml:space="preserve">There are benefits of additional action in the next five years. For example, further investigation on the implications of increased vegetation growth rates and the future risks of damage from falling trees. The potential for greater use of ‘soft’ adaptation solutions is identified in NGG’s ARP2 report (the specific idea mentioned being changes to working practices). Although organisations are generally already exploring this concept, it is an area where collaboration between companies and between sectors could further facilitate progress in adaptation. There could be benefits in exploring this further through existing collaborative channels. 
Metz et al. (2016) indicate there are benefits from incorporating climate change information into the decision-making stages regarding the design of new assets and life extension of existing assets. This activity would reduce the potential for lock-in. A watching brief on the evidence regarding future wind speeds could be considered, to be reviewed if evidence suggests an increase in maximum wind speeds of 5% or more are indicated. Further investigation on activities being implemented by the energy sector on existing plans to protect assets from increased lightning strikes is needed to assess whether this should be included as an action here.
There are no regret options involved in better understanding of the potential influence of climate on future energy demand, and thus the Net Zero strategies (see H6), as these influence energy supply. </t>
  </si>
  <si>
    <t>There is emerging information on the costs and benefits of climate smart design of energy generation including renewables. There is less evidence on the risk levels and potential costs and benefits of climate smart design for the new generation of technologies that will be developed to meet Net Zero, though there are obvious early low regret actions to further investigate these. 
There are several hazards and a number of different energy generation technologies within this risk, each of which has particular adaptation responses. 
The risk of wind damage to energy supply and transmission infrastructure is one area, and there may be compounding effects from increased vegetation growth. There has been some analysis of these aspects, and the potential increase in vegetation management costs, which can be considered as an impact or an adaptation) (Metroeconomica, 2004), though there are additional options, e.g. wind fences/breaks, circuit breakers, etc. The potential changes in wind regimes and wind power generation are highlighted as a watching brief above: there are technical design as well as operational management options to address potential changes should these emerge. 
There is a more general approach for adaptation, with the inclusion of climate risk assessment as part of project design and financial and economic appraisal (see also the Green Book Supplementary Guidance on Accounting for Climate Change, Defra, 2020a). However, there is less evidence on the risk levels and potential costs and benefits of climate smart design for the new generation of technologies that will be developed to meet net zero: an obvious early low regret action is to further investigate these.</t>
  </si>
  <si>
    <t>I11</t>
  </si>
  <si>
    <t xml:space="preserve">4.12.3.1 Additional planned adaptation that would address the adaptation shortfall (I11)
Adaptations are outlined in Step 1 and include changes to the design loads, extreme wave elevation and accessibility of offshore infrastructure for maintenance and crew transfer. In some regions these changes represent a rise in risk, and in others the net effect may be a reduction (i.e. a reduction in wave height counteracting the rise in sea level). Also, the expected changes in average annual energy production per unit of installed capacity by 2100 are comparable to the existing year-to-year variability. All these forecasts are predicated on the projected effects of climate change on the marine environment, for which there is currently low confidence. Given the anticipated expansion of offshore renewable energy in order to meet Net Zero and current low confidence in marine projections, further investigation into the potential changes in relevant climate metrics including wind and wave heights could better inform design and siting choices.
</t>
  </si>
  <si>
    <t xml:space="preserve">This risk is evaluated as Sustain current action. As with the previous risks, the potential changes in the offshore wind regime and implications for offshore energy infrastructure (notably offshore wind), as well as other offshore risks (e.g. wave regimes), requires periodic review (e.g. Stewart et al., 2014), but there are technical designs for turbines as well as operational management options to address potential changes should these emerge, and a general recommendation on the use of climate risk assessment in new project design and appraisal. Offshore, subsea cable failures are currently the most important failure risk; these can occur from changes in tidal flows (Dinmohammadi et al., 2019) and might warrant further consideration of risks.
</t>
  </si>
  <si>
    <t>I12</t>
  </si>
  <si>
    <t>I12 Risks to transport from high and low temperatures, high winds, lightning</t>
  </si>
  <si>
    <t>4.13.3.1. Additional planned adaptation that would address the adaptation shortfall (12)? 
In a study on the influence of uncertain asset stock data on the assessment of climate risks for railways in Great Britain, Dikanski et al. (2018) found that avoidable uncertainty in basic asset data (in this case related to bridge scour), can outweigh uncertainty in climate projections by an order of magnitude. They identify better asset information collection by infrastructure managers as a quick win for effect climate adaptation.
Heat-related rail buckling (and other heat-related asset failures) is a clear risk to future rail operations. CCC (2019) report that planned levels of future activity are appropriate and should continue to be implemented to ensure risk is managed. Moreover, the CCC report that actions being taken to reduce risk by the rail industry are likely reducing vulnerability in some areas, but evidence is currently lacking. This may be due to the current indicators of resilience (delay data), which may not directly indicate how the physical vulnerability of assets is changing. The Tomorrow’s Railway and Climate Change Adaptation (TRaCCA) project (RSSB, 2016b) made a number of recommendations to Government including enhanced weather incident reporting and asset condition monitoring and revised standards (for instance, increasing the stress-free temperature of steel rail in line with future climate projections). The CCC (2019) observe that although Network Rail’s route plans contain relevant actions and consider a scenario of 4°C global warming by 2100, the strategy provides guidance to prepare for future action rather than specific measurable goals to reduce risk.
For local roads, the CCC (2019) conclude that it is not clear whether there has been a systematic evaluation of climate change risks. Similarly, to rail, it is recommended that better indicators of climate resilience for roads are developed.
For ports and airports, it is clear from the CCC (2019) report that lack of engagement with the ARP process may be a barrier to adaptation. Although 16 ports and airports submitted to ARP2, another six declined to participate. The CCC argue that without making the Adaptation Reporting Power mandatory, it is hard to be assured that risk is being managed in the sector as a whole. Similarly to road and rail, improved data on disruption to ports and airports would assist in assessing current and potential future risk.</t>
  </si>
  <si>
    <t>In general, there are a set of no regret options in the form of improved weather and climate services, including early warning systems, for extreme risks for transport, which have been found to have high benefit to cost ratios across modes from the avoided damage and thus value of information (Clements et al., 2013). There are further opportunities for these options, and general management of weather related risks through digital platforms, remote sensing, etc., and their use in real time network management (EEA, 2014), which can be considered no-regret because of the reduced costs of disruption and thus economic benefits in terms of travel time (ToPDAd, 2015).
The potential risks of high temperatures on the rail networks, and the potential economic costs of rail buckling risks under climate change have been previously estimated in the UK (e.g. Dobney et al., 2009, Alvater et al., 2012). The reactive adaptation response to these has been speed restrictions, although these have important travel time costs. There has been some analysis of the cost-effectiveness of options to address these risks, though these are mostly focused on improved risk assessment and monitoring (RSSB, 2016). There are potential rising risks from wind and vegetation growth, which are likely to mean increased vegetation management costs (which can be considered an impact or an adaptation).
There has also been analysis of the potential economic costs of heat on highways (including rutting and user delay costs, as well as additional capital maintenance costs) and the costs and benefits of addressing heat risks to highways (Atkins, 2013a). This considers technical surfacing options and found a modest positive net present value and cost-benefit ratio of slightly greater than 1. Alvater et al. (2012) also investigated the additional costs of using better asphalt for roads in the UK, and found the costs generally outweighed the benefits. There is also a large international literature in this area (from warmer countries), which highlight improved maintenance practices, risk assessments, early warning, and enhanced design standards for roads (e.g. EEA, 2014, Ecofys, 2016). There are other approaches, e.g. with greater redundancy in road networks, but these involve significant extra costs. There is also emerging focus on focusing adaptation investments on the vulnerability hot spots on networks, i.e. to identify the points on the system where greater resilience would be most cost-effective (as part of network level analysis rather than for individual assets). While this has mostly focused on flooding (Oh et al., 2020), the same approaches could apply to other risks.
For existing infrastructure, improved monitoring and information, and also improvement of maintenance practices and operations, are considered low-regret adaptation options. For new infrastructure, there are opportunities for mainstreaming climate change adaptation into planning and design, to avoid retrofitting later. The balance of costs and benefits for such approaches depends on the costs, the timing and level of discounted future benefits, as well as the costs of retrofit later. This means some, but not all measures are likely to have positive NPVs and these may be site specific. There is the potential for decision making under uncertainty approaches for new transport infrastructure (e.g. considering flexibility, robustness, adaptive management) but these have important time and resource implications. The main risks of lock-in, and thus main role for such approaches, are for new roads, rail, etc. (rather than refurbishment or upgrades) due to siting decisions.</t>
  </si>
  <si>
    <t>I13</t>
  </si>
  <si>
    <t>4.14.3.1. Additional planned adaptation that would address the adaptation shortfall (I13)
Further adaptation would include incorporating digital infrastructure into existing infrastructure climate adaptation plans recognising the criticality of ICT provision for wider infrastructure and society. Further information is also needed to identify and protect assets at risk of flooding and wildfires together with a better understanding of future impacts on radio communication VHF/UHF systems.</t>
  </si>
  <si>
    <t>While there is some information on adaptation options for the digital and ICT sector (Horrocks et al., 2010), there does not appear to be a large literature on the costs and benefits of adaptation. There is a general low regret option to ensure better information on such risks, as well as to ensure climate risk assessment is included in design (and financial and economic appraisal, see also the supplementary Green book Guidance on accounting for climate change, Defra, 2020a). It is noted that the sector typically has short design lifetimes, and thus there is the potential to consider the management of some risks (e.g. equipment) as part of upgrades rather than through designing for future climates. However, there may still be cost-effective actions for critical digital infrastructure, given the cost of downtime from failures is often high; evidence from companies that report that the cost of downtime could be as high as £thousands per minute (Ponemon Institute, 2016).
Warmer temperatures are likely to mean higher cooling needs and associated energy costs (Lee et al., 2013; Capozzoli and Primiceri, 2015; Song et al., 2015). There are a range of adaptation options from early warning and emergency planning through to back-ups to address heat extremes. These issues are linked to the general increase in cooling demand (see Chapter 5: Kovats and Brisley, 2021) and the potential role for energy efficiency standards.
The consideration of network risks, and more focused adaptation strategies to key vulnerabilities, can be a more efficient use of available adaptation resources. Adaptation can also be achieved by enhancing network redundancy and introducing back-ups. Pant et al. (2020) investigated the economic impacts of failure events in the telecoms network and estimated that direct losses for the top 50 events could vary between £220,000–£3.6 million/day and total losses vary between £0.34–£7.0 million/day. However, as the degrees of connections are increased, the economic impacts were found to decrease. The authors also show the benefits of introducing backup supply for the electricity sector in delaying and thereby decreasing the disruptions in the ICT sector by up to ~90% compared to a scenario with one connection and no back up (though note the study does not assess costs, and thus the overall economic net benefit).
It is also highlighted that ICT and digital solutions can help reduce risks or realise opportunities in other sectors, i.e. they have considerable potential as part of adaptation across many areas (ITU, 2014).</t>
  </si>
  <si>
    <t>ID01</t>
  </si>
  <si>
    <t>COVID-19, as a systemic shock that has critically impacted on food systems, and an exemplar of some of the climate-related risks that may occur in future, highlights the need to consider food-system resilience as a guiding principle.  This is recognised by Henry Dimbleby and the National Food Strategy’s (NFS) first report (Dimbleby, 2020):
‘There is a lot of work to do if we are to rebuild a food system that delivers safe, healthy, affordable food to everyone; that is a thriving contributor to our urban and rural economies; that restores and enhances the natural environment for the next generation; that is built upon a resilient, sustainable and humane agriculture sector; and that is robust in the face of future crises.’ (Dimbleby, 2020, National Food Strategy Part One, P.17, emphasis ours) 
In particular, there is a need (as acknowledged in the NFS part 1) that due consideration given to a range of aspects within emerging Free Trade Agreements, post EU-Exit.  As highlighted in a Chatham House report (Benton et al., 2019), lack of consideration of potential environmental governance and exposure to climate risks could undermine the ability to have a resilient food system as climate risks mount.  In addition, there is the potential for a reduction in UK agricultural resilience if lowering of production standards became necessary to compete with cheaper imports.  Finally, FTAs through affecting prices and price resilience have potential impacts on UK food insecurity, especially for the marginalised groups, as noted in NFS.  
A recent CCC outcomes study (Watkiss et al., 2019) suggested that the Government could play a role in removing some of the barriers for the private sector to encourage climate change adaptation. Simultaneously, this private sector support could ensure a higher level of resilience along supply chains. Since many supply chains have international dimensions, a multi-national regulatory structure in the food commodity markets, which are most vulnerable to climate-related supply-side shocks, could play a beneficial role. Further development and uptake of insurance instruments that protect both domestic and international actors in food supply chains would also contribute to adaptation. A greater focus on adaptive management, research, and learning in this sector would contribute to a more resilient food system. For example, identifying regions/countries which already show vulnerability to weather events, food production, and transport disruptions, and understanding how these vulnerabilities might change under different climate scenarios. This would help to understand the scale of the future vulnerability of the UK market and provide a stronger rationale for action (Watkiss et al., 2019).
Populations at highest risk of lack of economic access to food are concurrent with those at risk of obesity and malnutrition (Drewnowski, 2012; Jones et al., 2014b, Food Foundation 2017). Therefore, addressing food access inequality, access to fresh produce, and informed dietary choices, will likely have the co-benefit of reducing vulnerability to the risk of decreasing nutritional quality of food produced due to climate change.</t>
  </si>
  <si>
    <t xml:space="preserve">There are some aspects of climate change risks and responses that have been quantified for food supply chain resilience, but there is little information on the associated costs and benefits (in aggregate). Watkiss et al., (2019) for the CCC reviewed the available options and provided some qualitative analysis of possible costs and benefits. This indicates a range of low-regret options, as well as some additional options to start the process for planning for these risks. </t>
  </si>
  <si>
    <t>ID02</t>
  </si>
  <si>
    <t>As reviewed in section 7.4.2, ensuring access to a broad range of international markets would capitalise on any opportunities associated with climate impacts overseas. There is no evidence to suggest further actions that would support such opportunities. Access to markets, which was covered in some detail in CCRA2 Chapter 7, has the co-benefit of providing some resilience to external shocks, be they climate-induced, or sourced elsewhere (e.g., a global health disruption such as COVID-19). Hence there are multiple lines of reasoning that suggest benefits of access to markets.</t>
  </si>
  <si>
    <t>ID03</t>
  </si>
  <si>
    <t xml:space="preserve">Any adaptation in the next five years would most likely involve protecting the human security of people on the move, and those in low-income receiving areas in the Global South, rather than on the national security of the UK. Solutions lie in creating safe pathways for migration, the movement of people transmission pathway, and helping the UK and other host countries to accommodate newcomers through education and language courses, training and retraining in skills relevant to the job market, planning for infrastructure and services in areas likely to receive migrants, as well as managing public perception of migration. Migration as an adaptive response, and a proportion of the population outside their places of origin, are constants of any society. Thus, opportunities lie in recognising the agency of migration and the novel forms of organisation and cooperation that emerge within migrant groups that have the potential to benefit the UK and its overseas interests (Papadopoulos &amp; Tsianos, 2013; Stierl, 2018).
The Foresight report in 2011 (Foresight &amp; Government Office for Science, 2011) highlighted the potential benefit to all nations of supporting safe and orderly migration that maintains the dignity of the migrant. In the context of the Lifetime Skills Guarantee the UK Prime Minister has highlighted skilled labour shortages, that could be filled with migration until filled domestically. Thus, there is an opportunity for the UK to set up procedures to ensure that any increases in migration are beneficial to the nation. Second, there are win-win opportunities ensuring that overseas development and humanitarian response empowers local communities such that they are not forced to migrate but have agency in if, when, and where they chose to move.
The Foresight follow-up report noted that different Government Departments were responding quite differently, thus there is the opportunity to create greater cohesion between departments. While there are several Cabinet committees dedicated to considering both domestic and international issues, it appears that the membership of some of these committees could be more strategically focussed to tackle the linkages between climate and migration. For example, the overarching National Security Council chaired by the Prime Minister which inter alia considers ‘international relations and development’ included both the Home office and DFID (now FCDO). The Climate Action Implementation Committee included DFID but not the Home Office, while the Committee on Climate Action Strategy included neither DFID nor the Home office.
During the period immediately following the UK’s exit from the European Union there is a window of opportunity to provide pathways for safe and orderly migration to the UK. Migration decisions and migration flows are already mixed, and so climate migrants will come to the UK, not as a separate, easily defined group, but as economic migrants or potentially as asylum seekers. The UK can maximise the benefits that any new migrants bring and thus there are obvious benefits to the UK’s investment in social mechanisms that allow newcomers to integrate effectively into the job market and local society. The merger of DFID and the Foreign and Commonwealth Office (FCO) as FCDO, can provide an opportunity to develop more deliberate climate and migration policies with oversight from the most senior Cabinet Committees.
Monetised indicative costs and benefits of additional adaptation are not currently available at the time of writing.
</t>
  </si>
  <si>
    <t>N</t>
  </si>
  <si>
    <t>ID04</t>
  </si>
  <si>
    <t xml:space="preserve">As noted by Smith et al. (2018a), in the context of risks to US international assistance, “the impacts of climate change, variability, and extreme events can slow or reverse social and economic progress in developing countries, thus undermining international aid and investments made by the United States and increasing the need for humanitarian assistance and disaster relief.” A similar observation could be made regarding the overseas aid budget of the UK.
For mitigation of water-based conflict, more cooperative behaviour is associated with transboundary agreements (Munia et al., 2016) when participating countries are governed by treaties with water allocation mechanisms that allow flexibility and specificity. Therefore, there may also be opportunities to reduce current tensions through appropriately deployed international agreements on shared resources including access to water (where rivers run between countries) or new opportunities in areas such as the Arctic.
The evidence for additional benefits from proactive engagement in reducing local tensions in regions more prone to conflict through infrastructure investment and setting up local or transboundary agreements which can underpin more cooperative behaviour between different stakeholders is increasing (for example, Munia et al., 2016). The main cost associated with this is a more strategic and systems approach to investing international aid aligned to climate change adaptation associated with conflict prevention.  </t>
  </si>
  <si>
    <t>ID05</t>
  </si>
  <si>
    <t xml:space="preserve">Diplomacy is the main means of adaptation in relation to this risk. Further engagement with multilateral processes and institutions would have benefits for ensuring that the UK preserves its interests and strengthens its image as a respected multilateral player. This could include engaging constructively with a multiplicity of processes and initiatives in the context of climate change, such as inter alia by supporting the work of the International Law Commission on sea-level rise in relation to international law started in 2019, the work of the UNFCCC on loss and damage (including its Task Force on Displacement) and the on-going modernisation of the Energy Charter Treaty. There would also be benefits from producing a clear plan to meet the challenges posed by a shift in UK relationships with traditional allies and changing dynamics at the UN, to coordinate its activities with the EU, and to build new partnerships with inter alia the Commonwealth. Whilst the short-term benefit of these adaptations is small, it rises on longer timescales, commensurate with the increase in risk magnitude. Planning is needed now in order to enable adaptation in the future. 
</t>
  </si>
  <si>
    <t>ID06</t>
  </si>
  <si>
    <t xml:space="preserve">There is some projected analysis (e.g., Bekkers et al., 2016) which indicates that opportunities from climate change (including Arctic ice melt) on international trade routes could be large including from the economic effects of trade that is facilitated by a reduction in transport distance between suppliers and consumers. The effect on UK GDP was estimated to be equivalent to an annual increase of 0.24%, although this was associated with year-round (not just summer) transport access. There are also potential tourism opportunities that increased access to the Arctic allows, and associated port development in locations that facilitate these trade and tourism opportunities. While these would need to be seen against potentially very large negative impacts from an ice-free Arctic for other reasons (e.g., loss of or damage to arctic ecosystems, potential higher global warming levels, impacts on European weather, etc.) they do indicate potential economic benefits.  There is an issue whether these benefits will be fully realised by non-government adaptation alone, and it is likely that higher benefits could be achieved for the UK (as compared to competitor coastal countries) through some enabling actions from government, which would have likely low costs. 
</t>
  </si>
  <si>
    <t>ID07</t>
  </si>
  <si>
    <t xml:space="preserve">The resilience of trade to shocks first became an area of focus following the 2007/8 and 2010/11 food-price spikes (Challinor et al., 2016; Challinor et al., 2018), and, of course, COVID-19 has highlighted the vulnerabilities inherent in the trade in some goods.  Given that shocks are likely to increase in the future, as climate hazards from extreme events increase, there is benefit from a focus on building further resilience.  However, resilience would typically arise from four main properties: building in redundancy (e.g., stocks), diversity (of sourcing, or substitutability), creating modularity or distributed rather than centralised networks, and creating greater flexibility/adaptability.  All of these properties have typically been removed to increase efficiency and the leanness of supply chains.  Thus, there is a trade-off between fragility (and lower prices) and resilience (and higher prices). As risks increase, the trade-off tips towards resilience providing better returns on average.  Resilience as a ‘design feature’ may become a greater focus for investment during post-COVID recovery.
</t>
  </si>
  <si>
    <t>ID08</t>
  </si>
  <si>
    <t xml:space="preserve">There have been significant shifts in assessing, disclosing, and analysing climate risks and more is expected in light of expected shifts from voluntary to mandatory action driven by regulators. While it is clear that the extent of physical risks is currently low and expected to become significant in the longer-term, there are clear dangers in considering physical risks ‘as under control’. There are lock-ins especially within real-estate investment where adaptation measures require further investment. 
Whilst there has been improvement in adaptation action from CCRA2, changes have mainly been made in climate risk regulation and reporting as opposed to changing capital flows. Moreover, given the tightening climate policy landscape, there are significant lock-in effects if there is no substantial redirection of financial flows. Whilst banking and insurance sectors have responded effectively to current extreme weather events, the increase in magnitude and frequency means the likelihood of ‘unhedgeable risk’ is higher – straining the insurance sector. Given that financial risks are still not integrated within firm operating models or in financial markets as a whole, there are still significant systematic risks (Mandel et al., 2020). Whilst companies have started adopting TCFD recommendations, identifying climate risks is only the first step. TCFD’s most recent status update report acknowledges that there needs to be a better understanding of how disclosing climate-related financial information is changing corporate strategies on adaptation, and how investors are using the disclosed information to inform their decisions (TCFD, 2017).
The UK has been seen as a leading power through the passing of the 2008 Climate Change Act, the recent adoption of a Net Zero target, as well as institution building and coordination across government – though less so on climate change adaptation (CCC, 2019). With the UK set to host the 26th Conference of the Parties of the UNFCCC (COP26), there is also an aspect of this risk about showing leadership on managing the risks to finance from climate change. A critical issue to tackle at COP26 is the existence of a global green finance gap and many in the finance sector highlight the uncertainty over national and international climate policy as a key factor in this gap (Hafner et al., 2020). </t>
  </si>
  <si>
    <t xml:space="preserve">It is difficult to estimate the potential costs and benefits of further adaptation. However, what is clear is that the potential risks to the financial markets in the UK from climate change are extremely large, and because of the role of UK financial services, very large for the UK. Dietz et al. 2016, using a Monte Carlo simulation of the DICE model, estimated the present value at risk as a result of climate change under a business-as-usual pathway to global financial assets as $2.5 trillion (mean expected losses, discounted in present value terms) between now and the end of the century, and still $1.7 trillion under a 2°C pathway. However, under business as usual, the 99th percentile tail risk is $24.2 trillion. A sizeable amount of global financial assets are managed by the UK financial markets. There are existing voluntary initiatives (TCFD) that are helping to increase the disclosure of these potential risks, but as highlighted in Chapter 6 (Surminski, 2021), there appears to be less action on adaptation.  </t>
  </si>
  <si>
    <t>ID09</t>
  </si>
  <si>
    <t>Actions to promote adaptation to emerging diseases include:
●	More real-time monitoring of air travel routes, transmission pathways of movement of people and goods. 
●	Communicate outdoor risks if a vector-borne disease is introduced.
●	Improve training and awareness of primary health care practitioners.
●	Raise the levels of surveillance programmes and some random screening (for example, part of blood donation screening for antibodies).
●	Improvement of public and professional level information, transmission pathway IT/information.
There would be benefits from increased surveillance of wildlife, people or other imports (e.g., used tyres) coming into the UK, which comes with increased costs. However, if newly arrived infected vectors or animals in combination with a more favourable UK climate leads to local transmission, the cost of the impacts may be a lot more. COVID-19 has provided a good example of the scale of impact costs and how this can cascade into other sectors. Therefore, it shows that investments in surveillance can pay off to avoid high impact situations.  
It is not clear how the UK could fully protect itself from risks from emerging diseases overseas that have a transmission pathway to the UK. Targeted public information, advertisements in holiday destinations about outbreaks, and more information or advertisements in in-flight magazines would support this effort. Further actions include improving seasonal forecasts of conditions for the establishment of vector-borne disease, especially the extension of summer-like conditions into the autumn; improved awareness of risks at both primary and secondary health care; better monitoring and surveillance of potential vectors in the UK, especially for virus antibodies. 
Actions can also be taken that target key overseas areas, i.e., monitoring and research in areas overseas that are likely to be prone to the emergence of new infectious diseases both vector-borne and other contagious diseases. Ongoing collaborative research and monitoring are critical if imported health risks are to be avoided. One key challenge for research comes from EU Exit: in the past, the European Commission funded many of these integrated projects involving environmental and social controls and impacts of infectious diseases.  If this funding source becomes closed to the UK, then these opportunities will need to be replaced by UK funding if we are to continue to engage in this pool of expertise and knowledge production.</t>
  </si>
  <si>
    <t>ID10</t>
  </si>
  <si>
    <t xml:space="preserve">There is an emerging literature on transformational adaptation  to deliver better resilience to future climate change. While definitions vary, much of the theoretical literature emphasizes transformational adaptation involving a system-level (systemic) approach and there is often a focus on changes in governance as well as underlying causes of risk or vulnerability (Lonsdale et al., 2015). However, there is very little economic evidence on the costs and benefits of transformational adaptation, reflecting that there is very little concrete evidence on what transformational adaptation looks like in practice (see Watkiss et al., 2020). This is an area where further investigation (of economic evidence) is needed.
</t>
  </si>
  <si>
    <t>N01</t>
  </si>
  <si>
    <t>The CCRA2 Evidence Report concluded that further action is needed now and into the future to increase current efforts to reduce existing pressures, improve the ecological condition of protected wildlife sites, and restore degraded ecosystems, such as peatlands, wetlands and native woodlands. There is a window of opportunity to build the resilience of habitats, through a range of measures that will improve the capacity of species and biological communities to persist and adapt. This is important as once species or habitats are lost it is much harder to restore them, as not only will species need to be re-introduced, but also complex ecological functioning restored, if that is even possible. Ecological restoration can take many decades for some habitats, meaning that there are long lead-in times for adaptation action. This has not changed and there is a need to take more flexible and integrated approaches to managing natural capital, including further realignment of the coast, catchment-scale management strategies, and landscape- scale initiatives to increase habitat extent and improve habitat condition and connectivity.
Climate and environmental change, therefore, should also be more explicitly accounted for in conservation planning at the site level and more widely. This may include modifying conservation objectives and planning for and anticipating necessary changes in spatial distribution, for example by identifying and securing refugia. Site level conservation objectives and plans would benefit from being reviewed to assess whether management is appropriate for new or potential colonists and adapted accordingly. It is important that planning begins in time for action to be effective. 
Increasingly the link is being made between climate change and biodiversity loss, with nature-based solutions being an important way of addressing these two together (see Box 3.3; Section 3.21.2). Nature-based solutions will help deliver adaptation actions including: developing resilient ecological networks; increased canopy cover and well-located woodland for greater habitat availability and ecosystem service value; maintaining, enhancing and restoring floodplains and hydrogeological systems to reduce flood risk and improve water quality and quantity; restoration of uplands and managing them for multiple benefits.</t>
  </si>
  <si>
    <t>The valuation of the impacts of climate change on terrestrial species and habitats is challenging, and this makes it difficult to analyse the subsequent benefits of adaptation in reducing these risks. It is also highlighted that while the literature on the costs and benefits of adaptation is improving, there is very little information on the costs and benefits of helping natural systems adapt (Tröltzsch et al., 2018).  There has been some analysis on the costs and benefits of peatland restoration (Moxey and Moran, 2014; Bright, 2019, Watkiss et al., 2019), which indicate that restoration is generally worthwhile in most (but not all) cases, for both upland and lowland peatlands (i.e., with positive benefit cost ratios). The benefits increase if more ecosystem services are able to be valued (and this is a general issue for many risks in this chapter) and climate change strengthens the case for restoration.  There are some case studies on cost-effectiveness or cost benefit analysis of buffer zones, migration corridors and even translocation for specific habitats or species (e.g., Tainio et al., 2014) though this remains a gap (especially on the benefits analysis). Finally, there would seem to be a strong economic case for an expanded role for Government intervention to provide enhanced monitoring and surveillance and early response.</t>
  </si>
  <si>
    <t>N02</t>
  </si>
  <si>
    <t>The economic and environmental costs associated with managing established pests and pathogens are considerably higher than the costs of biosecurity measures to prevent INNS becoming established in the UK (SRUC, 2013). Therefore, further adaptation actions focusing on enhanced prevention (e.g., pathway management), monitoring, surveillance and early response are considered highly beneficial (CCC, 2019b).  
Increased horizon scanning for INNS and improved coordination with international pest risk surveillance organisations would help the UK to manage risks associated with changes in the post-EU -exit trade portfolio and projected climate changes. Research since CCRA2 has highlighted various adaptation options and benefits, e.g., in Northern Ireland, recent research recommends that increasing abundance, diversity and care of tree standards in hedgerows would mitigate the impact of tree diseases on the ecosystem services provided by hedgerows on farmland (Spaans et al., 2018). 
Further research on the likely responses and resilience of native species and habitats to pest and pathogen risks, and adaptation options to manage these risks, will help inform suitable adaptation decisions. Further research on the implications of projected climate changes within the context of potential changes in trade and other drivers would help understand the primary drivers of future change and plan adaptations appropriately. In general, there is scope for more integrated cross-sector policy initiatives, e.g., across agriculture, forestry, natural environment and human health, to implement good practices and share tools and resources (HMG, 2019; Baylis, 2017).</t>
  </si>
  <si>
    <t xml:space="preserve">There is a strong economic case for greater Government intervention in research, monitoring, awareness raising and coordination of reactive response to potential and emerging threats (including invasive species) based on case study analysis of four major pests and pathogens Phytophthora ramorum, Ash dieback, Dothistroma Red needle blight and Septora, a winter wheat yellowing fungus (see Watkiss et al., 2019). Although this would require additional Government action, Watkiss et al. (2019) project that the economic benefits are high compared with the costs (at least 10:1). Given reasonable assumptions on the spread of these four diseases, they estimate the additional damage costs (2018 constant prices, discounted) from climate change by 2050 to be increasing by £67.5 million for Phytophthora ramorum, £178 to £596 million for Ash dieback, £300 million for Dothistroma and decreasing by £83 to 245 million for Septoria. 
There is a clear a role for public co-ordination of research, monitoring and surveillance. Previous analysis by SRUC (2013) has identified that investment in monitoring for pests has a high benefit-cost ratio of around 10:1. There are also clear benefits from Government investing in information about pests and pathogens – their spread, likely impacts, and treatment methods – as this information flow would not otherwise occur. Whilst a large proportion of the costs (or pests and pathogens) may be borne by private land-owners, public support is likely to be needed where there are local concentrations of economic activity that are threatened by the rapid spread of one of these pathogens in an area (to reduce the much larger costs once pests and pathogens become established). This economic argument is strengthened by climate change because the future nature of the threats will be less understood by private actors’ past experience. </t>
  </si>
  <si>
    <t>N03</t>
  </si>
  <si>
    <t xml:space="preserve">At the time of writing, it is not possible to assess the extent of the impact that many new strategies and policy initiatives will have on adaptation, but they have the potential to be important in terms of habitat creation, restoration and connectivity.  This may be further enhanced by carbon offsetting and government funding in support of Net Zero, such as through the Nature for Climate Fund.  There are, however, risks, from intensive forestry and biofuel production if carbon sequestration alone is a driver.  A key adaptation action that would have benefits in the next five years is to ensure join up with Net Zero mitigation policies. Other possible funding opportunities include the Government’s Investment Readiness Fund (IRF) which will support the development of natural environment projects that can generate revenue from ecosystem services and attract repayable investment but could include nature-based solutions for climate adaptation and mitigation. </t>
  </si>
  <si>
    <t xml:space="preserve">As highlighted above, the potential size of the opportunities involved are not well characterised, and this makes it difficult to assess the potential costs and benefits of adaptation: a low regret option would therefore be to investigate these potential opportunities, and to consider what steps might be needed to help realise the most important. </t>
  </si>
  <si>
    <t>N04</t>
  </si>
  <si>
    <t xml:space="preserve">It has been recognised by several of the studies cited above that further progress in addressing this risk requires an integrated land use policy linking agricultural and forestry productivity with measures that improve soil health and resilience based upon good knowledge of the potential of different soil types and their key functions. The basis for such a response can be recognised in current developments such as ELM in England, the Land Use Strategy for Scotland, the SPEP and CSCP initiatives in Wales, and the Sustainable Land Management Strategy for Northern Ireland. However, the evidence also indicates that having a primary objective to bring soils into sustainable condition in the next decade requires that these policy developments should be also expanded to include further integration of adaptation and mitigation strategies based upon long-term planning, including for ambitious land use policies such as woodland expansion and new bioenergy crops, based upon local soil properties. This would also require improved support for land managers in terms of access to benchmarking data and advice how to improve soil health outcomes consistent with improved use of public payments to soil health tracking and outcomes. With greater technical support to improve soil health, benefits could also be realised through improved connection of land managers back to their soil and therefore encourage more bottom-up adaptation initiatives based on different local contexts.   
This assessment has highlighted the need for more comprehensive soil monitoring to help better understand spatial and temporal variability in soil properties and process in the context of both climate and non-climate drivers. For example, complete GPS soil sampling and analysis in fields at 2ha intervals has been suggested for Northern Ireland (Sustainable Agricultural Land Management Strategy) whereas in Scotland, there has been consideration of comprehensive sampling on a per field basis. In conjunction, successful adaptation will require further development of appropriate indicator metrics based upon monitoring data to measure progress and inform policy, define regulatory requirements and engage with land managers and other stakeholders. Although soil quality indicators are often proposed to assess the delivery of soil ecosystem services, more research is required to better understand the most appropriate suite of indicators and to identify baseline and target levels for use in regulation. Indicators also need to be able to be measured regularly and efficiently in the field without recourse to more detailed lab analysis, but this can be difficult because of the need for standardisation and consistency of procedures. For example, for physical properties, six soil indicators have been proposed that have high relevance for assessing soil functions and policy progress: packing density, soil water retention characteristics, aggregate stability, rate of erosion, depth of soil and soil sealing (Constanje et al., 2017). For ecological indicators, high-resolution and molecular tools needed to investigate soil biodiversity and function have only recently been developed, and harmonized static datasets are just emerging, but further development is required to derive time-series data (Guerra et al., 2021). 
As further discussed in Risk N6, amongst the prospective suite of land management innovations that may have considerable benefits for soil protection in the next five years is development and increased uptake of precision farming technology, which can also link climate-smart adaptation actions on the ground with the Net Zero agenda. With further advances in climate services, including seasonal forecasting, as applied to agroclimate metrics (or equivalent for other land uses such as forestry), land management practices may be scheduled and targeted to avoid soil degradation at critical times, as notably occurs for soil compaction during wetter periods. Research has shown that avoidance of soil compaction is likely to be a much more effective strategy than approaches that attempt to remediate compaction damage after it has occurred, such as by subsoiling operations (Chamen et al., 2015). Similarly, the advantages of no-till management systems in terms of both climate adaptation and mitigation require further trialling and policy support based upon recent evidence of multiple benefits including prevention of soil erosion, enhanced earthworm activity, and improved water infiltration, in addition to reduced costs and labour requirement (Cooper et al., 2021). However, support for such strategies may require additional spatial targeting to be consistent with local variations in soil properties, hence the added value of integrating with improved soil monitoring.
A particular adaptation challenge can be identified in terms of improved risk management for spoil tips and contaminated land, and this issue requires further emphasis. A variety of engineering solutions may be applied (e.g., improved drainage of spoil heaps to avoid soil saturation) but there is also further scope for use of nature-based solutions such as phytoremediation and tree-planting to enhance slope stability, although these will take time and they require a more proactive rather than reactive approach. </t>
  </si>
  <si>
    <t>Research is now increasingly available on the cost effectiveness of different soil protection measures, which can be applied for assessing adaptation actions, although the distinctive properties of UK soils require that analysis is not simply transferred from other countries but is instead developed through a procedure that is consistent with the UK context. 
Investments in soil monitoring would seem a low-regret adaptation and a necessary precursor for subsequent improvements. As discussed in more detail for Risk N6, further investment in climate services (seasonal forecasting etc.) for agriculture and forestry, in conjunction with technological advances (e.g., precision agriculture) and improved management practices may have considerable benefits in averting and redressing many of the current negative outcomes for soils.
Economic analysis of soil protection and climate-smart agriculture generally indicates positive economic returns, although financial returns from a farmer’s perspective rather than societal perspective may be limited or take longer to accrue and include non-market or off-site benefits (Kuhlman et al., 2010; Watkiss et al., 2019), indicating also the key role of policy support.  For individual practices, measures are often highly site-specific, as reflected in large benefit-cost ratios for similar interventions in different places, and evidence on these practices as viable standalone adaptation strategies remains limited and sometimes contradictory depending on assumptions (e.g., relationship with other measures) and context.  Posthumus et al. (2015), using an ecosystem services valuation approach, found that for soil erosion, use of tramline management, mulching, buffer strips, high-density planting and sediment traps were the most cost-effective control measures, with contour ploughing also cost-effective in some circumstances. However, the study also noted that assessments of effectiveness really need to be made at farm level or field level, because of the wide variation in biophysical and land use contexts, emphasising again the key role of outreach and guidance in stimulating proactive adaptation actions on the ground.
Previous analysis for CCRA1 and CCRA2 (Frontier Economics, 2011; SRUC, 2013) found uptake in the UK farming community and knowledge of the benefits for such measures was relatively low. For example, adaptations analysed by SRUC (2013) (with one exception, for cover crops) generated positive NPVs. These did not require long lead times and had positive ancillary benefits, but the study still identified the challenge would be to encourage farmers to adopt them. All of this suggests that while sustainable soil management approaches have potential for reducing climate impacts, their uptake requires these barriers to be addressed, and may need a combination of awareness and incentives to realise (Watkiss et al., 2019) though there are obvious opportunities to provide additional incentives through revision of the current farm payment schemes.  There is considerable work also happening on soil management as linked with Net Zero pathways and it would therefore obviously be beneficial to increasingly link adaptation assessments with that research.</t>
  </si>
  <si>
    <t>N05</t>
  </si>
  <si>
    <t>Achieving Net Zero across the UK assumes major changes in carbon stocks achieved through afforestation and peatland restoration, although the locations for these are not yet specified in policy. As identified above, climate change brings both risks and opportunities for both peatland and woodland, together with other C stocks, and these have a strong spatial dimension. This indicates that a more spatially-targeted strategy for land use change initiatives is highly likely to deliver greater benefits for net GHG balance than an untargeted approach. For example, peatland restoration in areas that will continue to have a cooler, wetter climate and avoiding afforestation with exotic conifers on wetter organic soils (which will require artificial drainage) or afforestation on drier drought-prone soils would help to maximise carbon gains in the required timeframe.
Similarly, improved targeting of appropriate land management schemes based upon their applicability across the wider range of soil types and climate parameters would seem to provide considerable advantages for soil carbon gains. For example, recent research has identified that no-till management systems can provide significant benefits for enhanced soil carbon storage, in addition to other benefits (soil quality, water quality, biodiversity etc.), although with notable spatial variability (partly related to climate factors) compared to conventional tillage (Cooper et al., 2021).  
To realise these opportunities and minimise risks will also require improved data on changes in carbon stocks, especially in soils, as achieved through enhanced monitoring across diverse land use, management and climate combinations; carbon certification schemes may be valuable in providing some of these data as associated with the Woodland Carbon Code and Peatland Code. There are also likely to be substantial gains both for adaptation and mitigation through improved agricultural N-use efficiency and avoided air (N2O, NH3) and water pollution (NO3) as recently summarised through indicative analysis for the CCC (2020) Land Use Report. 
In addition to enhanced adoption of agroecological approaches (e.g., cover crops; no till; regenerative grazing systems) and improved scheduling of land management activities to avoid disruption to soil carbon stocks, proactive adaptation measures can also take advantage of technological innovations, such as occurring through ‘precision farming’, to enable better targeting of management activities (Risk N6). Further development of integrated adaptation/mitigation initiatives will also require improved support and outreach for land managers in order to further encourage uptake and knowledge exchange on good management practice. Initiatives such as the Farm Advisory Services for each country and ‘Farming for a Better Climate’ in Scotland provide pathways to take forward this joint adaptation and mitigation approach.
Benefits would also be achieved by improved assessment and integration of Blue Carbon into initiatives for coasts and marine environments, notably for managed coastal realignment and restoration of intertidal areas and seagrass beds. Increased use of natural adaptation solutions would have co-benefits beyond carbon storage, including alleviation of coastal flooding/erosion risks (see Risk N17) and as a nursery habitat for marine biodiversity (see N14 and N15). Analysis by Luisetti et al. (2019), comparing different managements scenarios over the next few decades, has indicated that conservation of coastal and marine habitats is the best option in terms of net carbon storage gains, but that restoration can also be cost-effective although in this case with more complex trade-offs against other policy objectives.</t>
  </si>
  <si>
    <t>Evans et al. (2017) estimate current annual emissions for English peatlands as around 11mt CO2e (other studies given different estimates but around the same order of magnitude). If published non-traded central carbon values and the standard 3.5% discount rate are applied to these, the implied Present Value damage costs up to 2040 are around £13.7bn without further degradation.
Restoration is a low regret action for degraded peatlands (CCC, 2013), with early action having short-term benefits as well as longer-term resilience to climate change.  Moreover, early action is desirable given that restoration to a near-natural, fully-functional state can take decades or longer and that restoration costs increase with the degree of degradation faced. There has been some analysis on the costs and benefits of restoring peatlands and enhancing carbon storage (Moxey and Moran, 2014; Bright, 2019, Watkiss et al., 2019), which indicate that restoration is generally worthwhile in most (but not all) cases, for both upland and even lowland peatlands, especially if a broader range of ecosystem services are included (Glenk and Martin-Ortega, 2018).  However, these assessments are largely yet to include climate risks and the need for adaptation in achieving these objectives, and also the timing of costs and benefits.  In particular, capital investment costs are incurred upfront whilst benefits accumulate more slowly over time (as do any opportunity costs).  This makes the choice regarding both the time period over which comparisons are made, and the discount rate by which future costs and benefits are translated to an equivalent Present Value, important. Information does indicate that reliance on voluntary enrolment (rather than regulatory obligations) is likely to limit restoration, because of necessary capital investments but also interactions with (especially) agricultural policy support and market returns (the latter gives rise to high opportunity costs for productive lowland sites) and suggests further action will need incentives. 
Economic assessment of carbon storage and GHG issues for other soils, and for the marine sector (wetlands and blue carbon) as a whole remains less available. Forestry is discussed in Risk N6.</t>
  </si>
  <si>
    <t>N06</t>
  </si>
  <si>
    <t>Different types of benefits from further actions are summarised below:
3.7.3.1 Skills, training and knowledge (N6)
CCC (2020) identified that government should develop an effective strategy to address the historical productivity gap in UK agriculture including: skills, training and knowledge exchange; rural infrastructure and connectivity; and delivering R&amp;D at farm level. The shortfall identified in this CCRA report provides further support for such a development. A major impetus for this strategy should be to better link adaptation and mitigation across the land use sector as a whole including combined pathway(s) to achieve the 2045/2050 Net Zero outcome whilst also delivering on sustainable production and environmental quality goals. There should also be considerable benefits from extending such a strategy across the land use sector as a whole, and especially in integrating developments in both agriculture and forestry together more effectively, both for production and wider environmental goals. 
3.7.3.2 Managing synergies and trade-offs between climate change mitigation and adaptation (N6)
From an adaptation perspective, managing risk and uncertainty suggests the need for increased diversity in cropping systems and across different land uses which may conflict with the assumed land optimisation agenda for Net Zero. However, there are also considerable synergies that can be delivered in improved use and management of land to deliver combined production and Net Zero goals whilst also aiming to avoid negative externalities (e.g., low carbon farming; improved N-use efficiency; enhanced soil quality measures; water resources and flood management). A notable example would be schemes to increase uptake of N-fixing crops and forages, both in arable crop rotations and in permanent pastures, as supported by knowledge exchange and guidance on the combined adaptation/mitigation benefits. Another example would be increased adoption of schemes to improve soil quality, including use of no-till farming to enhance soil carbon and provide benefits (Cooper et al., 2021), and measures to avoid soil compaction (Chamen et al., 2015), both of which have been shown to have co-benefits for maintaining yields and productivity over the longer term.
The CCC (2020) Net Zero pathways identify the need to sustainably increase crop productivity and livestock grazing intensity in order to make additional space for woodland expansion and bioenergy crops on former agricultural land. The challenge is therefore how to achieve this in a changing climate on suitable land that does not introduce additional risks.  For example, the CCC (2020) Net Zero balanced scenario assumes that average planting rates of miscanthus, short rotation coppice and short rotation forestry scale up to 23,000 hectares per year from the mid-2020s. Currently perennial energy crops made up just 0.2% of UK arable areas, while short rotation forestry (SRF) for bioenergy is virtually non-existent. This therefore implies major land use change over a few years and at a scale not previously seen in Britain on this timescale, and to meet sustainability criteria will require investment in a much stronger evidence base to ensure that it is consistent with the changing climate risks described in this CCRA.
An alternative approach to reach Net Zero has been outlined by the Food, Farming and Countryside Commission (2021) based upon agroecological principles and a return to mixed farming systems (cropping, livestock and agroforestry) throughout the UK. It would also involve re-establishment of more arable in the western UK regions and more pasture in the east.  This strategic vision also remains largely untested from a climate change adaptation perspective, notably the implications from expected lower and less volatile annual crop yields and putative advantages for biodiversity, soil and water quality, and landscape character etc. Important insights may therefore be obtained by contrasting this approach with the CCC (2020) Net Zero pathways, especially across scales, regarding transition to an integrated spatial strategy to maximise delivery of Net Zero together with adaptation outcomes.
The role of policy reform, including current developments such as ELM and equivalents in the DAs, will be crucial in maximising such synergies, especially with Net Zero objectives. This should therefore seek to avert the negative distorting effects that have occurred previously when goals have been defined in isolation without consideration of side-effects or local contexts. For example, the provision for local-scale and landscape-scale schemes in ELM can provide this framework, although presently details for their implementation remain to be established. In this context, a key component of policy reform will therefore be suitable indicators that provide a more holistic measure of desired land management outcomes as related to long-term sustainability.
3.7.3.3 Integrated soil and water management (N6)
A range of potential mechanisms have been identified that may allow adaptation of irrigation-fed farming (Rey et al., 2017), either to better manage demand through improved irrigation efficiency or prioritising high value crops, or to enhance supply such as by increased use of water storage. For example, a survey of 66 horticultural farms in England found that on average, water requirements could be reduced by 35% to achieve the same output (gross margin) (Gadankis et al., 2015). In addition, reform of regulatory arrangements such as water sharing and water trading with reallocation of unused licenses, can have beneficial outcomes, as has been further developed in other countries.
Furthermore, additional adaptation responses for addressing agricultural drought can include:
•	shifting to earlier planting to avoid coincidence of high drought risk with most sensitive growth stages.
•	selecting more drought tolerant crops and varieties, including those with deeper rooting characteristics or other advantageous traits.
•	enhanced soil management responses to enhance water retention such as reduced or no-tillage systems, or organic amendments, and enhanced infiltration.
There are likely to be considerable benefits from further trialling and implementation of such responses in drought-sensitive areas, including further refinement to match with local land use contexts.
For forestry, as discussed in further detail with regard to pests and pathogens in Risk N8, but equally applicable to drought risk, there may be important advantages from further consideration of schemes to enhance genetic adaptability of key species, in addition to species diversification (Whittet et al., 2019). This could include increased use of drought-resistant varieties (e.g., from warmer, more southerly locations) in the provenance of seed stock.
Improved awareness and understanding of adaptation options, which in the present situation and especially for agricultural shows a strong path dependency effect based upon continuation of past decisions, could be enhanced through improved availability and communication of monitoring (especially taking advantage of latest developments in remote sensing). This is especially applicable to soil moisture monitoring as the key variable linking drought and wetness risk to plant growth, together with further research to develop indices and indicators that can communicate changing risk levels to land managers in a practical context (Haro-Monteagudo et al., 2018; Parsons et al., 2019).
3.7.3.4 Flood risk management (N6)
The benefits of additional action over and above what is planned is shown by the Enhanced Adaptation option investigated by Sayers et al. (2020) which investigated further adaptation for flood risk management in the context of increased implementation of managed coastal realignment (MCR) and natural flood management (NFM). Managed realignment is one of four options available to coastal local authorities through Shoreline Management Plans (SMPs) to manage local circumstances (see Risk N17).
As shown by Table 3.21, and by comparison against a continuation of existing adaptation (Table 3.19 above), it can be seen that although there is a small additional reduction in flood risk for some locations there are also anomalies where there is an increased area of existing high-quality land at risk which is due to the assumed implementation of MCR/NFM. This analysis is therefore beginning to highlight the complex adaptation trade-offs that will occur from loss of existing farmland and its production value when compared against the other benefits that may be gained from its strategic use to manage flood risk. In either case, it would generally be assumed that the most productive land (i.e., BMV or PAL) would be protected as a strategic resource unless prohibitively expensive to maintain an appropriate level of flood protection (which may include increased use of lesser quality of land elsewhere in the catchment or coastal zone as the flood alleviation zone). 
Table 3.21. Changes in land at significant risk of flooding (frequency of 1 in 75 year or greater) due to an extended ambition for adaptation policies (i) coastal (ii) fluvial. Source: Sayers et al., (2020) 
Partnership funding schemes now aim to take loss of agricultural production into their calculations. In England, the new government flood and coastal erosion risk management policy statement and associated National Flood and Coastal Erosion Management Strategy, both published in 2020 represent an enhanced adaptation commitment. Analysis has not yet indicated how the level of risk management compare with the Enhanced Adaptation option in the Sayers et al. (2020) study which used a different set of assumptions than those set out in the new policy statement and management strategy for England. 
3.7.3.5 Encouraging innovation and diversification (N6)
As recognised in section 3.7.2.5, there are also underlying socioeconomic barriers to be addressed in order to facilitate a more proactive and integrated approach to adaptation decision making amongst land managers, including security of land tenure, access to new technology, and divergent cultures between agriculture and forestry interests. This may require new approaches to risk sharing and further schemes to encourage innovation, including new enterprises and entrants. In addition, the identified challenges for production identify an increased need to establish more resilient supply chains, and especially to maximise enhanced opportunities for local food production including potentially new or novel crops for specific locations (see also Risk N9).
Analysis in forestry has shown the type of management strategy can have a strong influence on the future provision of forest ecosystem goods and services (timber production, standing biomass, and biodiversity index: Ray et al., 2019). This analysis investigated alternative diversification and prioritisation strategies to business as usual, including different species and silviculture systems (increased short-rotation forestry or continuous cover forestry etc.) based upon relationship to a single climate projection from the HadRM3 climate model ensemble that was assumed equivalent to the RCP4.5 scenario. Dothistroma needle blight could reduce standing biomass (by up to 3 t/ha) and timber volume (by up to 5 m3/ha) dependent on management system. Diversifications, as represented notably by a broadleaved species management priority or other ‘selected species’ priority, were shown to improve standing biomass and biodiversity, but slightly reduce timber volume in all scenarios. In some key locations, such as North Highland and Moray &amp; Aberdeen, changes in species selection and silvicultural management could improve biomass provision, timber production, and biodiversity whilst reducing Dothistroma risk, potentially providing a win-win outcome.
A key challenge, especially for agriculture and horticulture, is that climate change inevitably will involve increased unpredictability of risk, even with ongoing improvements in forecasting systems. However, although farm and land use diversification provide a means to accommodate this unpredictability, this potentially has a trade-off with economic performance and is counter to trends towards farm specialisation over recent decades. Diversification would therefore require policy support, including options based upon grants, tax breaks, legislative enablers, and mechanisms for collective action, in order to enhance adaptive capacity for this trajectory.
3.7.3.6 Research (N6)
There are also important evidence gaps for this risk topic and addressing these would also improve targeting of adaptation measures based upon key climate sensitivities. These knowledge gaps remain especially notable for grassland and livestock systems where, despite recent improvements, evidence is still somewhat limited regarding linkages between impacts and adaptation responses across the wide diversity of livestock systems that occur throughout the UK. General reviews of evidence (e.g. Rojas-Downing et al., 2017; Wreford and Topp, 2020) have highlighted a range of adaptation options, included improved grazing management (timing, plant species etc.), genetic improvements, nutritional and diet management, infrastructure changes, and enhanced responses to pests and pathogens (see also Risk N7), but these need further refinement in the UK context and also to take better account of concurrent activities to improve the efficiency of livestock production to meet Net Zero targets.
In addition, although ‘sustainable intensification’ is an important focus of current research agendas, there is presently limited inclusion of adaptation in these programmes.  In this context, evidence suggesting that landscape configuration, especially inclusion of semi-natural habitats together with farmland, has benefits for yield stability (Pywell et al., 2015; Redhead et al., 2021), deserves further detailed investigation in a range of different contexts as a prospective key adaptation strategy.
3.7.3.7 Coordination (N6)
As identified above, risks and opportunities for agricultural and forestry productivity have important interactions with other CCRA chapters and show the potentially pivotal importance of this issue for rural communities.  This identifies the need for better coordinated actions between government and the land use sector in terms of both enhanced productivity but also protection of natural resources (water, soil, biodiversity, land etc.) on which productivity depends. In terms of adaptation planning, there are critical decisions to be made on the long-term sustainability of some types and modes of production in their current locations, and in some cases whether investment should be moved towards new areas that are likely to be more climate resilient in the longer term (especially on the context of water availability). This challenge emphasises the importance of also recognising that agriculture and forestry enterprises are businesses and that adaptation is also strongly dependent on key adaptation issues in a business context, such as access to capital (including government grants or subsidies), availability of new skills and knowledge, networking and business security (this will also involve further developments in associated initiatives, such as insurance (see Chapter 6: Surminski, 2021).</t>
  </si>
  <si>
    <t>There are a number of studies on costs and benefits of adaptation actions (Watkiss and Hunt, 2018), although their conclusions depend on the modelling approach (i.e., whether using farm level analysis, crop models, econometric analysis, or partial or general equilibrium models). Early studies using crop productivity models tend to identify increased use of irrigation and fertiliser to address changing yields, but rarely covered potential limits (e.g., water availability or implications of fertiliser use). Another series of models use partial or general equilibrium models to analysis adaptation options including trade, shifting crop types and land-use expansion. These highlight important issues of market driven adaptation, and that changes that occur from impacts in the UK need to be seen in the European and even global context.  Such studies (e.g., Hristov et al., 2020) report that large negative climate change impacts on productivity outside of the EU can lead to large market spill-over effects which could push up production in Northern Europe (including the UK, and assuming production capacity is available) as higher demand for some agricultural commodities outside of EU results in higher producer prices.
 At local level, economic studies have found a large number of no- and low-regret options including agronomic options such as changing sowing dates, planting new cultivars or varieties, or changing management practices (Watkiss and Hunt, 2018).  These are often already implemented as reactive or even planned measures by farmers as adjustments to weather and climate variability, however effectiveness is usually highly variable depending on the context for the measure and differs for crops and regions. As discussed in previous CCRAs, more strategic options that have good benefit to cost ratios include increasing water supply through on-farm storage reservoirs and incentivising efficient water management, the introduction and increasing expenditures on research and development (Wreford and Renwick, 2012: Moran et al., 2013; Frontier Economics, 2013). In addition, studies also support early options that focus on enhancing adaptive capacity through research, awareness, information provision, best practice and addressing barriers. This may be complemented by further investment in weather and climate services (seasonal forecasting etc.) to improve the quality of information on climate sensitivity and further support for technological developments, notably precision agriculture. 
In particular, and highlighting the risks transferred from the land use sector to biodiversity, soils and water (see Risks N1, N4, N11), there is enhanced policy interest in ‘climate-smart’ initiatives, although here additional policy support will likely be crucial, as through agri-environment scheme payments.  For agriculture, direct benefits from improved environmental protection for farm incomes (rather than society as a whole) generally take longer to accrue and include non-market and off-site benefits.  For individual practices, benefit to cost ratios are often highly site-specific, with varied evidence on practices as viable standalone adaptation strategies (e.g., Kuhlman et al., 2010).  Previous qualitative economic appraisal by Frontier Economics (2013) found UK farming uptake of soil protection measures was relatively low, partly influenced by awareness but also financial return. 
A report commissioned by the CCC from AECOM (2018) examined how taking a long-term approach to considering the risks from climate change, and anticipating land-use changes to manage these risks, could deliver net benefits in terms of the maintenance of natural capital and the services it provides. An 'adaptation pathways' approach was used to develop understanding of how the need for planned transformational change can be understood and analysed. Four case study locations were scoped for the research all of which had agriculture as a significant proportion of existing land use: Norfolk and Suffolk Broads; Somerset; the Petteril; and Moor House and Upper Teesdale. The case studies showed that in scenarios where future climate change presents a threat to current land uses, the use of adaptation pathways that consider land-use change in advance of the climate hazard event occurring deliver higher net benefits compared to waiting until the hazard has occurred. Assuming anticipatory action was taken, it was shown to hypothetically improve total net benefits over and above a business-as-usual scenario by between £2,500 per ha and £8,400 per ha across the four English case study locations analysed in report.
Posthumus et al. (2015), using an ecosystem services valuation approach, found that for soil erosion, use of tramline management, mulching, buffer strips, high-density planting and sediment traps were the most cost-effective control measures, with contour ploughing also cost-effective in some circumstances. However, as above, the study also found that assessments of effectiveness really need to be made at farm level or field level, because of the wide variation in biophysical and land use contexts, emphasising again the key role of outreach and guidance in stimulating proactive adaptation actions on the ground. SRUC (2013) for the CCC also looked at soil management, considering six adaptations on a number of different crops. Under these assumptions, all the adaptations analysed (with one exception, for cover crops) generated positive NPVs. These did not require long lead times and had positive ancillary benefits, but the study still identified the challenge would be to encourage farmers to adopt them. All of this suggests that while sustainable soil management approaches have potential for reducing climate impacts, their uptake requires these barriers to be addressed, and may need a combination of awareness and incentives to realise (Watkiss et al., 2019) though there are obvious opportunities to provide additional incentives through revision of the current farm payment schemes.
Livestock adaptation options have been evaluated by Dittrich et al. (2017). The costs involved in adapting the farming system range from simple low- or no-cost to those requiring large investments of capital and labour (Wreford et al., 2015; Wreford and Topp, 2020).  The lead-time and lifetime of that adaptation measure influence the choice of economic appraisal method used for the evaluation (Dittrich et al., 2017). In the case of short-term decisions that require a small investment or a reversible action, cost-benefit analysis (CBA) is appropriate.   On the other hand, projects that have a longer lead-time or long lifetimes require methods that incorporate uncertainty (Dittrich et al., 2017).  Thus, when farmers consider changing the composition of the dairy herd to maximise productivity and minimise stress, portfolio analysis, which evaluates several options in terms of herd structure, is appropriate. However, when the impact on the farmer relates to the frequency of extreme events, real option appraisal can be used as it allows for learning over time, and this method may be more suited to natural flood risk management measures to protect livestock and agricultural land, and housing to protect animals from heat.
Studies on adaptation costs and benefits in relation to sustainable forestry management investigate the challenges in making long-term decisions over individual or multiple rotation cycles. Increasingly these show the advantages from moving to a more diversified system rather than monocultures as developed in the past, as also consistent also with the general shift towards multifunctional forestry, including the increasing present and future threats from pests, pathogens and INNS (Risk N8) (e.g., Ray et al., 2019).</t>
  </si>
  <si>
    <t>N07</t>
  </si>
  <si>
    <t xml:space="preserve">For INNS, as shown by Figure 3.11 it is much more effective to prevent introduction and establishment rather than attempt to mitigate spread and resulting impacts. The same principles apply for averting introduction of problem pathogens.
Further assessment of climate factors in risk assessment would be beneficial in developing early warning systems. Quantitative analysis of climate change on crop pathogens remains limited (field, laboratory, or modelling studies). A more systematic programme of quantitative analysis is therefore required to inform development of disease management plans, such as plant breeding, altered planting schedules, chemical and biological control methods, and increased monitoring for new disease threats. Improved monitoring of pest and disease levels in UK crops and livestock could be used to provide more updated agronomic advice to growers, including best practice guidance on pest/pathogen biosecurity and management strategies. In addition, identification of plant and animal strains or breeds having greater natural resistance may be used in breeding programmes, including new assessments based upon genetic sequencing (e.g., late potato blight: Chen et al., 2018). Enhanced use of modelling studies is also likely to be advantageous in surveillance and control strategies. For example, for PCN risk (Section 3.8.1), Skelsey et al., (2018) found that soil infestation levels would have to be reduced by up to 40% in order to negate projected increases in risk. The same study identified that successful strategies to reduce future PCN risk were found to include advancing the start date of the growing season or modifying planting patterns.
Figure 3.11. The invasion curve for invasive species with control costs increasing as INNS become more widespread and abundant (source: Environment Audit Committee 2019, after US National Invasive Species Council)
Policy development following EU-Exit also creates an opportunity to further expand the uptake of IPM rather than rely on current voluntary uptake schemes, and to ensure that regulations adopt the principle of non-regression to ensure appropriate safeguards as risk factors change (e.g., international trade agreements). Increased support by government for IPM, including through a proposed National Action Plan, is very likely to be particularly useful in acting against excessive pesticide usage and its harmful side-effects for soil quality, water quality, and through pesticide resistance.
Further tightening plant health legislation in anticipation of increased risks is also likely to be required. The costs of tightening legislation could be i) a reduction in trade due to increased costs and ii) potential restrictions placed on exports from the UK by countries affected by the tightening of plant health legislation.
Evidence from this CCRA and in previous CCRAs suggests a greater priority be given to including climate change within risk assessments, and for this to be validated against changing distribution data for Europe and beyond, and where possible to be used to further investigate the efficacy of different control options. Following the Environment Audit Committee 2019 report, it is also suggested that a greater priority now be given also to a wider public engagement through citizen science initiatives to enhance surveillance. A positive example of this in practice has occurred through networks of bee-keepers to monitor Asian hornet risk (BeeBase, 2021).  </t>
  </si>
  <si>
    <t>Consistent with the discussion above, the economic case for further uptake of existing adaptation measures is sound, as evidenced by case study analysis on pests and pathogens (Watkiss et al., 2019): it is much more effective to prevent introduction and establishment rather than attempt to mitigate spread and resulting impacts. However, this additional uptake of measures has an associated resource cost. There is a clear role for public co-ordination of monitoring and surveillance. Previous analysis by SRUC (2013) has identified that investment in monitoring for pests has a high benefit-cost ratio of around 10:1. The Environmental Audit Committee (2019) identified that expenditure on GB biosecurity is ca. £220 million per year, but invasive species only receive 0.4% of that sum (£0.9m). There are also clear benefits from Government investing in information about pests and pathogens – their spread, likely impacts, and treatment methods – as this information flow would not otherwise occur. Whilst a large proportion of the costs (for pests and pathogens) may be borne by private land-owners, public support is likely to be needed where there are local concentrations of economic activity that are threatened by the rapid spread of one of these pathogens in an area (to reduce the much larger costs once pests and pathogens become established). This economic argument is strengthened by climate change risks because the future nature of threats will in many cases be distant from private actors’ past experience.</t>
  </si>
  <si>
    <t>N08</t>
  </si>
  <si>
    <t xml:space="preserve">As with risks N2 and N7, with which there are many commonalities, the need for cross-sectoral co-ordination and surveillance requires more action and research especially focussed on the following issues:
•	Surveillance and modelling for emerging risks.
•	Further modelling of risk reduction measures for pests, pathogens and INNS.
•	Further assessment of climate factors in risk assessment that would be beneficial in early warning.
•	Understanding current and future risk from non-native species vectors and pathogens.
•	Improved biosecurity, especially at ports of entry.
•	Changes to plant purchasing and sourcing practices to highlight importance of secure sources and provenance (e.g., certification). 
•	Increased emphasis on disease and pest resilience.
•	Further investigation of management initiatives to enhance resilience, such as diversification (see adaptation options investigated for forestry in Risk N6).
•	Improved understanding of current and future risk from non-native tree species used, or proposed, for enhanced production purposes.
The role of genetics may have an important role in developing improved resilience to pests and pathogens (Telford et al., 2015; Fady et al., 2016). This may include changes to the chosen provenance of tree planting stock (e.g., seed sourcing) based upon known resistant varieties and improved knowledge exchange with land managers on this topic, especially where the goals for forestry are multifunctional and not just related to production (Whittet et al., 2019).
</t>
  </si>
  <si>
    <t xml:space="preserve">The economic case for further uptake of existing adaptation measures is sound, as evidenced by the discussion above: it is much more effective to prevent introduction and establishment rather than attempt to mitigate spread and resulting impacts. Watkiss et al. (2019) explored the possible costs and benefits of adaptation for a number of forest pests and pathogens (once established). The analysis indicated that it is possible to manage changing pathogen risks, at least to some extent, using existing adaptation options. However, there are large resource costs associated. There are therefore benefits from further adaptation that avoids these risks.  This includes a key role for public co-ordination of monitoring and surveillance.
Previous analysis by SRUC (2013) has identified that investment in monitoring for pests has a high benefit-cost ratio of around 10:1. There are also clear benefits from Government investing in information about pests and pathogens – their spread, likely impacts, and treatment methods – as this information flow would not otherwise occur. Whilst a large proportion of the costs (for pests and pathogens) may be borne by private land-owners, public support is likely to be needed where there are local concentrations of economic activity that are threatened by the rapid spread of one of these pathogens in an area (to reduce the much larger costs once pests and pathogens become established, i.e., management plans and emergency response). This economic argument is strengthened by climate change, because the future nature of the threats will be less understood by private actors’ past experience.
Cost-benefit analysis of enhanced measures to address INNS are also discussed in Risk N7.
</t>
  </si>
  <si>
    <t>N09</t>
  </si>
  <si>
    <t>Currently crop breeding mainly focuses on yield and disease resistance and the multiple effects from climate change are not generally systematically considered, meaning there is a need for a more co-ordinated approach that includes both a wide range of potential future crop growth facilitators and stresses (e.g., disease, drought, heat, waterlogging etc.). More detailed scoping and investigation of opportunities is required that is also consistent with changing patterns of land capability and individual crop suitability across the UK. A major gap in knowledge and knowledge exchange appears to exist for opportunities for fruits, vegetables, and horticultural crops in a future climate, which would seem especially important because of the key role of these crops in human nutrition, including local availability and variety. Consumer surveys have suggested there is a significant unrealised demand for local produce, and more emphasis on new opportunities could have a key role in meeting that demand. As noted above, based upon the survey of non-traditional crops grown by smallholders in the Midlands (Kell et al., 2018), there are also important food-cultural interactions with growing diverse local crops that could be further supported. In addition, new opportunities related to inter-cropping and agro-forestry require further systematic investigation in relation to improved understanding of different combinations in a wide variety of contexts, and the existing barriers that prevent increased uptake.</t>
  </si>
  <si>
    <t xml:space="preserve">The analysis of the wine sector (Watkiss et al., 2019) found there were early low regret actions that could be introduced to increase the opportunity presented by a warming climate, as well as to reduce the risks associated with possible climate variability (particularly the risks to grape growth from cold snaps). The study also found a large number of no- or low-regret options from Europe for addressing climate variability that could be adopted in the UK (e.g., Neethling et al., 2016).  The research also undertook an initial analysis of the potential costs and benefits of additional early adaptation.  This indicated that under a scenario where wine growers were able to realise the benefits of climate change due to better information, and at the same time introduce adaptation measures to address potential variability risks, there would be very large economic benefits.  The consideration of similar opportunities is less well characterised, but similar activities should be included for further investigation. 
</t>
  </si>
  <si>
    <t>N10</t>
  </si>
  <si>
    <t>Increased pressure on aquifers at risk of saline intrusion from agricultural water demand could be alleviated by use of alternative water resources. For example, better storage and use of excess winter rainfall and other methods to maximise sustainable use of surface water resources (e.g., rainwater harvesting and on-farm reservoirs) could act to conserve groundwater resources at a sustainable level and mitigate against saline intrusion (although also noting that some surface water is essential for groundwater recharge). Policy guidance and water abstraction licensing arrangements would need further refinement to incentivise such arrangements as consistent with regular review of regulatory limits.
As the key climate change drivers for this risk are relative sea-level rise and seasonal precipitation regimes, this risk topic would be an appropriate one to further investigate through the operational use of adaptation pathways. This would require enhanced collation and use of knowledge on the relationship between climate change drivers and safe abstraction rates at specific locations. By identifying and defining trigger points in the existing policy review cycles, linked to both the rate of sea-level rise and the recharge rate of the vulnerable groundwater resource (as linked to changing precipitation patterns), different pathways for achieving sustainable abstraction could then be defined that better recognised future uncertainty.</t>
  </si>
  <si>
    <t>There are some studies which include the impacts (in economic terms) of climate change on saltwater intrusion (e.g., see Brown et al., 2011: Hinkel et al., 2014), but these tend to be aggregated alongside flood damages, and are low in comparison, and these studies do not assess the costs and benefits of adaptation for salt water intrusion. There are also some case studies, but these tend to focus on urban areas, where there are very high economic costs (from contamination) and thus very different benefit to cost ratios. There is therefore a low-regret action to investigate this impact further (i.e., the value of information relating to saltwater intrusion adaptation options for agricultural land), and a more iterative approach which includes monitoring is generally considered a low regret option.  There are examples of adaptation options to prevent vulnerable aquifers from saline intrusion, including saltwater intrusion barriers and freshwater injection (Zhu et al., 2010) and cost-benefit information exists for these measures from countries with greater saline intrusion problems. These generally show when aquifers are in use, measures have economic benefits when compared to subsequent water treatment and restoration costs after contamination occurs.</t>
  </si>
  <si>
    <t>N11</t>
  </si>
  <si>
    <t xml:space="preserve">A clear mechanism that accounts for the consequences of higher water temperature and drying up of water bodies in meeting the WFD targets (and whatever their successors will be across the UK) is still needed. In England, it has been suggested that there needs to be consideration of the ‘right’ enabling environment (regulatory framework) that would be required to ensure a well-adapted water sector (CCC, 2019c). New environmental land management schemes in the UK post-EU-exit are likely to include measures to reduce diffuse nutrient pollution. However, such adaptation options need to be clearly built into design and piloting. 
The effectiveness of a range of sustainable measures to increase ecological resilience through enhancing riparian habitat, providing a more heterogeneous channel bed morphology or creating a range of refugia for freshwater organisms during low flows has been modelled (EA, 2016). The results can point to future possible adaptation measures. It was found that assisted natural recovery was successful in restoring hydromorphological processes, thus enhancing ecological resilience, and could be effective in wandering rivers (which alternate between single-channel and braided reaches). Weir removal could have a similar effect on processes and help in restoring longitudinal connectivity. This could also be achieved through reconnecting channels in active river systems. However, flood embankment removal in wandering rivers did not increase habitat provision under low flow conditions and re-meandering and increasing channel length within low energy systems is unlikely to increase ecological resilience under low flows, but is likely to be more effective in active channels. Natural recovery also was modelled as providing greater habitat quantity and quality than the control reach for brown trout in the River Wharfe, refugia might also be increased, but habitat quality could be slightly lower (EA, 2016). It has also been suggested that small, upstream waterbodies should be especially targeted for management, given their connectivity to the wider catchment, and therefore the potential for downstream effects of stressors acting in these ecosystems (Riley et al., 2018). 
</t>
  </si>
  <si>
    <t>There is information in general on the costs and benefits of RBMPs for England's water environment, as published in the Impact Assessment (Defra, 2015), which include the options discussed in the section above, i.e., on possible options that might have high relevance for addressing increasing climate related risks. There is also some information published by the EA (2019d) as part of consultation, which highlights the need for an adaptive management approach to enhance the resilience of RBM plans.  Similar information covering other parts of the UK has not been identified as yet.</t>
  </si>
  <si>
    <t>N12</t>
  </si>
  <si>
    <t xml:space="preserve">The risks are not likely to decrease in the next five years and, given the environmental and economic benefits of taking early action on eradicating or controlling pests, pathogens and INNS, increasing monitoring and surveillance would be beneficial (CCC, 2019b).  
</t>
  </si>
  <si>
    <t>As highlighted by the numbers above, once freshwater INNS become established, damage costs can be high, as can annual control costs. There is therefore an economic case for further uptake of existing adaptation measures to prevent introduction and establishment, rather than attempt to mitigate spread and address impacts. One issue is to know where to focus such efforts: Gallardo and Aldridge (2020) undertook an example to prioritise risks (using cost-effectiveness for the prioritisation) identifying eleven invasive species that are most likely to cause disruption to the abstraction and distribution of water companies in the UK under climate change. There is also general information on the costs and benefits of River Basin Management Plans for England's water environment, as published in the Impact Assessment (Defra, 2015) and these include potential options for preventing the spread of INNS.  These include biosecurity measures, monitoring, enforcing legislation banning or restricting the possession, sale and release of certain species, support for further research aimed at developing effective eradication methods and rapid response for early invasion. These actions are collectively shown to be economically efficient, i.e., benefits outweigh costs.</t>
  </si>
  <si>
    <t>N13</t>
  </si>
  <si>
    <t>Maintaining current adaptation as detailed in Risk N11 is in our view sufficient at the moment, unless there is a desire to promote any particular opportunities, such as the arrival of rare and/or iconic species, in which case specific actions might be needed in the next five years.</t>
  </si>
  <si>
    <t xml:space="preserve">Given the sustain current action urgency score (Table 3.45), there is no analysis of the costs and benefits of additional adaptation action.  </t>
  </si>
  <si>
    <t>N14</t>
  </si>
  <si>
    <t xml:space="preserve">Although adaptation objectives are sound in principle, including recognition of the need for a shift towards ecosystem-based management, our assessment is that they are also rather general and require both more expeditious implementation of current actions and additional initiatives to manage more effectively changes in risk. These issues are especially relevant for actions that seek to enhance natural adaptation in ecosystems because the scope for human intervention is usually more restricted in the marine environment (including schemes such as species relocation that are employed in terrestrial/freshwater environments). A priority should therefore be actions that reduce other environmental stressors, including pollution and overfishing, as recognised by MPAs and recent proposals to designate Highly Protected Marine Areas (HPMAs – see Benyon et al. 2020), and to enhance both their individual and collective (network) functionality through improved incorporation of clear objectives for climate change adaptation. New approaches to test application of these principles in practice are now being trialled, including the Defra marine pioneer case studies (North Devon and Suffolk), which have provided innovative suggestions for enhancing the marine environment (MMO, 2021) and through which ecosystem-based adaptation could be further incorporated.
In fisheries, much could be further accomplished by better implementation of existing measures through improved management and institutional arrangements (policy; legal; fisheries planning; conservation objectives; risk preparedness) (Poulain et al., 2018; Gaines et al., 2018). Diversification into new species and avoidance of negative by-catch losses will require gear and catch-method innovations, including new information-sharing networks to better target new species and avoid other species, particularly in mixed stocks with changing composition. This is likely to require further realignment of incentives to support sustainable fishing, including through further development of Ecosystem-based Management (EBM) for which a range of practical approaches have now been investigated in different contexts (e.g. Borja et al., 2016). Pressure on existing stocks may also be alleviated by schemes to encourage the UK public to diversify their choice of fish beyond a few familiar species (notably cod and haddock) and through further development of certification schemes to indicate sourcing from sustainable sources (e.g. Marine Stewardship Council standard: MSC, 2020).
Enhanced proactive adaptation also requires establishing a sounder conceptual and management basis for key indicators such as ‘maximum sustainable yields’ (MSY) in the context of both short-term climate variability and longer-term climate change, including anticipatory application to new species in UK or international waters. In addition, MSY needs to be better framed within the context of ecosystem-based management (EBM), rather than individual species-specific targets in isolation, recognising also habitat needed for both the stock fish and other interdependent species to function. Nevertheless, it also needs to be recognised that the complexities of EBM may necessitate long lead-times for implementation, and that effective management of stocks also will require continued and probably enhanced international cooperation.
Improvements in adaptation for both biodiversity and fisheries are also strongly linked to better monitoring of ecological changes and their relationship with the physical environment (Mieszkowska et al., 2014). Long-term assessment of ecosystem restoration projects is essential but complex because ecological processes such as succession act to alter the consequences of restoration through time, particularly in highly dynamic ecosystems (Boerema et al., 2016). Monitoring is very likely to benefit increasingly from enhanced use of remote sensing and its use in combination with other observations to establish improved time series and spatial data. A further benefit from monitoring is likely to be better use of forecasting systems to understand and predict variability over different timescales, from seasonal to multi-annual, and hence their use in both fisheries and biodiversity management (e.g. for setting fishing quotas). </t>
  </si>
  <si>
    <t xml:space="preserve">There is more information emerging internationally on adaptation options for fisheries (Poulain et al., 2018), although most of these are extensions of existing actions including institutional adaptation (policy, legal, fisheries management and planning [including conservation and protection]), diversification (within and between the sector), risk preparedness and reduction.  There is also information on the costs and benefits of these options (FAO, 2019).  One study, Jones et al. (2015), identifies the net economic benefits of UK fishing fleets adjusting to the shifting fish stocks. It finds that net present value would fall in the situation where the fishing areas allowed under the Exclusive Economic Zone (EEZ) were retained as currently drawn. The study calls for investment into adaptive capacity within the industry. Watkiss et al. (2019) made an initial assessment of potential costs and benefits of some adaptation options for UK fisheries. They identified the potential benefits of an adaptive management approach for the fisheries sector, with a scale up in monitoring, scientific information and awareness raising, subsequently including this information in regular updates of fisheries policy (e.g. to set maximum catch potential for current species, include new species in policy) alongside awareness raising in the fishing sector.  The Watkiss et al. (2019) study indicated that an adaptive management strategy would have positive benefit to cost ratios, through the value of information and enhanced decisions taken.  It also looked at the potential costs and benefits of increasing MPAs to improve the marine environment in the face of climate change (more marine areas – with full protection – to deliver the same level of ecosystem service function/benefit), drawing on the economic literature on MPAs (Heal and Rising, 2014; Kenter et al., 2013; eftec, 2014; European Commission, 2017). This indicated that there would be net economic benefits of additional MPAs. Finally, it considered the question of whether other options might be introduced to ensure maximum sustainable yields are maintained under climate change, or to consider stricter policies. This found such measures would involve complex issues because of trade-offs (i.e. between enhanced efficiency and effectiveness of the fishing industry, versus greater pressure on maximum sustainable yields). </t>
  </si>
  <si>
    <t>N15</t>
  </si>
  <si>
    <t>For marine biodiversity, there will be benefits from further investigation of new species in the context of changing species distributions, species interactions and habitat quality, especially in the context of the MPA network and therefore evidence-based recommendations for further development and enhancement of the network. As already highlighted (and also most notably for Risk N14), habitat condition is a crucial requirement to maximise new opportunities for biodiversity and current marine plans need to be further developed to recognise the key challenges for each priority habitat in the context of climate change adaptation, including their varying locations and viability as a coherent ecological network. Biogenic habitats are likely to be particularly important for realising opportunities due to their varied structure and habitat heterogeneity. These additional actions would also be consistent with further development of an ecosystems-based approach and a more systematic programme of research and monitoring that can facilitate an adaptive management approach that recognises the inevitable uncertainty and complexity in the marine environment. For fisheries, improved monitoring data would be beneficial on changing species movements and catches in order to better inform policy decisions on sustainable quotas for new species.</t>
  </si>
  <si>
    <t xml:space="preserve">Many of the same options as identified for the risks to marine species and fisheries (risk N14) are also relevant for this opportunity, for realising the potential economic benefits.  This includes capacity building in the industry, and the switch to an adaptive management approach for the fisheries sector, with a scale up in monitoring, scientific information and awareness raising, subsequently including this information in regular updates of fisheries policy (e.g. to set maximum catch potential for current species, include new species in policy) alongside awareness raising in the fishing sector.  The CCC outcomes study (Watkiss et al., 2019) assessed that such an adaptive management strategy would have positive benefit to cost ratios, through the value of information and enhanced decisions taken. It is highlighted that there is a role for government in awareness raising for the fishing sector and for consumers, and enhanced monitoring of new species will require action by the public sector. Previous studies have also highlighted there is a need to target awareness and support in the fishing sector, to ensure opportunities are realised by small vessel operators, given their adaptive capacity will be lower (Frontier Economics, 2013). 
</t>
  </si>
  <si>
    <t>N16</t>
  </si>
  <si>
    <t>As identified above, pest species and INNS, once established, are very difficult and costly to eradicate in the marine environment. Similarly, for marine pathogens, land-based management methods that are currently employed of quarantining, culling, or vaccinating are not successful. This means that enhanced control measures through biosecurity regulations and best practice have the greatest benefits in reducing risk, complemented by improved forecasting of outbreaks to provide additional focus. Forecasting is also associated with requirements for strong systems of international monitoring and surveillance to provide updated data on problem species and pathogens. Improved data and forecasting capability would also allow further investigation of the role of climate-related parameters in risk assessment. Enhanced prevention through policy co-ordination will also be crucial, notably further steps to embed biosecurity in national and regional marine planning in relation to climate change, and also stronger incorporation of biosecurity planning as part of the consenting process for relevant marine sectors.
At a more local level, there are very likely to be benefits from enhanced engagement and knowledge exchange with community groups and practitioners. For example, NRW have developed collaboration with the Welsh Fishermen’s Organisation to record INNS.</t>
  </si>
  <si>
    <t>There is some information on control (adaptation) costs, which can be considered either an impact or reactive adaptation. These can involve high costs. For example, the Carpet Sea Squirt has spread to the UK and there have been a number of recent outbreaks in ports. Williams et al (2010) estimated the cost of eradication of the UK population from currently affected marinas at £2.4 million, but if this species spreads UK-wide, the overall cost of eradication could rise to £72 million. Hence, the total eradication cost would be very much higher. It should also be noted that these are cost-based measures so do not capture people’s willingness to pay to avoid marine INNS. More generally, this indicates that once established, managing invasives can be costly. Given that these may spread as a result of climate change, and the need for co-ordinated provision of information, there would seem to be a case for an expanded role for Government intervention to provide enhanced monitoring and surveillance and early response. Evidence on the economic justification for such a scale up is available for terrestrial invasives and suggests high benefit to cost ratios (Moran et al., 2013) and it is assumed similar ratios would be applicable for the marine environment.</t>
  </si>
  <si>
    <t>N17</t>
  </si>
  <si>
    <t>3.18.3.1 Nature-based Solutions (N17)
As highlighted above, the additional benefits of adaptation are strongly associated with further development of schemes to deliver a sustainable coastline throughout the UK, including through managed realignment as a form of nature-based solution. Additionally, allowing coastal evolution through a decision for ‘no active intervention’ may also enable a more sustainable outcome for the coastal zone. In some circumstances, it may be appropriate to integrate these nature-based responses with structural defences or soft-engineering responses (e.g., sediment nourishment) to combine protection of settlements and infrastructure with protection of the natural environment. The benefits of such actions should include improved recognition of the synergies achieved from restoring and protecting coastal habitats, both for their biodiversity value and for their ecosystem services, notably in providing additional resilience against flood and erosion hazards, and for carbon storage. Setting a clear target for priority habitat creation at national scale would be one policy mechanism to encourage further action, including also monitoring to ensure that good quality habitat is created. 
An indicative measure of extended adaptation ambition, including greater adoption of nature-based solutions, has been provided by the CCC Floods study (Sayers et al., 2020) in terms of the reduced flood risk for nature conservation assets (Table 3.60) which can be compared with existing adaptation (Table 3.58) or no further adaptation (Table 3.56). In this context ‘enhanced adaptation’ objectives were defined based upon specific assumptions linked to the scope for managed realignment (see Sayers et al., 2020 for a full description of this adaptation scenario), and following this rationale shows added adaptation benefits are especially realised for England with little difference for Scotland and Northern Ireland (although these country-level differences may also be an outcome of the project assumptions regarding the focus for enhanced adaptation which may be more applicable to some locations). Decisions are also more complex than this in reality because some coastal wetlands (or other habitats) may be able to accommodate additional coastal flooding whereas for others it may be detrimental, as influenced by key variables such as the extent and duration of saline inundation. In addition, if managed realignment is implemented to set back the defence line and maintain or enhance intertidal habitats then there could be additional benefits in terms of the additional flood and erosion protection provided by those habitats; for example, modelling analysis has indicated that for every kilometre of tidal flat (ranging from high marsh to bare tidal flat), coastal defences can be notionally lowered by 0.84 m–0.67 m when designing for a 1-in-200-year storm event (Zhang et al., 2021). Hence, further and more detailed investigation of these adaptation issues is therefore required to confirm the initial results of Sayers et al. (2020), including against a wider range of assumptions and scenarios, and for England the enhanced adaptation commitment implied by the National Flood and Coastal Erosion Management Strategy (EA, 2020; HM Government, 2020).
Table 3.60 Change in nature conservation assets at significant risk of coastal flooding (frequency of 1-in-75-year or greater) for the 4 nations assuming an extended level of adaptation (Sayers et al., 2020).
3.18.3.2 Habitat Creation Opportunities (N17)
To help achieve a higher of ambition for adaptation of coastal habitats and species requires a more detailed systematic survey of habitat opportunities across the UK to update the existing, mainly smaller-scale surveys. In terms of indicative potential, a recent high-level study (Miles and Richardson, 2018) identified 34250 ha of potential intertidal habitat opportunity for the UK, including at priority level 52 potential projects which could contributing 13450 ha of habitat. Obviously, further work is necessary to cross-validate such estimates for their robustness using more detailed source data (e.g. high-resolution topographic data is known to make a substantial difference for low-lying coasts) and against future climate change projections (notably for sea-level rise). In addition, more consistent and robust approaches to record habitat losses and gains are required (including all priority habitats and not confined to designated areas). In England, a broad-scale assessment of potential restoration/re-creation sites for intertidal habitat has been developed, which could also provide a basis for more detailed appraisal and implementation at local level (MMO, 2019).
3.18.3.3 Integrated Approaches to SMPs and other Plans (N17)
This information also needs to be integrated with current activities to refine and update SMPs (including the SMP Refresh) in order that habitat protection and creation is factored into long-term strategic decision-making. This integration would also be further strengthened by stronger and consistent linkages between SMPs and Flood Risk Management Plans so that the interaction between erosion and flooding hazards are better managed together. 
In England, there is a relevant commitment in the new government flood risk policy statement to reform local flood and coastal erosion planning by 2026. It has been suggested through feedback into the CCRA that the wording in both the Flood and Water Management Act 2010 and the Coast Protection Act 1949 (CPA) require adjustment to take into account the need for an integrated approach in the light of climate change impacts. Similar policy adjustments have also been identified for the DAs. Whilst we recognise that current policy developments aspire to deliver a more integrated approach to coastal management, it is not clear how this will overcome the considerable existing barriers identified above, especially when integrating across scales between local, regional and national objectives, and specifically for more sustainable outcomes for the natural environment. In this context, the key transformation challenge remains as policy implementation for a sustainable coastal zone rather than developing high-level policy guidance.
3.18.3.4 Monitoring Programmes (N17)
Adaptation would also strongly benefit from continuing and improved coastal monitoring programmes. A shift away from a reliance on hard engineering towards soft interventions, including nature-based solutions, would be reliant on such complementary monitoring initiatives for success. A third phase of the National Network of Regional Coastal Monitoring Programmes is now in progress including asset monitoring for the next 6 years, and there are plans in England for a second national saltmarsh survey. Improved monitoring could also be achieved through increased support for Coastal Observatories (currently 6 regional programmes in England and Wales) including complementary initiatives in Scotland and Northern Ireland.
As recognised by the Dynamic Coast project in Scotland, an upgrade in data quality to 3D time series would provide a step change in understanding the local coastal sediment budget and, crucially, identify areas of sediment loss and gains. This would require whole-coast acquisition of regularly updated 3D time series data of habitat and landform change (e.g., via airborne LiDAR) and better availability of bathymetry and wave data. Further benefits would also be achieved through consistent development of national datasets for natural and artificial coastal flood/erosion defence structures across the UK and for improved understanding and consistent use of coastal sediment budgets in SMPs.
3.18.3.5 Adaptive Management and Adaptation Pathways Approaches (N17)
Ultimately, the strategic direction of SMPs and other coastal plans need to be refined to recognise that future climate change and rates of sea-level rise are inherently uncertain, and hence that flood and erosion management would benefit from an approach that defines multiple adaptation pathways, with the preferred option then related to the magnitude of climate change. The added value of improved monitoring here would be to help steer the right path for shoreline management planning and managed realignment policies based upon up-to-date data. The policy process is beginning to recognise the importance of this adaptability for coastal zone management, but at present, with the exception of very specific examples (e.g., the Thames Estuary 2100 project), there is a lack of examples that we have seen of pathways feeding into strategic coastal plans and of how target outcomes (e.g., habitat creation targets) would be redefined across multiple pathways.</t>
  </si>
  <si>
    <t xml:space="preserve">There are some studies which include the impacts (in economic terms) of climate change on some coastal habits notably wetlands (e.g., see Brown et al., 2011: Schuerch et al., 2018), but these studies do not assess the costs and benefits of adaptation.  There are also studies that look at the role of coastal ecosystems for ecosystem-based adaptation, with analysis of costs, cost-effectiveness analysis and cost benefit analysis (Narayan et al. 2016: ECONADAPT, 2017: McVittie et al., 2017). However, there is much less information on the costs and benefits of helping coastal species adapt, and there may also be trade-offs with measures to protect the built environment having consequences on species (coastal squeeze). Early low-regret options tend to focus on improved information and monitoring, but there are other measures including possible reinforcement or enlargement of existing measures, e.g., protected areas, buffer zones, as well as restoration of areas or managed realignment, and there are some estimates of restoration costs from previous projects. </t>
  </si>
  <si>
    <t>N18</t>
  </si>
  <si>
    <t>Improved collaboration between local and national government in developing a cross-scale planning framework for LSCA that integrates climate change responses (adaptation and mitigation) would be advantageous, as demonstrated by LANDMAP and related projects in Wales. This should also be linked with developments by NGOs and other pioneering organisations. Monitoring is an essential part of the management process to trigger evidence-based interventions. Landscapes also vary strongly in terms of their level of human management, from wild land which may be close to a pristine natural environment to designed landscapes which have been heavily modified and managed to enhance their cultural heritage. It is possible that some designed landscapes (e.g., parks), which are carefully managed, may be used as a controlled environment to test the climate resilience of different species and habitats under different types of management intervention. By contrast, wild land would be more representative of uncontrolled management with a minimum of human intervention. However, many other landscapes would then fall somewhere in the spectrum between these two extremes. 
Further investigation of public perceptions is required. Use of ‘landscape narratives’ may be a useful process to better understand different perception of change to help reveal underlying understandings of nature, climate and human-environment relationships together with how this helps people rationalise different adaptation options (e.g., Köpsel et al., 2017).</t>
  </si>
  <si>
    <t>This is a very large risk and opportunity, and it is difficult to cover the costs and benefits of adaptation without more detailed and disaggregated analysis. Furthermore, there is very limited published evidence on costs and benefits for this topic. In general terms, enhanced monitoring would be a low-regret option, especially as part of adaptive management.  There are an existing set of measures for conservation, landscape restoration, etc. with cost estimates, but it is more difficult to assess the marginal actions needed to address climate change risks.</t>
  </si>
  <si>
    <t>Risk ID#</t>
  </si>
  <si>
    <t>Action ID#</t>
  </si>
  <si>
    <r>
      <t>Clear actions appropriate for national adaptation policy programmes included in the assessment that would make a difference to risk score within the next five years</t>
    </r>
    <r>
      <rPr>
        <b/>
        <u/>
        <sz val="10"/>
        <color theme="0"/>
        <rFont val="Calibri"/>
        <family val="2"/>
      </rPr>
      <t xml:space="preserve">
</t>
    </r>
  </si>
  <si>
    <r>
      <t xml:space="preserve">Action aimed at:
</t>
    </r>
    <r>
      <rPr>
        <sz val="10"/>
        <color theme="0"/>
        <rFont val="Calibri"/>
        <family val="2"/>
      </rPr>
      <t>• Government and/or ALB
• Non-government
• Unclear</t>
    </r>
  </si>
  <si>
    <t>Country of reference</t>
  </si>
  <si>
    <r>
      <t xml:space="preserve">Typology
</t>
    </r>
    <r>
      <rPr>
        <sz val="10"/>
        <color theme="0"/>
        <rFont val="Calibri"/>
        <family val="2"/>
      </rPr>
      <t>• No and low regret adaptation, including capacity building
• Climate-smart design, considering uncertainty
• Early activities to support future adaptation
• Further investigation
• Unclear typology noted in text</t>
    </r>
  </si>
  <si>
    <r>
      <t xml:space="preserve">Typology confidence 
</t>
    </r>
    <r>
      <rPr>
        <sz val="10"/>
        <color theme="0"/>
        <rFont val="Calibri"/>
        <family val="2"/>
      </rPr>
      <t>• High
• Medium
• Low</t>
    </r>
  </si>
  <si>
    <r>
      <t xml:space="preserve">Evaluation of the extent to which NAP3 has addressed CCRA3 Actions, as set out in:
</t>
    </r>
    <r>
      <rPr>
        <sz val="10"/>
        <color theme="0"/>
        <rFont val="Calibri"/>
        <family val="2"/>
      </rPr>
      <t>• The NAP3 document [NAP3]
• The risk-by-risk annex [RBRA]
• The Government’s response to the CCC’s 2023 progress report [GRPR]</t>
    </r>
  </si>
  <si>
    <t>Action linked with policies not listed within NAP3 documents</t>
  </si>
  <si>
    <r>
      <t xml:space="preserve">Evaluation score:
</t>
    </r>
    <r>
      <rPr>
        <sz val="10"/>
        <color theme="0"/>
        <rFont val="Calibri"/>
        <family val="2"/>
      </rPr>
      <t xml:space="preserve">• ‘Fully addressed’
• ‘Significantly addressed’
• ‘Minimally addressed’
• 'Recognised but not addressed’
• ‘Not addressed’ </t>
    </r>
  </si>
  <si>
    <t>ADAS rationale for evaluation score</t>
  </si>
  <si>
    <t>Risk Owner</t>
  </si>
  <si>
    <t>Action Owner</t>
  </si>
  <si>
    <t>Risk or Opportunity Descriptor</t>
  </si>
  <si>
    <t>B01.1</t>
  </si>
  <si>
    <t>Low-regret actions to improve the evidence base of risks to business sites from flooding.</t>
  </si>
  <si>
    <t>Non-Gov</t>
  </si>
  <si>
    <t>No and low regret adaptation, including capacity building</t>
  </si>
  <si>
    <r>
      <rPr>
        <b/>
        <sz val="10"/>
        <color theme="1"/>
        <rFont val="Calibri"/>
        <family val="2"/>
      </rPr>
      <t>RBRA B1 action 1:</t>
    </r>
    <r>
      <rPr>
        <sz val="10"/>
        <color theme="1"/>
        <rFont val="Calibri"/>
        <family val="2"/>
      </rPr>
      <t xml:space="preserve"> DBT will carry out annual online surveys for UK businesses from 2023 onwards to understand awareness levels and business readiness for climate change incidents, including flooding.
</t>
    </r>
    <r>
      <rPr>
        <b/>
        <sz val="10"/>
        <color theme="1"/>
        <rFont val="Calibri"/>
        <family val="2"/>
      </rPr>
      <t>NAP3 p.86:</t>
    </r>
    <r>
      <rPr>
        <sz val="10"/>
        <color theme="1"/>
        <rFont val="Calibri"/>
        <family val="2"/>
      </rPr>
      <t xml:space="preserve"> The government is supporting adaptation by identifying and addressing risks to the financial system and improving our understanding of the types of risks businesses of all kinds face.
</t>
    </r>
    <r>
      <rPr>
        <b/>
        <sz val="10"/>
        <color theme="1"/>
        <rFont val="Calibri"/>
        <family val="2"/>
      </rPr>
      <t>NAP3 p.88:</t>
    </r>
    <r>
      <rPr>
        <sz val="10"/>
        <color theme="1"/>
        <rFont val="Calibri"/>
        <family val="2"/>
      </rPr>
      <t xml:space="preserve"> DBT will: engage with UK businesses to understand awareness levels and readiness for climate change incidents, including through use of surveys and existing engagement through forums such as sector councils; and use evidence from surveying to inform ongoing policy development, to target the government’s engagement with businesses on specific adaptation measures.</t>
    </r>
  </si>
  <si>
    <t>Minimally addressed</t>
  </si>
  <si>
    <t>Actions such as surveys and business engagement go some way to improving the evidence base for risks from flooding, but do not significantly address the evidence gap.</t>
  </si>
  <si>
    <t>DBT</t>
  </si>
  <si>
    <t>B01.2</t>
  </si>
  <si>
    <t>Provide further awareness raising, advice and support to businesses to improve their resilience to flooding.</t>
  </si>
  <si>
    <t>Government and/or ALB</t>
  </si>
  <si>
    <r>
      <rPr>
        <b/>
        <sz val="10"/>
        <color theme="1"/>
        <rFont val="Calibri"/>
        <family val="2"/>
      </rPr>
      <t>RBRA B1 action 2:</t>
    </r>
    <r>
      <rPr>
        <sz val="10"/>
        <color theme="1"/>
        <rFont val="Calibri"/>
        <family val="2"/>
      </rPr>
      <t xml:space="preserve"> DBT will develop and publish a flood advice factsheet with the Environment Agency, circulating the factsheet to businesses through trusted government stakeholder networks by the end of 2023 to increase business awareness of information sources on tackling flood risk, including access to insurance and accessible tools such as the Environment Agency’s flood alerts. DBT will use platforms such as the SME Climate Hub to disseminate guidance.
</t>
    </r>
    <r>
      <rPr>
        <b/>
        <sz val="10"/>
        <color theme="1"/>
        <rFont val="Calibri"/>
        <family val="2"/>
      </rPr>
      <t>NAP3 p.86:</t>
    </r>
    <r>
      <rPr>
        <sz val="10"/>
        <color theme="1"/>
        <rFont val="Calibri"/>
        <family val="2"/>
      </rPr>
      <t xml:space="preserve"> The government is also providing businesses with more accessible climate risk information to support their actions and delivering investment in resilience measures to tackle flooding and coastal erosion
</t>
    </r>
    <r>
      <rPr>
        <b/>
        <sz val="10"/>
        <color theme="1"/>
        <rFont val="Calibri"/>
        <family val="2"/>
      </rPr>
      <t>NAP3 p.88:</t>
    </r>
    <r>
      <rPr>
        <sz val="10"/>
        <color theme="1"/>
        <rFont val="Calibri"/>
        <family val="2"/>
      </rPr>
      <t xml:space="preserve"> DBT is working with Defra and other government departments to provide factsheets for businesses on dealing with risks from higher temperatures, water scarcity, storms and flooding. These will be published online and circulated among businesses. Climate adaptation information and guidance for businesses on the SME Climate Hub will be increased, including use of the hub to host the climate risk factsheets. Increased awareness is intended to lead to increased adoption of adaptation measures, particularly for those businesses most at risk.
</t>
    </r>
  </si>
  <si>
    <t>Fully addressed</t>
  </si>
  <si>
    <t>These actions appear to sufficiently fulfil the ask.</t>
  </si>
  <si>
    <t>DBT
EA</t>
  </si>
  <si>
    <t>B01.3</t>
  </si>
  <si>
    <t>Businesses to make use of the flood forecasting and warning services provided by the Environment Agency, Natural Resources Wales and SEPA, in conjunction with the Met Office, to plan for and respond to flooding in their areas.</t>
  </si>
  <si>
    <r>
      <rPr>
        <b/>
        <sz val="10"/>
        <color theme="1"/>
        <rFont val="Calibri"/>
        <family val="2"/>
      </rPr>
      <t>RBRA B1 action 3:</t>
    </r>
    <r>
      <rPr>
        <sz val="10"/>
        <color theme="1"/>
        <rFont val="Calibri"/>
        <family val="2"/>
      </rPr>
      <t xml:space="preserve"> DBT will work with the Met Office to review provision of accessible climate risk data to businesses by the end of 2023.
</t>
    </r>
    <r>
      <rPr>
        <b/>
        <sz val="10"/>
        <color theme="1"/>
        <rFont val="Calibri"/>
        <family val="2"/>
      </rPr>
      <t>NAP3 p.88:</t>
    </r>
    <r>
      <rPr>
        <sz val="10"/>
        <color theme="1"/>
        <rFont val="Calibri"/>
        <family val="2"/>
      </rPr>
      <t xml:space="preserve"> DBT will work with the Met Office to review provision of accessible climate risk data to businesses by the end of 2023
</t>
    </r>
    <r>
      <rPr>
        <b/>
        <sz val="10"/>
        <color theme="1"/>
        <rFont val="Calibri"/>
        <family val="2"/>
      </rPr>
      <t>NAP3 p.89:</t>
    </r>
    <r>
      <rPr>
        <sz val="10"/>
        <color theme="1"/>
        <rFont val="Calibri"/>
        <family val="2"/>
      </rPr>
      <t xml:space="preserve"> Defra and the Environment Agency are also improving flood forecasting capabilities in higher-risk areas.</t>
    </r>
  </si>
  <si>
    <t>Recognised but not addressed</t>
  </si>
  <si>
    <t xml:space="preserve">This action is not for Government. The content in NAP3 recognise the benefits of businesses being able to access climate risk data, but do not confirm that businesses will be able to make use of flood forecasting services provided by the EA etc. </t>
  </si>
  <si>
    <t>DBT
MO</t>
  </si>
  <si>
    <t>B01.4</t>
  </si>
  <si>
    <t>Government investment in 3D interactive models for commercial properties which would be beneficial for data collection.</t>
  </si>
  <si>
    <r>
      <rPr>
        <b/>
        <sz val="10"/>
        <color theme="1"/>
        <rFont val="Calibri"/>
        <family val="2"/>
      </rPr>
      <t>RBRA B1:</t>
    </r>
    <r>
      <rPr>
        <sz val="10"/>
        <color theme="1"/>
        <rFont val="Calibri"/>
        <family val="2"/>
      </rPr>
      <t xml:space="preserve"> does not address this action.
</t>
    </r>
    <r>
      <rPr>
        <b/>
        <sz val="10"/>
        <color theme="1"/>
        <rFont val="Calibri"/>
        <family val="2"/>
      </rPr>
      <t>NAP3:</t>
    </r>
    <r>
      <rPr>
        <sz val="10"/>
        <color theme="1"/>
        <rFont val="Calibri"/>
        <family val="2"/>
      </rPr>
      <t xml:space="preserve"> does not address this action.</t>
    </r>
  </si>
  <si>
    <t>Not addressed</t>
  </si>
  <si>
    <t>As far as we can see, neither document refers to investment in or use of 3D interactive models.</t>
  </si>
  <si>
    <t>B02.1</t>
  </si>
  <si>
    <t xml:space="preserve">The re-designation of management policy in coastal areas (e.g., from defended to undefended) offers opportunities for coastal businesses. Depending on the designation, the opportunity exists for businesses to bid for coastal partnership funding to redevelop the coastal area. There is also the potential for business opportunities to emerge from habitat creation, or new approaches to construction to enable communities to ‘live with rising seas’. </t>
  </si>
  <si>
    <t>Climate-smart design, considering uncertainty</t>
  </si>
  <si>
    <r>
      <rPr>
        <b/>
        <sz val="10"/>
        <color theme="1"/>
        <rFont val="Calibri"/>
        <family val="2"/>
      </rPr>
      <t>RBRA B2 action 6:</t>
    </r>
    <r>
      <rPr>
        <sz val="10"/>
        <color theme="1"/>
        <rFont val="Calibri"/>
        <family val="2"/>
      </rPr>
      <t xml:space="preserve"> The Environment Agency will update the National Coastal Erosion Risk Map and its assessment of properties and infrastructure at risk from erosion in a changing climate by the end of 2023. This will improve evidence and inform decision-making along the coast.
</t>
    </r>
    <r>
      <rPr>
        <b/>
        <sz val="10"/>
        <color theme="1"/>
        <rFont val="Calibri"/>
        <family val="2"/>
      </rPr>
      <t>NAP3 p.89:</t>
    </r>
    <r>
      <rPr>
        <sz val="10"/>
        <color theme="1"/>
        <rFont val="Calibri"/>
        <family val="2"/>
      </rPr>
      <t xml:space="preserve"> deliver the National Flood and Coastal Erosion Risk Management Strategy Roadmap to 2026, which sets out the practical actions the government, the Environment Agency and a range of local implementation partners will take to tackle the growing threat of flooding.</t>
    </r>
  </si>
  <si>
    <t>We presume the National flood and coastal erosion risk management strategy roadmap will also refer to coastal businesses. Unclear if the strategies would lead to partnership funding.</t>
  </si>
  <si>
    <t>EA</t>
  </si>
  <si>
    <t>B02.2</t>
  </si>
  <si>
    <t xml:space="preserve">Changes in government policy, associated funding prioritisation and outcome measures to facilitate the ability to plan and implement the management approaches identified for each of the coastal areas around the UK, particularly those at high risk. </t>
  </si>
  <si>
    <r>
      <rPr>
        <b/>
        <sz val="10"/>
        <color theme="1"/>
        <rFont val="Calibri"/>
        <family val="2"/>
      </rPr>
      <t>RBRA B2 action 4:</t>
    </r>
    <r>
      <rPr>
        <sz val="10"/>
        <color theme="1"/>
        <rFont val="Calibri"/>
        <family val="2"/>
      </rPr>
      <t xml:space="preserve"> Defra and the Environment Agency will invest £5.2 billion to build new flood and coastal defences to better protect communities across England by 2027. This will include projects which focus on better protection for coastal communities.
</t>
    </r>
    <r>
      <rPr>
        <b/>
        <sz val="10"/>
        <color theme="1"/>
        <rFont val="Calibri"/>
        <family val="2"/>
      </rPr>
      <t>NAP3 p.89:</t>
    </r>
    <r>
      <rPr>
        <sz val="10"/>
        <color theme="1"/>
        <rFont val="Calibri"/>
        <family val="2"/>
      </rPr>
      <t xml:space="preserve"> better protect communities across England through a £5.2 billion investment in flood and coastal erosion schemes; review rational planning policy to ensure it is sufficiently robust to keep future developments safe from floods and to not increase risk elsewhere. This includes reviewing the planning policy approach for areas at the coast in managing and adapting to coastal change and sea level rise.</t>
    </r>
  </si>
  <si>
    <t>Unclear if the funding is sufficient and/or likely to address all coastal areas in the UK.</t>
  </si>
  <si>
    <t>Defra 
EA</t>
  </si>
  <si>
    <t>B02.3</t>
  </si>
  <si>
    <t xml:space="preserve">Clearer communication and more transparency around planned coastal designation changes (from defended to undefended) to support more active adaptation which should help businesses to avoid a false sense of security and to allow them to plan for future climate risks. </t>
  </si>
  <si>
    <r>
      <rPr>
        <b/>
        <sz val="10"/>
        <color theme="1"/>
        <rFont val="Calibri"/>
        <family val="2"/>
      </rPr>
      <t>RBRA B2 action 3:</t>
    </r>
    <r>
      <rPr>
        <sz val="10"/>
        <color theme="1"/>
        <rFont val="Calibri"/>
        <family val="2"/>
      </rPr>
      <t xml:space="preserve"> DBT will work with the Met Office to review provision of accessible climate risk data to businesses by the end of 2023.
</t>
    </r>
    <r>
      <rPr>
        <b/>
        <sz val="10"/>
        <color theme="1"/>
        <rFont val="Calibri"/>
        <family val="2"/>
      </rPr>
      <t xml:space="preserve">NAP3 p.88: </t>
    </r>
    <r>
      <rPr>
        <sz val="10"/>
        <color theme="1"/>
        <rFont val="Calibri"/>
        <family val="2"/>
      </rPr>
      <t>DBT is working with Defra and other government departments to provide factsheets for businesses on dealing with risks from higher temperatures, water scarcity, storms and flooding. These will be published online and circulated among businesses. Climate adaptation information and guidance for businesses on the SME Climate Hub will be increased, including use of the hub to host the climate risk factsheets. Increased awareness is intended to lead to increased adoption of adaptation measures, particularly for those businesses most at risk.</t>
    </r>
  </si>
  <si>
    <t>Evidence supports, but does not address the action.</t>
  </si>
  <si>
    <t>B02.4</t>
  </si>
  <si>
    <t xml:space="preserve">Coastal change adaptation should be positioned within a broader integrated coastal-zone management policy framework. For example, new coastal development visions should be fully aligned with climate futures. </t>
  </si>
  <si>
    <r>
      <rPr>
        <b/>
        <sz val="10"/>
        <color theme="1"/>
        <rFont val="Calibri"/>
        <family val="2"/>
      </rPr>
      <t>RBRA B2 action 9:</t>
    </r>
    <r>
      <rPr>
        <sz val="10"/>
        <color theme="1"/>
        <rFont val="Calibri"/>
        <family val="2"/>
      </rPr>
      <t xml:space="preserve"> The Environment Agency will support local authorities to update and strengthen shoreline management plans by the end of 2024 to ensure they remain relevant for future shoreline planning, including taking into account up to-date information on climate risk.
</t>
    </r>
    <r>
      <rPr>
        <b/>
        <sz val="10"/>
        <color theme="1"/>
        <rFont val="Calibri"/>
        <family val="2"/>
      </rPr>
      <t>NAP3 p.87:</t>
    </r>
    <r>
      <rPr>
        <sz val="10"/>
        <color theme="1"/>
        <rFont val="Calibri"/>
        <family val="2"/>
      </rPr>
      <t xml:space="preserve"> Flood and Coastal Erosion Risk Management Strategy: The government will continue to deliver on our strategy for a nation that is ready for and resilient to flooding and coastal change to the year 2100.
</t>
    </r>
    <r>
      <rPr>
        <b/>
        <sz val="10"/>
        <color theme="1"/>
        <rFont val="Calibri"/>
        <family val="2"/>
      </rPr>
      <t>NAP3 p.89:</t>
    </r>
    <r>
      <rPr>
        <sz val="10"/>
        <color theme="1"/>
        <rFont val="Calibri"/>
        <family val="2"/>
      </rPr>
      <t xml:space="preserve"> Government is committed to: review national planning policy to ensure it is sufficiently robust to keep future developments safe from floods and to not increase risk elsewhere. This includes reviewing the planning policy approach for areas at the coast in managing and adapting to coastal change and sea level rise; deliver the National Flood and Coastal Erosion Risk Management Strategy Roadmap to 2026, which sets out the practical actions the government, the Environment Agency and a range of local implementation partners will take to tackle the growing threat of flooding.
</t>
    </r>
  </si>
  <si>
    <t>The strategies mentioned in NAP3 actions recognise that coastal erosion presents a risk to businesses and communities. These strategies do not clearly describe how they will position coastal change adaptation within broader coastal management policies.</t>
  </si>
  <si>
    <t>B02.5</t>
  </si>
  <si>
    <t xml:space="preserve">Research to identify business opportunities in high-risk coastal areas, including better understanding of funding resources, clearer communication and a realistic appraisal of the risks and opportunities for businesses at the coast. </t>
  </si>
  <si>
    <r>
      <rPr>
        <b/>
        <sz val="10"/>
        <color theme="1"/>
        <rFont val="Calibri"/>
        <family val="2"/>
      </rPr>
      <t>RBRA B2 action 6:</t>
    </r>
    <r>
      <rPr>
        <sz val="10"/>
        <color theme="1"/>
        <rFont val="Calibri"/>
        <family val="2"/>
      </rPr>
      <t xml:space="preserve"> The Environment Agency will update the National Coastal Erosion Risk Map and its assessment of properties and infrastructure at risk from erosion in a changing climate by the end of 2023. This will improve evidence and inform decision-making along the coast.
</t>
    </r>
    <r>
      <rPr>
        <b/>
        <sz val="10"/>
        <color theme="1"/>
        <rFont val="Calibri"/>
        <family val="2"/>
      </rPr>
      <t>NAP3 p.88:</t>
    </r>
    <r>
      <rPr>
        <sz val="10"/>
        <color theme="1"/>
        <rFont val="Calibri"/>
        <family val="2"/>
      </rPr>
      <t xml:space="preserve"> DBT will: engage with UK businesses to understand awareness levels and readiness for climate change incidents, including through use of surveys and existing engagement through forums such as sector councils; and use evidence from surveying to inform ongoing policy development, to target the government’s engagement with businesses on specific adaptation measures.</t>
    </r>
  </si>
  <si>
    <t>Surveys will go some way to identify business situation and potential opportunities. Not clear the extent to which these surveys will be used to understand business own funding resources.</t>
  </si>
  <si>
    <t>B02.6</t>
  </si>
  <si>
    <t>More research is required to understand the costs and benefits of different adaptation responses to loss of coastal locations for businesses and infrastructure.</t>
  </si>
  <si>
    <r>
      <rPr>
        <b/>
        <sz val="10"/>
        <color theme="1"/>
        <rFont val="Calibri"/>
        <family val="2"/>
      </rPr>
      <t>RBRA B2:</t>
    </r>
    <r>
      <rPr>
        <sz val="10"/>
        <color theme="1"/>
        <rFont val="Calibri"/>
        <family val="2"/>
      </rPr>
      <t xml:space="preserve"> does not address this action.
</t>
    </r>
    <r>
      <rPr>
        <b/>
        <sz val="10"/>
        <color theme="1"/>
        <rFont val="Calibri"/>
        <family val="2"/>
      </rPr>
      <t>NAP3 p.90:</t>
    </r>
    <r>
      <rPr>
        <sz val="10"/>
        <color theme="1"/>
        <rFont val="Calibri"/>
        <family val="2"/>
      </rPr>
      <t xml:space="preserve"> the Environment Agency will develop updated investment scenarios by 2025 to inform future policy and investment choices on flood and coastal erosion risk management.</t>
    </r>
  </si>
  <si>
    <t>No evidence in NAP3 documents that suggest research will be undertaken to understand the costs and benefits under different adaptation scenarios.</t>
  </si>
  <si>
    <t>B02.7</t>
  </si>
  <si>
    <t>Further analysis to understand how risk will change in the future and how this should inform decisions on a national outcome and strategy for flood risk alleviation.</t>
  </si>
  <si>
    <r>
      <rPr>
        <b/>
        <sz val="10"/>
        <color theme="1"/>
        <rFont val="Calibri"/>
        <family val="2"/>
      </rPr>
      <t>RBRA B2:</t>
    </r>
    <r>
      <rPr>
        <sz val="10"/>
        <color theme="1"/>
        <rFont val="Calibri"/>
        <family val="2"/>
      </rPr>
      <t xml:space="preserve"> does not address this action.
</t>
    </r>
    <r>
      <rPr>
        <b/>
        <sz val="10"/>
        <color theme="1"/>
        <rFont val="Calibri"/>
        <family val="2"/>
      </rPr>
      <t>NAP3 p.88:</t>
    </r>
    <r>
      <rPr>
        <sz val="10"/>
        <color theme="1"/>
        <rFont val="Calibri"/>
        <family val="2"/>
      </rPr>
      <t xml:space="preserve"> The Environment Agency will update the National Coastal Erosion Risk Map and its assessment of properties and infrastructure at risk from erosion in 2023 which will provide better evidence to inform coastal decision making. The Environment Agency will update the National Flood Risk Assessment by 2024 to provide better data to support flood risk mapping and improved ways of measuring changes in risk, as well as future investment choices.</t>
    </r>
  </si>
  <si>
    <t>Updating the Erosion Risk Map and National Flood Risk Assessment will provide evidence to support more appropriate and informed decisions on flood risk alleviation strategies, but unclear if the analysis will fulfil the ask.</t>
  </si>
  <si>
    <t>B02.8</t>
  </si>
  <si>
    <t>Adoption or exploration of national minimum standards of resilience as proposed by the National Infrastructure Commission (NIC, 2018).</t>
  </si>
  <si>
    <r>
      <rPr>
        <b/>
        <sz val="10"/>
        <color theme="1"/>
        <rFont val="Calibri"/>
        <family val="2"/>
      </rPr>
      <t>RBRA B2 action 10:</t>
    </r>
    <r>
      <rPr>
        <sz val="10"/>
        <color theme="1"/>
        <rFont val="Calibri"/>
        <family val="2"/>
      </rPr>
      <t xml:space="preserve"> The Cabinet Office will make resilience training accessible to businesses, including through delivering a new UK Resilience Academy by 2025, built out of the Emergency Planning College.
</t>
    </r>
    <r>
      <rPr>
        <b/>
        <sz val="10"/>
        <color theme="1"/>
        <rFont val="Calibri"/>
        <family val="2"/>
      </rPr>
      <t>NAP3 p.90:</t>
    </r>
    <r>
      <rPr>
        <sz val="10"/>
        <color theme="1"/>
        <rFont val="Calibri"/>
        <family val="2"/>
      </rPr>
      <t xml:space="preserve"> The Cabinet Office will support the development of the UK Resilience Academy to increase provision of professional training to businesses on resilience, including resilience to climate change risks. The academy will be built out of the Emergency Planning College and will act as a one-stop learning and development hub for resilience.</t>
    </r>
  </si>
  <si>
    <t>National minimum standards are not referred to in either document.</t>
  </si>
  <si>
    <t>Cabinet Office</t>
  </si>
  <si>
    <t>B02.9</t>
  </si>
  <si>
    <t>Government flood risk management to give a level of protected status to critical business infrastructure like transport or ports, as well as industry critical business infrastructure such as industrial plants (i.e. chemical and petrochemical plants, oil refineries, gas processing plants) and factories (i.e., food processing facilities, pharmaceutical manufacturing), which are typically located on the coast or on tidal rivers / estuaries out of necessity for process feedstock import and finished product export, as suggested by ABP (2016).</t>
  </si>
  <si>
    <r>
      <rPr>
        <b/>
        <sz val="10"/>
        <color theme="1"/>
        <rFont val="Calibri"/>
        <family val="2"/>
      </rPr>
      <t>RBRA B2 action 6:</t>
    </r>
    <r>
      <rPr>
        <sz val="10"/>
        <color theme="1"/>
        <rFont val="Calibri"/>
        <family val="2"/>
      </rPr>
      <t xml:space="preserve"> The Environment Agency will update the National Coastal Erosion Risk Map and its assessment of properties and infrastructure at risk from erosion in a changing climate by the end of 2023. This will improve evidence and inform decision-making along the coast.
</t>
    </r>
    <r>
      <rPr>
        <b/>
        <sz val="10"/>
        <color theme="1"/>
        <rFont val="Calibri"/>
        <family val="2"/>
      </rPr>
      <t>NAP3 Chapter 4:</t>
    </r>
    <r>
      <rPr>
        <sz val="10"/>
        <color theme="1"/>
        <rFont val="Calibri"/>
        <family val="2"/>
      </rPr>
      <t xml:space="preserve"> does not address this action.</t>
    </r>
  </si>
  <si>
    <t>No mention in NAP3 of protected status for critical infrastructure. Unclear if the updating of the Erosion Risk Map will include recommendations for changing status of infrastructure.</t>
  </si>
  <si>
    <t>B02.10</t>
  </si>
  <si>
    <t>Further investigation into the role the finance sector can play in encouraging adaptation by policyholders through incentivisation; Governments and insurers to play a key role by providing further financial incentives for adaptation; for instance, they can set policy premiums at a level that more closely reflects the risk to which individual properties are exposed.</t>
  </si>
  <si>
    <t>Unclear</t>
  </si>
  <si>
    <r>
      <rPr>
        <b/>
        <sz val="10"/>
        <color theme="1"/>
        <rFont val="Calibri"/>
        <family val="2"/>
      </rPr>
      <t>RBRA B2 action 7:</t>
    </r>
    <r>
      <rPr>
        <sz val="10"/>
        <color theme="1"/>
        <rFont val="Calibri"/>
        <family val="2"/>
      </rPr>
      <t xml:space="preserve"> The Environment Agency will develop updated investment scenarios by 2025 to inform future policy and investment choices on FCERM.
</t>
    </r>
    <r>
      <rPr>
        <b/>
        <sz val="10"/>
        <color theme="1"/>
        <rFont val="Calibri"/>
        <family val="2"/>
      </rPr>
      <t>NAP3 p.92:</t>
    </r>
    <r>
      <rPr>
        <sz val="10"/>
        <color theme="1"/>
        <rFont val="Calibri"/>
        <family val="2"/>
      </rPr>
      <t xml:space="preserve"> The government is acting to ensure the regulatory environment encourages adaptation and that funding is available where the private sector cannot act. To achieve this, the government aims to provide financial market participants with high-quality information on sustainability risks and opportunities to create greater transparency, ensuring that financial decisions can take climate and environment into account. A mix of government policy, legislation and regulatory action will be used, including from engagement with the Financial Conduct Authority, Prudential Regulation Authority, the Pensions Regulator and the Financial Reporting Council. This will also include implementation of Sustainability Disclosure Requirements for businesses and investment products. HM Treasury will continue to help create the conditions for sufficient access to private sector finance for projects that can help improve our resilience. The UK Infrastructure Bank is already addressing this with infrastructure finance to aid climate resilience and help to achieve net zero.</t>
    </r>
  </si>
  <si>
    <t>Significantly addressed</t>
  </si>
  <si>
    <t>Evidence of investigation occurring and some policies/grants already in place to achieve this action.</t>
  </si>
  <si>
    <t>B03.1</t>
  </si>
  <si>
    <t>In England a number of the policy measures that Defra consulted on in 2019 to reduce personal water use, for example, could also help increase business water efficiency and reduce water and energy use. Policies among these is water efficiency labelling of water using products linked to minimum standards for new build and retrofits which would realise significant benefits both for domestic and business water users (Defra, 2019).</t>
  </si>
  <si>
    <r>
      <rPr>
        <b/>
        <sz val="10"/>
        <color theme="1"/>
        <rFont val="Calibri"/>
        <family val="2"/>
      </rPr>
      <t>RBRA B3 action 4:</t>
    </r>
    <r>
      <rPr>
        <sz val="10"/>
        <color theme="1"/>
        <rFont val="Calibri"/>
        <family val="2"/>
      </rPr>
      <t xml:space="preserve"> Defra will reduce non-household water use by 9% by 2038 through actions in the Plan for Water. This includes providing water audits for businesses to consider how best to maximise their water efficiency. The new performance commitment from the Water Services Regulation Authority (Ofwat) on non household water efficiency will come in from 2025.
</t>
    </r>
    <r>
      <rPr>
        <b/>
        <sz val="10"/>
        <color theme="1"/>
        <rFont val="Calibri"/>
        <family val="2"/>
      </rPr>
      <t>NAP3 p.92:</t>
    </r>
    <r>
      <rPr>
        <sz val="10"/>
        <color theme="1"/>
        <rFont val="Calibri"/>
        <family val="2"/>
      </rPr>
      <t xml:space="preserve"> In the water sector, the government [has unlocked almost £500 million of additional investment in new infrastructure to tackle water scarcity,] is requiring water companies to produce plans to meet increasing water demands and is providing water audits for businesses to consider how best to maximise their water efficiency. This will help in meeting ambitious targets to reduce leakage by 37% and nonhousehold water use by 9% by 2038, safeguarding future water availability for businesses (source: Plan for Water, 2023).</t>
    </r>
  </si>
  <si>
    <t>Some steps indicated towards improving water efficiency but unclear how water audits will result in tangible improvements.</t>
  </si>
  <si>
    <t>Defra
Ofwat</t>
  </si>
  <si>
    <t>B03.2</t>
  </si>
  <si>
    <t xml:space="preserve">Identify where efforts to reduce business use could be prioritised and what types of businesses/sectors could be targeted e.g. to map out data on business water users and overlay that data set with maps of current or future water stress areas the Environment Agency hold. This can be used to inform next round of water resource plans so a further adaptation action for the next 5 years. </t>
  </si>
  <si>
    <t>Early activities to support future adaptation</t>
  </si>
  <si>
    <r>
      <rPr>
        <b/>
        <sz val="10"/>
        <color theme="1"/>
        <rFont val="Calibri"/>
        <family val="2"/>
      </rPr>
      <t>RBRA B3 action 1:</t>
    </r>
    <r>
      <rPr>
        <sz val="10"/>
        <color theme="1"/>
        <rFont val="Calibri"/>
        <family val="2"/>
      </rPr>
      <t xml:space="preserve"> DBT will carry out annual online surveys for UK businesses from 2023 onwards to understand awareness levels and business readiness for climate change incidents, including water scarcity.
</t>
    </r>
    <r>
      <rPr>
        <b/>
        <sz val="10"/>
        <color theme="1"/>
        <rFont val="Calibri"/>
        <family val="2"/>
      </rPr>
      <t>RBRA B3 action 5:</t>
    </r>
    <r>
      <rPr>
        <sz val="10"/>
        <color theme="1"/>
        <rFont val="Calibri"/>
        <family val="2"/>
      </rPr>
      <t xml:space="preserve"> Defra will require water companies to produce water resources management plans setting out how they will secure a resilient and secure water supply for a minimum of 25 years. The next iteration of plans will be produced by 2025 and reviewed annually by regulators. They detail companies’ commitments to build new infrastructure, reduce demand and highlight where they will invest in technology to mitigate the risk posed by climate change.
</t>
    </r>
    <r>
      <rPr>
        <b/>
        <sz val="10"/>
        <color theme="1"/>
        <rFont val="Calibri"/>
        <family val="2"/>
      </rPr>
      <t>RBRA B3 action 6:</t>
    </r>
    <r>
      <rPr>
        <sz val="10"/>
        <color theme="1"/>
        <rFont val="Calibri"/>
        <family val="2"/>
      </rPr>
      <t xml:space="preserve"> Water companies will work with other sectors to produce collaborative regional water resources management plans for the first time in 2023. These detail how companies in each regional zone will work together with other major water stakeholders to ensure security of water supply over a minimum 25-year timeframe.
</t>
    </r>
    <r>
      <rPr>
        <b/>
        <sz val="10"/>
        <color theme="1"/>
        <rFont val="Calibri"/>
        <family val="2"/>
      </rPr>
      <t>RBRA B3 action 7:</t>
    </r>
    <r>
      <rPr>
        <sz val="10"/>
        <color theme="1"/>
        <rFont val="Calibri"/>
        <family val="2"/>
      </rPr>
      <t xml:space="preserve"> Water companies will produce drought plans every 5 years setting out how they will monitor water availability, the triggers for drought measures, and supply and demand mitigation actions. These drought plans will inform other aspects of water industry planning, including the next round of water resources management plans in 2024.
</t>
    </r>
    <r>
      <rPr>
        <b/>
        <sz val="10"/>
        <color theme="1"/>
        <rFont val="Calibri"/>
        <family val="2"/>
      </rPr>
      <t>NAP3 p.92:</t>
    </r>
    <r>
      <rPr>
        <sz val="10"/>
        <color theme="1"/>
        <rFont val="Calibri"/>
        <family val="2"/>
      </rPr>
      <t xml:space="preserve"> In the water sector, the government [has unlocked almost £500 million of additional investment in new infrastructure to tackle water scarcity,] is requiring water companies to produce plans to meet increasing water demands and is providing water audits for businesses to consider how best to maximise their water efficiency. This will help in meeting ambitious targets to reduce leakage by 37% and nonhousehold water use by 9% by 2038, safeguarding future water availability for businesses (source: Plan for Water, 2023).</t>
    </r>
  </si>
  <si>
    <t>Multiple requirements for measuring, monitoring and reporting of water use are indicated, which will inform water resource plans.</t>
  </si>
  <si>
    <t xml:space="preserve">DBT
Defra
Water companies 
Other sectors (not specified)
</t>
  </si>
  <si>
    <t>B03.3</t>
  </si>
  <si>
    <t>Monetary incentives for high consumption businesses, e.g. through cheaper rates for businesses if they don't consume in the summer when peak demand is hard to manage.</t>
  </si>
  <si>
    <r>
      <t xml:space="preserve">RBRA B3: </t>
    </r>
    <r>
      <rPr>
        <sz val="10"/>
        <color theme="1"/>
        <rFont val="Calibri"/>
        <family val="2"/>
      </rPr>
      <t xml:space="preserve">does not address this action.
</t>
    </r>
    <r>
      <rPr>
        <b/>
        <sz val="10"/>
        <color theme="1"/>
        <rFont val="Calibri"/>
        <family val="2"/>
      </rPr>
      <t xml:space="preserve">NAP3 Chapter 4: </t>
    </r>
    <r>
      <rPr>
        <sz val="10"/>
        <color theme="1"/>
        <rFont val="Calibri"/>
        <family val="2"/>
      </rPr>
      <t>does not address this action.</t>
    </r>
  </si>
  <si>
    <t>No mention of monetary incentives for businesses to reduce water consumption was found in our analysis.</t>
  </si>
  <si>
    <t>Defra</t>
  </si>
  <si>
    <t>B03.4</t>
  </si>
  <si>
    <t>The UK government should share the evidence base, for example the Environment Agency’s water and agriculture monitoring, widely with business and explore opportunities to help businesses identify key hotspots (e.g., showing impacts related to product type).</t>
  </si>
  <si>
    <r>
      <rPr>
        <b/>
        <sz val="10"/>
        <color theme="1"/>
        <rFont val="Calibri"/>
        <family val="2"/>
      </rPr>
      <t>RBRA B3 action 3:</t>
    </r>
    <r>
      <rPr>
        <sz val="10"/>
        <color theme="1"/>
        <rFont val="Calibri"/>
        <family val="2"/>
      </rPr>
      <t xml:space="preserve"> DBT will work with the Met Office to review provision of accessible climate risk data to businesses by the end of 2023.
</t>
    </r>
    <r>
      <rPr>
        <b/>
        <sz val="10"/>
        <color theme="1"/>
        <rFont val="Calibri"/>
        <family val="2"/>
      </rPr>
      <t>NAP3 p.93:</t>
    </r>
    <r>
      <rPr>
        <sz val="10"/>
        <color theme="1"/>
        <rFont val="Calibri"/>
        <family val="2"/>
      </rPr>
      <t xml:space="preserve"> DBT is undertaking further research into business sectors and business capacity to identify future climate-related opportunities, including sales of new consumer goods which are more suited to future changes in climate. Opportunities also include capitalising on the UK’s leading position in a range of sectors to support major capital projects domestically and internationally; DBT is engaging with business on supply chain risk management, providing specific information and guidance in response to climate threats which could affect critical imports for the UK. This includes encouraging relevant information sharing to better anticipate supply chain issues relating to climate change and other risks.
</t>
    </r>
    <r>
      <rPr>
        <b/>
        <sz val="10"/>
        <color theme="1"/>
        <rFont val="Calibri"/>
        <family val="2"/>
      </rPr>
      <t xml:space="preserve">GRPR Recommendation 78: </t>
    </r>
    <r>
      <rPr>
        <sz val="10"/>
        <color theme="1"/>
        <rFont val="Calibri"/>
        <family val="2"/>
      </rPr>
      <t>The government provides information to businesses to help them improve their resilience to climate change risks, including: the UK Climate Projections, produced by the Met Office on behalf of government, a set of tools and data that show how the UK climate may change in the future; the Adverse Weather and Health Plan, which brings together and improves existing 
guidance on weather and health, underpinned by scientific evidence collection, guidance, and weather-health alerts; and advice to individuals, communities, and businesses on flood and coastal-erosion risk, such as the Environment Agency’s flood risk alerts, the active flood checker, the long-term flood risk checking service and advice on flood risk information for planning applications. In addition, DBT will work with the Met Office to review provision of accessible climate risk data to businesses by the end of 2023. We will produce and disseminate accessible climate risk factsheets and relevant climate intelligence to businesses, making use of data and resources from the Met Office and other government partners.</t>
    </r>
  </si>
  <si>
    <t>Some current or indicative actions provided.</t>
  </si>
  <si>
    <t>B03.5</t>
  </si>
  <si>
    <t>More efforts to bring non-compliant farmers in England into compliance and ensuring basic legislation is sufficient to support further achievement of good health, as defined by the Water Framework Directive.</t>
  </si>
  <si>
    <t>No mention of efforts to ensure compliance among farmers in England, nor the Water Framework Directive across the NAP3 document.</t>
  </si>
  <si>
    <t>B03.6</t>
  </si>
  <si>
    <t>Reforming abstraction licensing to ensure environmental needs are met as a function of every licence and that abstraction charges encourage efficient use.</t>
  </si>
  <si>
    <t>No mention of reformation of abstraction licenses across the NAP3 document.</t>
  </si>
  <si>
    <t>B03.7</t>
  </si>
  <si>
    <t>Continuing investment in the Catchment Based Approach including by exploring ways to encourage private sector support and funding.</t>
  </si>
  <si>
    <t>England &amp; Wales</t>
  </si>
  <si>
    <t>No mention of the Catchment Based Approach across the NAP3 document.</t>
  </si>
  <si>
    <t>B03.8</t>
  </si>
  <si>
    <t>Application of a consistent methodology for measuring &amp; reporting water use for products (water foot printing). There would be benefits to looking at whole life cycle approach to measuring water usage and make sure embedded water is fully taken into account in such reporting. Trends and pinch point analysis useful tools for industry and Government to show where to focus efforts for either improved water efficiency of business or increased resilience of supply.</t>
  </si>
  <si>
    <r>
      <rPr>
        <b/>
        <sz val="10"/>
        <color theme="1"/>
        <rFont val="Calibri"/>
        <family val="2"/>
      </rPr>
      <t>RBRA B3:</t>
    </r>
    <r>
      <rPr>
        <sz val="10"/>
        <color theme="1"/>
        <rFont val="Calibri"/>
        <family val="2"/>
      </rPr>
      <t xml:space="preserve"> does not address this action.
</t>
    </r>
    <r>
      <rPr>
        <b/>
        <sz val="10"/>
        <color theme="1"/>
        <rFont val="Calibri"/>
        <family val="2"/>
      </rPr>
      <t xml:space="preserve">NAP3 p.92: </t>
    </r>
    <r>
      <rPr>
        <sz val="10"/>
        <color theme="1"/>
        <rFont val="Calibri"/>
        <family val="2"/>
      </rPr>
      <t>In the water sector, the government [has unlocked almost £500 million of additional investment in new infrastructure to tackle water scarcity,] is requiring water companies to produce plans to meet increasing water demands and is providing water audits for businesses to consider how best to maximise their water efficiency. This will help in meeting ambitious targets to reduce leakage by 37% and nonhousehold water use by 9% by 2038, safeguarding future water availability for businesses (source: Plan for Water, 2023).</t>
    </r>
  </si>
  <si>
    <t xml:space="preserve">No mention of the use of a consistent methodology for water foot printing. Vague mention of water audits, not clear if a whole life cycle approach is being adopted or considered. </t>
  </si>
  <si>
    <t>B03.9</t>
  </si>
  <si>
    <t>A national level adaptive plan that supports ongoing water company plans and balances risks against opportunities to defer costs.</t>
  </si>
  <si>
    <r>
      <rPr>
        <b/>
        <sz val="10"/>
        <color theme="1"/>
        <rFont val="Calibri"/>
        <family val="2"/>
      </rPr>
      <t>RBRA B3 action 6:</t>
    </r>
    <r>
      <rPr>
        <sz val="10"/>
        <color theme="1"/>
        <rFont val="Calibri"/>
        <family val="2"/>
      </rPr>
      <t xml:space="preserve"> Water companies will work with other sectors to produce collaborative regional water resources management plans for the first time in 2023. These detail how companies in each regional zone will work together with other major water stakeholders to ensure security of water supply over a minimum 25-year timeframe.
</t>
    </r>
    <r>
      <rPr>
        <b/>
        <sz val="10"/>
        <color theme="1"/>
        <rFont val="Calibri"/>
        <family val="2"/>
      </rPr>
      <t>NAP3 p.6 (Introduction):</t>
    </r>
    <r>
      <rPr>
        <sz val="10"/>
        <color theme="1"/>
        <rFont val="Calibri"/>
        <family val="2"/>
      </rPr>
      <t xml:space="preserve"> Our Plan for Water will require water companies to safeguard water supply through new infrastructure and greater efficiency.</t>
    </r>
  </si>
  <si>
    <t>Need for a plan that supports ongoing water company plans hinted at being recognised, but the actual action included in NAP3 is for the water companies to produce collaborative plans themselves, not the creation of a national plan per say.</t>
  </si>
  <si>
    <t>Water companies 
Other sectors (not specified)</t>
  </si>
  <si>
    <t>B04.1</t>
  </si>
  <si>
    <t>Broadening scope of existing regulations: The current review of climate stress testing by the Bank of England’s PRA (Bank of England, 2019) provides an opportunity to broaden the scope, identify limitations and important constraints, and support companies in their internal interpretation of scenario analysis results. In the future, regulators could make it mandatory for financial institutions to stress-test their portfolios against a common set of scenarios.</t>
  </si>
  <si>
    <r>
      <rPr>
        <b/>
        <sz val="10"/>
        <color theme="1"/>
        <rFont val="Calibri"/>
        <family val="2"/>
      </rPr>
      <t>RBRA B4 action 1:</t>
    </r>
    <r>
      <rPr>
        <sz val="10"/>
        <color theme="1"/>
        <rFont val="Calibri"/>
        <family val="2"/>
      </rPr>
      <t xml:space="preserve"> The government will shape policy and work with regulators, such as the Financial Conduct Authority (FCA), the Prudential Regulation Authority (PRA), the Pensions Regulator and the Financial Reporting Council (FRC) through the NAP3 implementation period to 2028 and beyond to ensure that financial sector participants have consistent, accurate information to help manage their exposure to climate risks and achieve greater transparency in the market. Work this year will include setting out further detail on the implementation of Sustainability Disclosure Requirements (SDRs), consulting on the UK Green Taxonomy and launching a formal assessment mechanism for the International Financial Reporting Standards (IFRS) Sustainability Disclosure Standards.
</t>
    </r>
    <r>
      <rPr>
        <b/>
        <sz val="10"/>
        <color theme="1"/>
        <rFont val="Calibri"/>
        <family val="2"/>
      </rPr>
      <t>NAP3 p.92:</t>
    </r>
    <r>
      <rPr>
        <sz val="10"/>
        <color theme="1"/>
        <rFont val="Calibri"/>
        <family val="2"/>
      </rPr>
      <t xml:space="preserve"> The government is acting to ensure the regulatory environment encourages adaptation and that funding is available where the private sector cannot act. To achieve this, the government aims to provide financial market participants with high quality information on sustainability risks and opportunities to create greater transparency, ensuring that financial decisions can take climate and environment into account. A mix of government policy, legislation and regulatory action will be used, including from engagement with the Financial Conduct Authority, Prudential Regulation Authority, the Pensions Regulator and the Financial Reporting Council. This will also include implementation of Sustainability Disclosure Requirements for businesses and investment products.
</t>
    </r>
    <r>
      <rPr>
        <b/>
        <sz val="10"/>
        <color theme="1"/>
        <rFont val="Calibri"/>
        <family val="2"/>
      </rPr>
      <t>GRPR Recommendation 75:</t>
    </r>
    <r>
      <rPr>
        <sz val="10"/>
        <color theme="1"/>
        <rFont val="Calibri"/>
        <family val="2"/>
      </rPr>
      <t xml:space="preserve"> DBT will incorporate climate considerations in relevant critical supply chain stress tests by the end of 2024, including with international partners, to understand the resilience of critical supply chains to climate-related disruptions. Stress tests allow government to test supply chain resilience and identify new and novel interventions and policy levers to mitigate or manage vulnerabilities. A focus on climate risks, will enable government to simulate climate disruptions, assess the UK’s response and identify areas for future work and climate adaptation measures.
</t>
    </r>
    <r>
      <rPr>
        <b/>
        <sz val="10"/>
        <color theme="1"/>
        <rFont val="Calibri"/>
        <family val="2"/>
      </rPr>
      <t xml:space="preserve">GRPR Recommendation 85: </t>
    </r>
    <r>
      <rPr>
        <sz val="10"/>
        <color theme="1"/>
        <rFont val="Calibri"/>
        <family val="2"/>
      </rPr>
      <t xml:space="preserve">As part of the Bank of England (the Bank), the Prudential Regulation Authority (PRA) is responsible for ensuring regulated firms such as banks and insurers effectively manage the risks climate change poses to their safety and soundness, in support of the transition to net zero. The PRA already expects banks and insurers to identify, measure and control risks, including those arising in unlikely but very severe scenarios, which includes risks which are relevant to climate change. Since 2022, the PRA has been actively supervising firms’ management of climate risk. In 2022, the Bank also undertook a review of climate risk in the capital framework, including consideration of the latest academic analysis and convened a conference to consider the issues, and published findings in March 2023. This review identified potential gaps in the current framework due to difficulties in estimating climate risks and challenges in capturing risks in the existing capital regimes. The Bank also continues to engage at international committees on the impact of climate risk on capital requirements.
</t>
    </r>
    <r>
      <rPr>
        <b/>
        <sz val="10"/>
        <color theme="1"/>
        <rFont val="Calibri"/>
        <family val="2"/>
      </rPr>
      <t>GRPR Recommendation 91:</t>
    </r>
    <r>
      <rPr>
        <sz val="10"/>
        <color theme="1"/>
        <rFont val="Calibri"/>
        <family val="2"/>
      </rPr>
      <t xml:space="preserve"> In March 2023, the Bank of England published its report on climate-related risks and the regulatory capital frameworks. In this report, the Bank recognised that ‘the unique characteristics of climate risks… require a more forward-looking approach than used for many other risks’ and noted that ‘scenario analysis and stress testing will play a key role in this.’ The Bank also pledged to consider a number of underlying issues, including ‘the extent to which known expectations of how physical and transition risks will unfold over the typical stress test horizon could be incorporated into the baseline scenarios used within stress 
testing’. As next steps, the Bank has said it will ‘further develop its capabilities to test the resilience of the financial system to climate risks. This includes how scenario exercises and stress tests can help the Bank and firms understand the exposure of the financial system to risks.’</t>
    </r>
  </si>
  <si>
    <t xml:space="preserve">Recognition of benefits of working with regulators, and multiple policies related to this action. Government response suggests DBT will incorporate climate considerations in relevant critical supply chain stress tests by the end of 2024, including with international partners, to understand the resilience of critical supply chains to climate-related disruptions. </t>
  </si>
  <si>
    <t>HMT</t>
  </si>
  <si>
    <t>HMT with PRA, FCA &amp; FRC</t>
  </si>
  <si>
    <t>B04.2</t>
  </si>
  <si>
    <t>Insurability: Given rising uncertainty, McKinsey (2020) recommend risk-sharing agreements between private and public financial institutions, similar to that seen in flood insurance, in order to meet financing gaps. Given that Flood Re is only available to non-businesses, there should be increased incentives for resilience to businesses.</t>
  </si>
  <si>
    <t>Non-Government</t>
  </si>
  <si>
    <r>
      <t xml:space="preserve">RBRA B4 action 4: </t>
    </r>
    <r>
      <rPr>
        <sz val="10"/>
        <color theme="1"/>
        <rFont val="Calibri"/>
        <family val="2"/>
      </rPr>
      <t>HMT, working with the PRA and FCA, will monitor climate risks in insurance markets including Lloyd’s of London through the NAP3 implementation period to 2028 and beyond to ensure continued government awareness of the impact of climate change on insurance markets.</t>
    </r>
    <r>
      <rPr>
        <b/>
        <sz val="10"/>
        <color theme="1"/>
        <rFont val="Calibri"/>
        <family val="2"/>
      </rPr>
      <t xml:space="preserve">
RBRA B4 action 5: </t>
    </r>
    <r>
      <rPr>
        <sz val="10"/>
        <color theme="1"/>
        <rFont val="Calibri"/>
        <family val="2"/>
      </rPr>
      <t xml:space="preserve">HMT will monitor the availability and affordability of different lines of insurance through the NAP3 implementation period to 2028 and beyond to ensure continued government awareness of the impact of climate change on insurance lines.
</t>
    </r>
    <r>
      <rPr>
        <b/>
        <sz val="10"/>
        <color theme="1"/>
        <rFont val="Calibri"/>
        <family val="2"/>
      </rPr>
      <t>GRPR Recommendation 73:</t>
    </r>
    <r>
      <rPr>
        <sz val="10"/>
        <color theme="1"/>
        <rFont val="Calibri"/>
        <family val="2"/>
      </rPr>
      <t xml:space="preserve"> In a severe weather event with significant wide area impacts, local authorities can seek central support to help their communities and businesses return to normal through the government Flood Recovery Framework. This includes a core package of business and community recovery support for severely affected areas. Before we consider other options for additional financial support, we need to further understand the barriers to adaptation which businesses face. To address this, DBT is focused on gathering information and data around business adaptation and mitigation, including through surveying businesses to gauge current preparedness for climate risks. Depending on the results we will consider the viability of additional financial support. The survey concluded in August 2023 and work has commenced to assess results. Government actions referenced in NAP3 also aim to build a more resilient economy, with the intention being to reduce exposure of businesses to extreme weather events, and thereby reduce the need for financial support.</t>
    </r>
  </si>
  <si>
    <t>Recognition of the importance of government awareness of climate impacts on insurance, but no direct actions that meet the CCRA ask for risk-sharing agreements.</t>
  </si>
  <si>
    <t>HMT with PRA &amp; FCA</t>
  </si>
  <si>
    <t>B04.3</t>
  </si>
  <si>
    <t xml:space="preserve">Disclosing and reporting: Further standardisation and clarification on scenario analysis models are required so comparisons can be made. Moreover, inclusion of additional asset classes will make these models more useful for investors (Mercer, 2019). Standardisation can occur through investor collaboration facilitated by government-led initiatives. </t>
  </si>
  <si>
    <r>
      <rPr>
        <b/>
        <sz val="10"/>
        <color theme="1"/>
        <rFont val="Calibri"/>
        <family val="2"/>
      </rPr>
      <t xml:space="preserve">RBRA B4 action 1: </t>
    </r>
    <r>
      <rPr>
        <sz val="10"/>
        <color theme="1"/>
        <rFont val="Calibri"/>
        <family val="2"/>
      </rPr>
      <t>The government will shape policy and work with regulators, such as the Financial Conduct Authority (FCA), the Prudential Regulation Authority (PRA), the Pensions Regulator and the Financial Reporting Council (FRC) through the NAP3 implementation period to 2028 and beyond to ensure that financial sector participants have consistent, accurate information to help manage their exposure to climate risks and achieve greater transparency in the market. Work this year will include setting out further detail on the implementation of Sustainability Disclosure Requirements (SDRs), consulting on the UK Green Taxonomy and launching a formal assessment mechanism for the International Financial Reporting Standards (IFRS) Sustainability Disclosure Standards.</t>
    </r>
    <r>
      <rPr>
        <b/>
        <sz val="10"/>
        <color theme="1"/>
        <rFont val="Calibri"/>
        <family val="2"/>
      </rPr>
      <t xml:space="preserve">
RBRA B4 action 2:</t>
    </r>
    <r>
      <rPr>
        <sz val="10"/>
        <color theme="1"/>
        <rFont val="Calibri"/>
        <family val="2"/>
      </rPr>
      <t xml:space="preserve"> HMT will support transition plan disclosure requirements on financial market participants through the NAP3 implementation period to 2028 and beyond to address systemic climate-related financial risk across the financial system. HMT established the Transition Plan Taskforce (TPT) to develop a standard for transition plans, including how wider financial risks arising from adaptation should be reported within an overall risk management disclosure.
</t>
    </r>
    <r>
      <rPr>
        <b/>
        <sz val="10"/>
        <color theme="1"/>
        <rFont val="Calibri"/>
        <family val="2"/>
      </rPr>
      <t>RBRA B4 action 3:</t>
    </r>
    <r>
      <rPr>
        <sz val="10"/>
        <color theme="1"/>
        <rFont val="Calibri"/>
        <family val="2"/>
      </rPr>
      <t xml:space="preserve"> DBT will consult on the introduction of requirements for the UK’s largest companies to disclose any transition plans they have once the TPT has released its final recommendations and guidance by the end of 2023, supporting companies and enabling the financial system to address climate related financial risk across the economy.</t>
    </r>
  </si>
  <si>
    <t>Several RBRA actions refer to new policies on disclosure and reporting, but none give detailed information on if clarification on scenario analysis models is to be included.</t>
  </si>
  <si>
    <t>HMT
DBT</t>
  </si>
  <si>
    <t>B04.4</t>
  </si>
  <si>
    <t>Further developments of dashboards and monitoring mechanisms are required to capture “investors and markets channelling finance to climate solutions” and change in financial flows are a response to climate risk.</t>
  </si>
  <si>
    <r>
      <rPr>
        <b/>
        <sz val="10"/>
        <color theme="1"/>
        <rFont val="Calibri"/>
        <family val="2"/>
      </rPr>
      <t xml:space="preserve">RBRA B4: </t>
    </r>
    <r>
      <rPr>
        <sz val="10"/>
        <color theme="1"/>
        <rFont val="Calibri"/>
        <family val="2"/>
      </rPr>
      <t xml:space="preserve">does not address this action.
</t>
    </r>
    <r>
      <rPr>
        <b/>
        <sz val="10"/>
        <color theme="1"/>
        <rFont val="Calibri"/>
        <family val="2"/>
      </rPr>
      <t>NAP3 Chapter 5:</t>
    </r>
    <r>
      <rPr>
        <sz val="10"/>
        <color theme="1"/>
        <rFont val="Calibri"/>
        <family val="2"/>
      </rPr>
      <t xml:space="preserve"> does not address this action.</t>
    </r>
  </si>
  <si>
    <t>No mention of development of relevant dashboards or monitoring methods.</t>
  </si>
  <si>
    <t>B04.5</t>
  </si>
  <si>
    <t>Incorporating risk reduction and data into insurance requirements: e.g. policymakers and insurers could incorporate risk reduction and adaptation measures into insurance requirements.</t>
  </si>
  <si>
    <r>
      <rPr>
        <b/>
        <sz val="10"/>
        <color theme="1"/>
        <rFont val="Calibri"/>
        <family val="2"/>
      </rPr>
      <t>RBRA B4 action 4:</t>
    </r>
    <r>
      <rPr>
        <sz val="10"/>
        <color theme="1"/>
        <rFont val="Calibri"/>
        <family val="2"/>
      </rPr>
      <t xml:space="preserve"> HMT, working with the PRA and FCA, will monitor climate risks in insurance markets including Lloyd’s of London through the NAP3 implementation period to 2028 and beyond to ensure continued government awareness of the impact of climate change on insurance markets.
</t>
    </r>
    <r>
      <rPr>
        <b/>
        <sz val="10"/>
        <color theme="1"/>
        <rFont val="Calibri"/>
        <family val="2"/>
      </rPr>
      <t>NAP3 p.93:</t>
    </r>
    <r>
      <rPr>
        <sz val="10"/>
        <color theme="1"/>
        <rFont val="Calibri"/>
        <family val="2"/>
      </rPr>
      <t xml:space="preserve"> The government is addressing information gaps to further enable the development of adaptive actions in response to climate risks: financial regulators and HM Treasury are continuing to monitor climate risk in insurance markets, engaging with industry and key stakeholders to ensure continued government awareness of how climate change is affecting insurance.</t>
    </r>
  </si>
  <si>
    <t>Addressing information gaps will start to fulfil the ask, but further actions in NAP3 to incorporate it into insurance requirements are not set out.</t>
  </si>
  <si>
    <t>Government</t>
  </si>
  <si>
    <t>B04.6</t>
  </si>
  <si>
    <t>Further research is required in the area of new products, such as resilience bonds, which would use premium discounts for long-term planning, such as investment in sustainable infrastructure, in the catastrophe bond market. Synergies between climate financing and risk management strategies in the banking and insurance sector must be further explored.</t>
  </si>
  <si>
    <r>
      <rPr>
        <b/>
        <sz val="10"/>
        <color theme="1"/>
        <rFont val="Calibri"/>
        <family val="2"/>
      </rPr>
      <t>RBRA B4:</t>
    </r>
    <r>
      <rPr>
        <sz val="10"/>
        <color theme="1"/>
        <rFont val="Calibri"/>
        <family val="2"/>
      </rPr>
      <t xml:space="preserve"> does not address this action.
</t>
    </r>
    <r>
      <rPr>
        <b/>
        <sz val="10"/>
        <color theme="1"/>
        <rFont val="Calibri"/>
        <family val="2"/>
      </rPr>
      <t xml:space="preserve">NAP3 Chapter 5: </t>
    </r>
    <r>
      <rPr>
        <sz val="10"/>
        <color theme="1"/>
        <rFont val="Calibri"/>
        <family val="2"/>
      </rPr>
      <t>does not address this action.</t>
    </r>
  </si>
  <si>
    <t>No mention of products such as resilience bonds.</t>
  </si>
  <si>
    <t>B04.7</t>
  </si>
  <si>
    <t>Improved collaboration between banks, borrowers, governments and the insurance industry, and would increase the quality of forward-looking disclosures. Investors and lenders, combined with policymakers, may find it easier to take a longer-term perspective. They could work in concert with insurers to encourage the uptake of adaptation measures, for instance, by making both loans and insurance contingent on the installation of relevant adaptation measures.</t>
  </si>
  <si>
    <r>
      <rPr>
        <b/>
        <sz val="10"/>
        <color theme="1"/>
        <rFont val="Calibri"/>
        <family val="2"/>
      </rPr>
      <t>RBRA B4 action 6:</t>
    </r>
    <r>
      <rPr>
        <sz val="10"/>
        <color theme="1"/>
        <rFont val="Calibri"/>
        <family val="2"/>
      </rPr>
      <t xml:space="preserve"> HMT will continue to help create the conditions for sufficient access to private sector finance for projects and activities that can improve our resilience through the NAP3 implementation period to 2028 and beyond. This will include using the UK Infrastructure Bank’s (UKIB) capacity to deploy up to £22 billion for investments over the next 5 to 8 years, and its scope to finance adaptation-related projects, so the UK can effectively adapt to climate change and transition to a low-carbon economy.
</t>
    </r>
    <r>
      <rPr>
        <b/>
        <sz val="10"/>
        <color theme="1"/>
        <rFont val="Calibri"/>
        <family val="2"/>
      </rPr>
      <t>NAP3 p.93:</t>
    </r>
    <r>
      <rPr>
        <sz val="10"/>
        <color theme="1"/>
        <rFont val="Calibri"/>
        <family val="2"/>
      </rPr>
      <t xml:space="preserve"> The government is addressing information gaps to further enable the development of adaptive actions in response to climate risks: financial regulators and HM Treasury are continuing to monitor climate risk in insurance markets, engaging with industry and key stakeholders to ensure continued government awareness of how climate change is affecting insurance.
</t>
    </r>
    <r>
      <rPr>
        <b/>
        <sz val="10"/>
        <color theme="1"/>
        <rFont val="Calibri"/>
        <family val="2"/>
      </rPr>
      <t>GRPR Recommendation 13:</t>
    </r>
    <r>
      <rPr>
        <sz val="10"/>
        <color theme="1"/>
        <rFont val="Calibri"/>
        <family val="2"/>
      </rPr>
      <t xml:space="preserve"> There is significant public investment underpinning the plans and policies in NAP3, such as the government’s ongoing investment in flood and coastal schemes in England. However, adaptation actions cannot be funded through public spending alone, and additional investment from the private sector will be required to support adaptation action over the coming decades. Indicative analysis produced for the CCC estimates that public and private sector adaptation investment needs could be as much as £10 billion per year this decade across all risks and opportunities identified in CCRA3. The government has committed to support the flow of private finance into adaptation through the 2023 Green Finance Strategy. This includes work with private sector partners to improve the approach to climate resilience assessment and disclosure and supporting private and public collaboration to address barriers to investment, including through the UK Infrastructure Bank.
</t>
    </r>
    <r>
      <rPr>
        <b/>
        <sz val="10"/>
        <color theme="1"/>
        <rFont val="Calibri"/>
        <family val="2"/>
      </rPr>
      <t>GRPR Recommendation 83:</t>
    </r>
    <r>
      <rPr>
        <sz val="10"/>
        <color theme="1"/>
        <rFont val="Calibri"/>
        <family val="2"/>
      </rPr>
      <t xml:space="preserve"> UK public financial institutions are aware that climate resilience is part of their responsibility and are helping to create the conditions for sufficient access to private sector finance for projects that can improve resilience. The UK Infrastructure Bank (UKIB) has published in its first Strategic Plan detail on measures it will take to deliver on its mandate to help the UK adapt to climate change, including considering the resilience of the infrastructure UKIB invests in. Within its Environmental, Social, Resilience and Governance framework, UKIB is implementing a process to measure climate risk in investment proposals. UK Export Finance (UKEF) and the British Business Bank are also embedding consideration of climate change into their business, with UKEF increasing their support to climate adaptation sectors. More widely, one of the three building blocks of British International Investment’s Climate Change Strategy focuses on strengthening adaptation and resilience. Specific adaptation finance strategies for financial institutions are therefore not needed as they are already embedding adaptation considerations into their work.</t>
    </r>
  </si>
  <si>
    <t>RBRA and NAP3 refer to actions that go part way to achieving this action of improved collaboration. NAP3 includes details on monitoring climate risks in insurance markets. Government response notes some wider initiatives, but clear action s for enabling/ensuring collaboration are limited.</t>
  </si>
  <si>
    <t>B05.1</t>
  </si>
  <si>
    <t>Change in government approach to adaptation reporting (currently voluntary) to require the inclusion of productivity risks in reports.</t>
  </si>
  <si>
    <r>
      <rPr>
        <b/>
        <sz val="10"/>
        <color theme="1"/>
        <rFont val="Calibri"/>
        <family val="2"/>
      </rPr>
      <t>RBRA B5:</t>
    </r>
    <r>
      <rPr>
        <sz val="10"/>
        <color theme="1"/>
        <rFont val="Calibri"/>
        <family val="2"/>
      </rPr>
      <t xml:space="preserve"> does not address this action.
</t>
    </r>
    <r>
      <rPr>
        <b/>
        <sz val="10"/>
        <color theme="1"/>
        <rFont val="Calibri"/>
        <family val="2"/>
      </rPr>
      <t xml:space="preserve">NAP3 p.87: </t>
    </r>
    <r>
      <rPr>
        <sz val="10"/>
        <color theme="1"/>
        <rFont val="Calibri"/>
        <family val="2"/>
      </rPr>
      <t>Business reporting on adaptation: Through existing statutory reporting under the Adaptation Reporting Power, and Task Force on Climate-Related Financial Disclosure-aligned reporting by large companies and a range of financial market participants, the government is improving our understanding of current awareness of climate risk, adaptive capacity, and adaptive action.</t>
    </r>
  </si>
  <si>
    <t xml:space="preserve">Government has introduced mandatory TCFD reporting. No mention of productivity risks in NAP3. </t>
  </si>
  <si>
    <t>DBT+L32</t>
  </si>
  <si>
    <t>B05.2</t>
  </si>
  <si>
    <t xml:space="preserve">Further investigation is required across the UK to better quantify both the scale of the problem, and the benefits of implementing measures to address it both in current and future climates. In particular, evidence for future risk from reduced employee productivity is limited. </t>
  </si>
  <si>
    <r>
      <rPr>
        <b/>
        <sz val="10"/>
        <color theme="1"/>
        <rFont val="Calibri"/>
        <family val="2"/>
      </rPr>
      <t>RBRA B5 action 1:</t>
    </r>
    <r>
      <rPr>
        <sz val="10"/>
        <color theme="1"/>
        <rFont val="Calibri"/>
        <family val="2"/>
      </rPr>
      <t xml:space="preserve"> DBT will carry out annual online surveys for UK businesses from 2023 onwards to understand awareness levels and business readiness for climate change incidents, including higher temperatures.
</t>
    </r>
    <r>
      <rPr>
        <b/>
        <sz val="10"/>
        <color theme="1"/>
        <rFont val="Calibri"/>
        <family val="2"/>
      </rPr>
      <t>NAP3 p.88:</t>
    </r>
    <r>
      <rPr>
        <sz val="10"/>
        <color theme="1"/>
        <rFont val="Calibri"/>
        <family val="2"/>
      </rPr>
      <t xml:space="preserve"> DBT will: engage with UK businesses to understand awareness levels and readiness for climate change incidents, including through use of surveys and existing engagement through forums such as sector councils.</t>
    </r>
  </si>
  <si>
    <t>Actions meet the need for further investigation, but don't detail that the surveys will gather information on the scale of the impact or employee productivity.</t>
  </si>
  <si>
    <t>B05.3</t>
  </si>
  <si>
    <t>Labour productivity adaptation: transition to new ways of working (remote working, flexible working) and low carbon and energy efficiency buildings to maintain employee productivity.</t>
  </si>
  <si>
    <r>
      <rPr>
        <b/>
        <sz val="10"/>
        <color theme="1"/>
        <rFont val="Calibri"/>
        <family val="2"/>
      </rPr>
      <t xml:space="preserve">RBRA B5 action 2: </t>
    </r>
    <r>
      <rPr>
        <sz val="10"/>
        <color theme="1"/>
        <rFont val="Calibri"/>
        <family val="2"/>
      </rPr>
      <t>DBT will develop and publish a high temperature and heatwave advice factsheet with the Health and Safety Executive, circulating the factsheet to businesses through trusted government stakeholder networks by the end of 2023 to increase business awareness of information sources on tackling risk from higher temperatures, including access to insurance and understanding of the changing insurance market. DBT will use platforms such as the SME Climate Hub to disseminate guidance.</t>
    </r>
    <r>
      <rPr>
        <b/>
        <sz val="10"/>
        <color theme="1"/>
        <rFont val="Calibri"/>
        <family val="2"/>
      </rPr>
      <t xml:space="preserve">
RBRA B5 action 4:</t>
    </r>
    <r>
      <rPr>
        <sz val="10"/>
        <color theme="1"/>
        <rFont val="Calibri"/>
        <family val="2"/>
      </rPr>
      <t xml:space="preserve"> The Cabinet Office will make resilience training accessible to businesses, including through delivering a new UK Resilience Academy by 2025, built out of the Emergency Planning College.
</t>
    </r>
    <r>
      <rPr>
        <b/>
        <sz val="10"/>
        <color theme="1"/>
        <rFont val="Calibri"/>
        <family val="2"/>
      </rPr>
      <t xml:space="preserve">NAP p.88: </t>
    </r>
    <r>
      <rPr>
        <sz val="10"/>
        <color theme="1"/>
        <rFont val="Calibri"/>
        <family val="2"/>
      </rPr>
      <t>DBT is working with Defra and other government departments to provide factsheets for businesses on dealing with risks from higher temperatures, water scarcity, storms and flooding. These will be published online and circulated among businesses. Climate adaptation information and guidance for businesses on the SME Climate Hub will be increased, including use of the hub to host the climate risk factsheets. Increased awareness is intended to lead to increased adoption of adaptation measures, particularly for those businesses most at risk.</t>
    </r>
  </si>
  <si>
    <t>Evidence supports the action but does not directly address productivity via a transition to new ways of working.</t>
  </si>
  <si>
    <t>DBT &amp; Health &amp; Safety Executive
Cabinet Office</t>
  </si>
  <si>
    <t>B05.4</t>
  </si>
  <si>
    <t>Better collaboration between business, building owners, government and infrastructure operators could help facilitate adaptation.</t>
  </si>
  <si>
    <r>
      <rPr>
        <b/>
        <sz val="10"/>
        <color theme="1"/>
        <rFont val="Calibri"/>
        <family val="2"/>
      </rPr>
      <t>RBRA B5 action 3:</t>
    </r>
    <r>
      <rPr>
        <sz val="10"/>
        <color theme="1"/>
        <rFont val="Calibri"/>
        <family val="2"/>
      </rPr>
      <t xml:space="preserve"> DBT will work with the Met Office to review provision of accessible climate risk data to businesses by the end of 2023.
</t>
    </r>
    <r>
      <rPr>
        <b/>
        <sz val="10"/>
        <color theme="1"/>
        <rFont val="Calibri"/>
        <family val="2"/>
      </rPr>
      <t>NAP3 p.90:</t>
    </r>
    <r>
      <rPr>
        <sz val="10"/>
        <color theme="1"/>
        <rFont val="Calibri"/>
        <family val="2"/>
      </rPr>
      <t xml:space="preserve"> To address gaps for business and the government: as mentioned in the People subsection, DBT will survey businesses to provide better information on businesses’ readiness to address climate risk – including flood and coastal erosion risk. This will enable the government to measure progress over time, and data gathered will be used to feed back to future policy development, such as the potential role of public-private partnerships and financial incentives to overcome financial barriers to adaptation.
</t>
    </r>
    <r>
      <rPr>
        <b/>
        <sz val="10"/>
        <color theme="1"/>
        <rFont val="Calibri"/>
        <family val="2"/>
      </rPr>
      <t>NAP3 p.94:</t>
    </r>
    <r>
      <rPr>
        <sz val="10"/>
        <color theme="1"/>
        <rFont val="Calibri"/>
        <family val="2"/>
      </rPr>
      <t xml:space="preserve"> DBT and other government departments will: work with arms-length bodies and relevant public authorities to help to promote and disseminate climate-related information and guidance to businesses across the UK and across sectors; engage with trade bodies, and professional bodies and other business organisations to provide information and guidance to their members.</t>
    </r>
  </si>
  <si>
    <t>Evidence of actions to enable significant collaboration between most parties mentioned.</t>
  </si>
  <si>
    <t>DBT &amp; MO</t>
  </si>
  <si>
    <t>B05.5</t>
  </si>
  <si>
    <t>Increase the area of large natural spaces in urban areas, in response to rising climate risks. Initiatives led by the private sector such as ‘Living roofs and walls – from policy to practice’ aim to address these issues.</t>
  </si>
  <si>
    <r>
      <rPr>
        <b/>
        <sz val="10"/>
        <color theme="1"/>
        <rFont val="Calibri"/>
        <family val="2"/>
      </rPr>
      <t>RBRA B5:</t>
    </r>
    <r>
      <rPr>
        <sz val="10"/>
        <color theme="1"/>
        <rFont val="Calibri"/>
        <family val="2"/>
      </rPr>
      <t xml:space="preserve"> does not address this action.
</t>
    </r>
    <r>
      <rPr>
        <b/>
        <sz val="10"/>
        <color theme="1"/>
        <rFont val="Calibri"/>
        <family val="2"/>
      </rPr>
      <t>NAP3 Chapter 5:</t>
    </r>
    <r>
      <rPr>
        <sz val="10"/>
        <color theme="1"/>
        <rFont val="Calibri"/>
        <family val="2"/>
      </rPr>
      <t xml:space="preserve"> does not address this action.</t>
    </r>
  </si>
  <si>
    <t xml:space="preserve">Not mentioned within the business and industry sections of NAP3 and the RBRA. </t>
  </si>
  <si>
    <t>B06.1</t>
  </si>
  <si>
    <t>Requirement for physical risk disclosures and the setting of contractual arrangements that take adaptation into account.</t>
  </si>
  <si>
    <r>
      <t xml:space="preserve">RBRA B5: </t>
    </r>
    <r>
      <rPr>
        <sz val="10"/>
        <color theme="1"/>
        <rFont val="Calibri"/>
        <family val="2"/>
      </rPr>
      <t>does not address this action.</t>
    </r>
    <r>
      <rPr>
        <b/>
        <sz val="10"/>
        <color theme="1"/>
        <rFont val="Calibri"/>
        <family val="2"/>
      </rPr>
      <t xml:space="preserve">
NAP3 Chapter 5: </t>
    </r>
    <r>
      <rPr>
        <sz val="10"/>
        <color theme="1"/>
        <rFont val="Calibri"/>
        <family val="2"/>
      </rPr>
      <t xml:space="preserve">does not address this action.
</t>
    </r>
    <r>
      <rPr>
        <b/>
        <sz val="10"/>
        <color theme="1"/>
        <rFont val="Calibri"/>
        <family val="2"/>
      </rPr>
      <t xml:space="preserve">GRPR Recommendation 72: </t>
    </r>
    <r>
      <rPr>
        <sz val="10"/>
        <color theme="1"/>
        <rFont val="Calibri"/>
        <family val="2"/>
      </rPr>
      <t>Through the introduction of Climate-related Financial Disclosure Requirements in 2022, a core element of the UK’s Sustainability Disclosure Requirements, the largest UK Registered Companies (Public Interest Entities with over 500 employees and large private companies and LLPs with over 500 employees and over £500 million turnover) are required to disclose ‘an analysis of the resilience of the business model and strategy of the company or LLP, taking into consideration of different climate-related scenarios’. In accompanying guidance, the government has set out that this analysis should consider both transition risks and physical risks, and in their analysis of physical risks companies may need to consider ‘Where elements of a supply chain…are likely to be exposed to increased physical risks…to consider mitigating actions’. Further, the UK has set up a process to assess and endorse International Sustainability Standards Board disclosure standards, which explicitly recommend analysis of supply chain risks; they would be available for voluntary use by UK companies.</t>
    </r>
  </si>
  <si>
    <t>No reference to physical risk disclosures or contractual arrangement in NAP3. Government response to CCC links to the requirements for large companies under Climate-related Financial Disclosure Requirements.</t>
  </si>
  <si>
    <t>B06.2</t>
  </si>
  <si>
    <t>Use resilience criteria with choosing suppliers as part of procurement processes (Crisis Control, 2017). For public sector procurement, the Public Services (Social Value) Act provides a potential tool by requiring commissioners of public services to think about how they can also secure wider social, economic and environmental benefits.</t>
  </si>
  <si>
    <r>
      <rPr>
        <b/>
        <sz val="10"/>
        <color theme="1"/>
        <rFont val="Calibri"/>
        <family val="2"/>
      </rPr>
      <t>RBRA B6 action 2:</t>
    </r>
    <r>
      <rPr>
        <sz val="10"/>
        <color theme="1"/>
        <rFont val="Calibri"/>
        <family val="2"/>
      </rPr>
      <t xml:space="preserve"> DBT will engage with other government departments and businesses throughout the NAP3 implementation period to 2028 and beyond to develop and share analysis and advice on identifying and managing supply chain vulnerability to climate change risk, including through the DBT supply chains resilience framework and Global Supply Chains Intelligence Programme. The effect of planned engagement will be monitored through quarterly internal reviews from 2023 onwards.
</t>
    </r>
    <r>
      <rPr>
        <b/>
        <sz val="10"/>
        <color theme="1"/>
        <rFont val="Calibri"/>
        <family val="2"/>
      </rPr>
      <t>RBRA B6 action 3:</t>
    </r>
    <r>
      <rPr>
        <sz val="10"/>
        <color theme="1"/>
        <rFont val="Calibri"/>
        <family val="2"/>
      </rPr>
      <t xml:space="preserve"> DBT will engage with businesses over the next few months in the development of a new strategy on supply chains and imports for publication in autumn 2023. This will provide a coherent overview of the UK’s priorities and drive specific action by government and businesses in response to a range of risks to critical imports, including climate change.
</t>
    </r>
    <r>
      <rPr>
        <b/>
        <sz val="10"/>
        <color theme="1"/>
        <rFont val="Calibri"/>
        <family val="2"/>
      </rPr>
      <t xml:space="preserve">NAP3 Chapter 5: </t>
    </r>
    <r>
      <rPr>
        <sz val="10"/>
        <color theme="1"/>
        <rFont val="Calibri"/>
        <family val="2"/>
      </rPr>
      <t>does not address this action.</t>
    </r>
  </si>
  <si>
    <t>Plans to engage with resilience frameworks/criteria but the actions in the RBRA do not address action through adapting procurement processes.</t>
  </si>
  <si>
    <t>B06.3</t>
  </si>
  <si>
    <t>Help suppliers reduce their own risks (Crisis Control, 2017). For example, the water stewardship approach provides companies with a means of committing resource and using influence to support good water practices in areas of weak governance.</t>
  </si>
  <si>
    <r>
      <rPr>
        <b/>
        <sz val="10"/>
        <color theme="1"/>
        <rFont val="Calibri"/>
        <family val="2"/>
      </rPr>
      <t>RBRA B6 action 2:</t>
    </r>
    <r>
      <rPr>
        <sz val="10"/>
        <color theme="1"/>
        <rFont val="Calibri"/>
        <family val="2"/>
      </rPr>
      <t xml:space="preserve"> DBT will engage with other government departments and businesses throughout the NAP3 implementation period to 2028 and beyond to develop and share analysis and advice on identifying and managing supply chain vulnerability to climate change risk, including through the DBT supply chains resilience framework and Global Supply Chains Intelligence Programme. The effect of planned engagement will be monitored through quarterly internal reviews from 2023 onwards.
</t>
    </r>
    <r>
      <rPr>
        <b/>
        <sz val="10"/>
        <color theme="1"/>
        <rFont val="Calibri"/>
        <family val="2"/>
      </rPr>
      <t>RBRA B6 action 3:</t>
    </r>
    <r>
      <rPr>
        <sz val="10"/>
        <color theme="1"/>
        <rFont val="Calibri"/>
        <family val="2"/>
      </rPr>
      <t xml:space="preserve"> DBT will engage with businesses over the next few months in the development of a new strategy on supply chains and imports for publication in autumn 2023. This will provide a coherent overview of the UK’s priorities and drive specific action by government and businesses in response to a range of risks to critical imports, including climate change.
</t>
    </r>
    <r>
      <rPr>
        <b/>
        <sz val="10"/>
        <color theme="1"/>
        <rFont val="Calibri"/>
        <family val="2"/>
      </rPr>
      <t>NAP3 p.93:</t>
    </r>
    <r>
      <rPr>
        <sz val="10"/>
        <color theme="1"/>
        <rFont val="Calibri"/>
        <family val="2"/>
      </rPr>
      <t xml:space="preserve"> DBT has: committed to publishing a new strategy on supply chains and imports in autumn 2023, to strengthen our collective ability to respond to threats to critical imports, such as climate change. 
</t>
    </r>
    <r>
      <rPr>
        <b/>
        <sz val="10"/>
        <color theme="1"/>
        <rFont val="Calibri"/>
        <family val="2"/>
      </rPr>
      <t>NAP p.93:</t>
    </r>
    <r>
      <rPr>
        <sz val="10"/>
        <color theme="1"/>
        <rFont val="Calibri"/>
        <family val="2"/>
      </rPr>
      <t xml:space="preserve"> DBT is engaging with business on supply chain risk management, providing specific information and guidance in response to climate threats which could affect critical imports for the UK. This includes encouraging relevant information sharing to better anticipate supply chain issues relating to climate change and other risks.</t>
    </r>
  </si>
  <si>
    <t>Several key actions that will support businesses in reducing their risks.</t>
  </si>
  <si>
    <t>B06.4</t>
  </si>
  <si>
    <t>Promote business continuity, with a particular focus on strategies that achieve multiple goals including resilience and sustainability for which there may be market failures. For example, distributed manufacturing, seasonal produce and local sourcing have a role to play in achieving both sustainability and resilience goals.</t>
  </si>
  <si>
    <r>
      <rPr>
        <b/>
        <sz val="10"/>
        <color theme="1"/>
        <rFont val="Calibri"/>
        <family val="2"/>
      </rPr>
      <t xml:space="preserve">RBRA B6 action 5: </t>
    </r>
    <r>
      <rPr>
        <sz val="10"/>
        <color theme="1"/>
        <rFont val="Calibri"/>
        <family val="2"/>
      </rPr>
      <t xml:space="preserve">The Cabinet Office will make resilience training accessible to businesses, including through delivering a new UK Resilience Academy by 2025, built out of the Emergency Planning College.
</t>
    </r>
    <r>
      <rPr>
        <b/>
        <sz val="10"/>
        <color theme="1"/>
        <rFont val="Calibri"/>
        <family val="2"/>
      </rPr>
      <t>NAP3 p.92:</t>
    </r>
    <r>
      <rPr>
        <sz val="10"/>
        <color theme="1"/>
        <rFont val="Calibri"/>
        <family val="2"/>
      </rPr>
      <t xml:space="preserve"> DBT has: published a Safeguarding Supply toolkit to encourage businesses to take collective and coordinated action to help reduce and overcome future shocks to their supply chains.</t>
    </r>
  </si>
  <si>
    <t xml:space="preserve">Multiple actions providing support and training to promote business continuity. </t>
  </si>
  <si>
    <t>Cabinet Office
DBT</t>
  </si>
  <si>
    <t>B06.5</t>
  </si>
  <si>
    <t>Promoting the establishment of binding supply chain due diligence legislation on a national level while ensuring international alignment.</t>
  </si>
  <si>
    <r>
      <rPr>
        <b/>
        <sz val="10"/>
        <color theme="1"/>
        <rFont val="Calibri"/>
        <family val="2"/>
      </rPr>
      <t>RBRA B6:</t>
    </r>
    <r>
      <rPr>
        <sz val="10"/>
        <color theme="1"/>
        <rFont val="Calibri"/>
        <family val="2"/>
      </rPr>
      <t xml:space="preserve"> does not address this action.
</t>
    </r>
    <r>
      <rPr>
        <b/>
        <sz val="10"/>
        <color theme="1"/>
        <rFont val="Calibri"/>
        <family val="2"/>
      </rPr>
      <t xml:space="preserve">NAP3 p.92-93: </t>
    </r>
    <r>
      <rPr>
        <sz val="10"/>
        <color theme="1"/>
        <rFont val="Calibri"/>
        <family val="2"/>
      </rPr>
      <t>DBT has: developed the Supply Chains Resilience Framework which guides businesses on options to reduce dependencies in supply chains, including diversification, working with international partners, stockpiling and surge capacity, onshoring, and demand management.</t>
    </r>
  </si>
  <si>
    <t>The framework goes some way to achieving this. Government detail on this framework doesn't give further information on if legally binding supply chains are included. https://www.gov.uk/government/publications/supply-chain-resilience/dit-supply-chains-resilience-framework</t>
  </si>
  <si>
    <t>B06.6</t>
  </si>
  <si>
    <t xml:space="preserve">Promoting the coherent use and development of modern traceability technology, namely blockchain. </t>
  </si>
  <si>
    <r>
      <rPr>
        <b/>
        <sz val="10"/>
        <color theme="1"/>
        <rFont val="Calibri"/>
        <family val="2"/>
      </rPr>
      <t>RBRA B6:</t>
    </r>
    <r>
      <rPr>
        <sz val="10"/>
        <color theme="1"/>
        <rFont val="Calibri"/>
        <family val="2"/>
      </rPr>
      <t xml:space="preserve"> does not address this action.
</t>
    </r>
    <r>
      <rPr>
        <b/>
        <sz val="10"/>
        <color theme="1"/>
        <rFont val="Calibri"/>
        <family val="2"/>
      </rPr>
      <t xml:space="preserve">NAP3 Chapter 5: </t>
    </r>
    <r>
      <rPr>
        <sz val="10"/>
        <color theme="1"/>
        <rFont val="Calibri"/>
        <family val="2"/>
      </rPr>
      <t>does not address this action.</t>
    </r>
  </si>
  <si>
    <t>No mention of trace, traceability technology or blockchain in either document.</t>
  </si>
  <si>
    <t>B06.7</t>
  </si>
  <si>
    <t>To support improved climate and location-based information and integration with other types of information.</t>
  </si>
  <si>
    <r>
      <rPr>
        <b/>
        <sz val="10"/>
        <color theme="1"/>
        <rFont val="Calibri"/>
        <family val="2"/>
      </rPr>
      <t>RBRA B6:</t>
    </r>
    <r>
      <rPr>
        <sz val="10"/>
        <color theme="1"/>
        <rFont val="Calibri"/>
        <family val="2"/>
      </rPr>
      <t xml:space="preserve"> does not address this action.
</t>
    </r>
    <r>
      <rPr>
        <b/>
        <sz val="10"/>
        <color theme="1"/>
        <rFont val="Calibri"/>
        <family val="2"/>
      </rPr>
      <t>NAP3 p.88:</t>
    </r>
    <r>
      <rPr>
        <sz val="10"/>
        <color theme="1"/>
        <rFont val="Calibri"/>
        <family val="2"/>
      </rPr>
      <t xml:space="preserve"> DBT will work with the Met Office to review provision of accessible climate risk data to businesses by the end of 2023.</t>
    </r>
  </si>
  <si>
    <t>The NAP3 action demonstrates a review of location-based climate risk information, not integration with other types of information.</t>
  </si>
  <si>
    <t>B07.1</t>
  </si>
  <si>
    <t xml:space="preserve">Use investments made to retrofit building stock, which are currently aimed at achieving low-carbon targets, to also increase the climate resilience of buildings. Opportunities in some sectors, like increased use of air conditioning due to hot weather, must be reassessed, especially in view of lock-ins, maladaptation, threshold effects and associated transition risks, such as changes in energy policy. </t>
  </si>
  <si>
    <r>
      <t xml:space="preserve">RBRA B7: </t>
    </r>
    <r>
      <rPr>
        <sz val="10"/>
        <color theme="1"/>
        <rFont val="Calibri"/>
        <family val="2"/>
      </rPr>
      <t xml:space="preserve">does not address this action.
</t>
    </r>
    <r>
      <rPr>
        <b/>
        <sz val="10"/>
        <color theme="1"/>
        <rFont val="Calibri"/>
        <family val="2"/>
      </rPr>
      <t>NAP3 p.88:</t>
    </r>
    <r>
      <rPr>
        <sz val="10"/>
        <color theme="1"/>
        <rFont val="Calibri"/>
        <family val="2"/>
      </rPr>
      <t xml:space="preserve"> DBT is working with Defra and other government departments to provide factsheets for businesses on dealing with risks from higher temperatures, water scarcity, storms and flooding. These will be published online and circulated among businesses. Climate adaptation information and guidance for businesses on the SME Climate Hub will be increased, including use of the hub to host the climate risk factsheets. Increased awareness is intended to lead to increased adoption of adaptation measures, particularly for those businesses most at risk.</t>
    </r>
    <r>
      <rPr>
        <b/>
        <sz val="10"/>
        <color theme="1"/>
        <rFont val="Calibri"/>
        <family val="2"/>
      </rPr>
      <t xml:space="preserve">
NAP3 p.92: </t>
    </r>
    <r>
      <rPr>
        <sz val="10"/>
        <color theme="1"/>
        <rFont val="Calibri"/>
        <family val="2"/>
      </rPr>
      <t>HM Treasury will continue to help create the conditions for sufficient access to private sector finance for projects that can help improve our resilience. The UK Infrastructure Bank is already addressing this with infrastructure finance to aid climate resilience and help to achieve net zero.</t>
    </r>
  </si>
  <si>
    <t xml:space="preserve">NAP3 recognises the need for climate resilient physical assets but does not include direct actions to support improved resilience of business buildings beyond sharing information and supporting investment. No mention of retrofitting for climate change. </t>
  </si>
  <si>
    <t>B07.2</t>
  </si>
  <si>
    <t>Further investigation is required into the regulatory and institutional networks that can facilitate the new opportunities in transport, industry and energy.</t>
  </si>
  <si>
    <r>
      <rPr>
        <b/>
        <sz val="10"/>
        <color theme="1"/>
        <rFont val="Calibri"/>
        <family val="2"/>
      </rPr>
      <t>RBRA B7 action 1:</t>
    </r>
    <r>
      <rPr>
        <sz val="10"/>
        <color theme="1"/>
        <rFont val="Calibri"/>
        <family val="2"/>
      </rPr>
      <t xml:space="preserve"> DBT will undertake further research beginning in 2023 and continuing over the NAP3 period to 2028 and beyond, to identify future climate-related opportunities, including opportunities around climate-related services and how climate impacts supply of goods to the UK.
</t>
    </r>
    <r>
      <rPr>
        <b/>
        <sz val="10"/>
        <color theme="1"/>
        <rFont val="Calibri"/>
        <family val="2"/>
      </rPr>
      <t>NAP3 p.93:</t>
    </r>
    <r>
      <rPr>
        <sz val="10"/>
        <color theme="1"/>
        <rFont val="Calibri"/>
        <family val="2"/>
      </rPr>
      <t xml:space="preserve"> DBT is undertaking further research into business sectors and business capacity to identify future climate-related opportunities, including sales of new consumer goods which are more suited to future changes in climate. Opportunities also include capitalising on the UK’s leading position in a range of sectors to support major capital projects domestically and internationally.</t>
    </r>
  </si>
  <si>
    <t xml:space="preserve">Further research promised to support businesses to make use of opportunities. </t>
  </si>
  <si>
    <t>B07.3</t>
  </si>
  <si>
    <t>Government investment in adaptation technologies, recommended by the CCC (2020) and creation of a Sustainable Recovery Alliance.</t>
  </si>
  <si>
    <r>
      <rPr>
        <b/>
        <sz val="10"/>
        <color theme="1"/>
        <rFont val="Calibri"/>
        <family val="2"/>
      </rPr>
      <t>RBRA B7:</t>
    </r>
    <r>
      <rPr>
        <sz val="10"/>
        <color theme="1"/>
        <rFont val="Calibri"/>
        <family val="2"/>
      </rPr>
      <t xml:space="preserve"> does not address this action.
</t>
    </r>
    <r>
      <rPr>
        <b/>
        <sz val="10"/>
        <color theme="1"/>
        <rFont val="Calibri"/>
        <family val="2"/>
      </rPr>
      <t>NAP3 Chapter 5:</t>
    </r>
    <r>
      <rPr>
        <sz val="10"/>
        <color theme="1"/>
        <rFont val="Calibri"/>
        <family val="2"/>
      </rPr>
      <t xml:space="preserve"> does not address this action.</t>
    </r>
  </si>
  <si>
    <t xml:space="preserve">No mention of supporting or providing investment in adaptation technologies or a Sustainable Recovery Alliance in RBRA or NAP3. </t>
  </si>
  <si>
    <t>H01.1</t>
  </si>
  <si>
    <t>Cross-departmental policy to better align decarbonisation policies and strategies with climate adaptation policies and strategies i.e. in relation to housing requirements.</t>
  </si>
  <si>
    <r>
      <rPr>
        <b/>
        <sz val="10"/>
        <color theme="1"/>
        <rFont val="Calibri"/>
        <family val="2"/>
      </rPr>
      <t>RBRA H1 action 5:</t>
    </r>
    <r>
      <rPr>
        <sz val="10"/>
        <color theme="1"/>
        <rFont val="Calibri"/>
        <family val="2"/>
      </rPr>
      <t xml:space="preserve"> DLUHC will update the National Planning Policy Framework to support climate change mitigation and adaptation. A wider review will take place after royal assent of the Levelling-up and Regeneration Bill. This will consider feedback from the recent Levelling-up and Regeneration Bill: reforms to national planning policy consultation. Nature based solutions, which offer multiple benefits, will also continue to be considered.
</t>
    </r>
    <r>
      <rPr>
        <b/>
        <sz val="10"/>
        <color theme="1"/>
        <rFont val="Calibri"/>
        <family val="2"/>
      </rPr>
      <t>NAP3 p.72:</t>
    </r>
    <r>
      <rPr>
        <sz val="10"/>
        <color theme="1"/>
        <rFont val="Calibri"/>
        <family val="2"/>
      </rPr>
      <t xml:space="preserve"> The National Planning Policy Framework: The NPPF is developed by DLUHC and sets out how national planning policies should be applied, guiding locally prepared plans for housing and other development. Guided by this Framework, plans should take a proactive approach to adapting to climate change. The ‘Levelling-up and Regeneration Bill: reforms to national planning policy’ consultation (which closed March 2023) sought views on the proposed approach to updating the NPPF. The government will carry out a fuller review of the NPPF following Royal Assent of the Bill, to maximise its contribution to both climate change mitigation and adaptation.</t>
    </r>
  </si>
  <si>
    <t>Largely addresses the CCRA ask but unclear what other departments should and will be involved.</t>
  </si>
  <si>
    <t>DLUHC</t>
  </si>
  <si>
    <t>H01.2</t>
  </si>
  <si>
    <t>A legal standard or regulation should be introduced to address overheating risk for current and future climates at design stage of new-build homes or renovations.</t>
  </si>
  <si>
    <r>
      <rPr>
        <b/>
        <sz val="10"/>
        <color theme="1"/>
        <rFont val="Calibri"/>
        <family val="2"/>
      </rPr>
      <t>RBRA H1 action 2:</t>
    </r>
    <r>
      <rPr>
        <sz val="10"/>
        <color theme="1"/>
        <rFont val="Calibri"/>
        <family val="2"/>
      </rPr>
      <t xml:space="preserve"> DLUHC will use recommendations from the Housing Health and Safety Rating System review to support the effective enforcement of quality and safety standards in all tenures of residential accommodation, including standards related to excess heat. The next steps will support delivery on our commitment to halve non-decent rented homes by 2030.
</t>
    </r>
    <r>
      <rPr>
        <b/>
        <sz val="10"/>
        <color theme="1"/>
        <rFont val="Calibri"/>
        <family val="2"/>
      </rPr>
      <t>NAP3 p.72:</t>
    </r>
    <r>
      <rPr>
        <sz val="10"/>
        <color theme="1"/>
        <rFont val="Calibri"/>
        <family val="2"/>
      </rPr>
      <t xml:space="preserve"> Building Regulations: Building Regulations are set by DLUHC and contain minimum standards for the design and construction of new buildings and alterations to existing buildings to protect the health and welfare of building occupants. Approved Document O was added to the buildings regulations in December 2021 and took effect in June 2022. The new requirement seeks to limit new residential buildings’ exposure to excess heat and unwanted solar gains. For non-residential buildings, overheating is generally managed through established strategies, including mechanical ventilation and air conditioning, which are covered by the existing Approved Documents.
</t>
    </r>
    <r>
      <rPr>
        <b/>
        <sz val="10"/>
        <color theme="1"/>
        <rFont val="Calibri"/>
        <family val="2"/>
      </rPr>
      <t>NAP3 p.73-74:</t>
    </r>
    <r>
      <rPr>
        <sz val="10"/>
        <color theme="1"/>
        <rFont val="Calibri"/>
        <family val="2"/>
      </rPr>
      <t xml:space="preserve"> The government is using regulation to help drive action to address overheating risk. To enhance buildings’ resilience to high temperatures and their thermal efficiency across different building types: DLUHC implemented the Approved document O of the Building Regulations in June 2022 to limit excess heat and solar gains across all new residential buildings. DLUHC and the Building Safety Regulator will investigate overheating risk in homes that have been created through a material change of use in 2022-24; DLUHC will use recommendations from the Housing Health and Safety Rating System review to support the effective enforcement of quality and safety standards in all tenures of residential accommodation, including standards related to excess heat by 2030.
</t>
    </r>
    <r>
      <rPr>
        <b/>
        <sz val="10"/>
        <color theme="1"/>
        <rFont val="Calibri"/>
        <family val="2"/>
      </rPr>
      <t xml:space="preserve">GRPR Recommendation 58: </t>
    </r>
    <r>
      <rPr>
        <sz val="10"/>
        <color theme="1"/>
        <rFont val="Calibri"/>
        <family val="2"/>
      </rPr>
      <t>The government and the Building Safety Regulator will keep Approved Document O under review, including its implementation. DLUHC will use recommendations from the Housing Health and Safety Rating System review to support the effective enforcement of quality and safety standards in all tenures of residential accommodation post-occupancy, including standards related to excess heat.</t>
    </r>
  </si>
  <si>
    <t>Largely meets the CCRA ask, one gap is the absence of reference to adaptation for future climates. This may be addressed in the referenced documents, but evaluation of these is outside the scope of this assessment.</t>
  </si>
  <si>
    <t>H01.3</t>
  </si>
  <si>
    <t>Ensure that passive cooling measures are prioritised over mechanical cooling where a risk of overheating is identified.</t>
  </si>
  <si>
    <r>
      <rPr>
        <b/>
        <sz val="10"/>
        <color theme="1"/>
        <rFont val="Calibri"/>
        <family val="2"/>
      </rPr>
      <t>RBRA H1:</t>
    </r>
    <r>
      <rPr>
        <sz val="10"/>
        <color theme="1"/>
        <rFont val="Calibri"/>
        <family val="2"/>
      </rPr>
      <t xml:space="preserve"> does not address this action.
</t>
    </r>
    <r>
      <rPr>
        <b/>
        <sz val="10"/>
        <color theme="1"/>
        <rFont val="Calibri"/>
        <family val="2"/>
      </rPr>
      <t xml:space="preserve">NAP3 Chapter 4: </t>
    </r>
    <r>
      <rPr>
        <sz val="10"/>
        <color theme="1"/>
        <rFont val="Calibri"/>
        <family val="2"/>
      </rPr>
      <t>does not address this action.</t>
    </r>
  </si>
  <si>
    <t>No reference to passive cooling in either document. This action may be addressed in documents or policies referred to in NAP3, but evaluation of those is outside the scope of this assessment.</t>
  </si>
  <si>
    <t>H01.4</t>
  </si>
  <si>
    <t xml:space="preserve">Further action is needed to better understand when overheating occurs in existing homes in order for passive cooling measures and behaviour change programmes to be targeted effectively. </t>
  </si>
  <si>
    <r>
      <rPr>
        <b/>
        <sz val="10"/>
        <color theme="1"/>
        <rFont val="Calibri"/>
        <family val="2"/>
      </rPr>
      <t xml:space="preserve">RBRA H1 action 1: </t>
    </r>
    <r>
      <rPr>
        <sz val="10"/>
        <color theme="1"/>
        <rFont val="Calibri"/>
        <family val="2"/>
      </rPr>
      <t xml:space="preserve">DLUHC implemented the new Approved Document O of the Building Regulations in June 2022. This aims to reduce the occurrence of high temperatures in new residential buildings including houses, flats and residential care homes. DLUHC and the Building Safety Regulator plan over the NAP3 period to increase our evidence of the health-related impacts of issues such as overheating in homes. DLUHC will also keep Approved Document O under review, as we do with all building regulations.
</t>
    </r>
    <r>
      <rPr>
        <b/>
        <sz val="10"/>
        <color theme="1"/>
        <rFont val="Calibri"/>
        <family val="2"/>
      </rPr>
      <t>RBRA H1 action 6:</t>
    </r>
    <r>
      <rPr>
        <sz val="10"/>
        <color theme="1"/>
        <rFont val="Calibri"/>
        <family val="2"/>
      </rPr>
      <t xml:space="preserve"> DLUHC, DESNZ, Department for Health and Social Care, and UK Health Security Agency (UKHSA) will, through the NAP3 implementation period from 2023 to 2028, conduct research to build knowledge on key evidence gaps which limit accurate identification of buildings that are most vulnerable to extreme heat. Evidence gathered will inform the design of suitable indicators to track progress on this risk. Evidence will be delivered throughout this period. For example the climate services for a Net-Zero resilient world programme will report by 2025 on modelled overheating scenarios in existing homes.
</t>
    </r>
    <r>
      <rPr>
        <b/>
        <sz val="10"/>
        <color theme="1"/>
        <rFont val="Calibri"/>
        <family val="2"/>
      </rPr>
      <t xml:space="preserve">NAP3 p.74: </t>
    </r>
    <r>
      <rPr>
        <sz val="10"/>
        <color theme="1"/>
        <rFont val="Calibri"/>
        <family val="2"/>
      </rPr>
      <t xml:space="preserve">To support the government’s effort to address overheating risks: DESNZ will develop measures that deliver the government’s effort to deliver net zero retrofit to existing homes and non-domestic buildings and will retrofit existing buildings alongside net zero commitments in ways that appropriately consider how to minimise climate risks to buildings such as from overheating.
</t>
    </r>
    <r>
      <rPr>
        <b/>
        <sz val="10"/>
        <color theme="1"/>
        <rFont val="Calibri"/>
        <family val="2"/>
      </rPr>
      <t>NAP3 p.74:</t>
    </r>
    <r>
      <rPr>
        <sz val="10"/>
        <color theme="1"/>
        <rFont val="Calibri"/>
        <family val="2"/>
      </rPr>
      <t xml:space="preserve"> To determine risk and guide interventions related to overheating and air pollution: DLUHC, DESNZ, DHSC and UKHSA will conduct targeted research through the NAP3 implementation period from 2023 to 2028 into which building types, tenures and groups are most at risk and likely to be impacted. This will be in addition to raising public awareness of the risks and adaptation actions citizens can take; ...; DLUHC, DESNZ, DHSC and UKHSA will commission research to close evidence gaps identifying the buildings most vulnerable to extreme heat and where these are located, as well as appropriate adaptation solutions. This will include: o the Climate Services for a Net-Zero resilient World programme which will report by 2025 on modelled overheating scenarios in existing homes o analysis of overheating in existing homes using Energy Follow Up Survey with report to be published in 2023 o maintaining close links with academic and other studies, e.g. membership of advisory boards, sponsorship of PhDs.
</t>
    </r>
    <r>
      <rPr>
        <b/>
        <sz val="10"/>
        <color theme="1"/>
        <rFont val="Calibri"/>
        <family val="2"/>
      </rPr>
      <t>GRPR Recommendation 59:</t>
    </r>
    <r>
      <rPr>
        <sz val="10"/>
        <color theme="1"/>
        <rFont val="Calibri"/>
        <family val="2"/>
      </rPr>
      <t xml:space="preserve"> DESNZ is undertaking research to improve understanding of overheating, and pursuing innovative opportunities for monitoring temperatures in buildings. The department has commissioned Loughborough University to use the Energy Follow-Up Survey data to analyse trends in overheating across the existing housing stock, developing a better understanding of overheating vulnerability. This project will report back by the end of 2023. DESNZ is also commissioning a research programme called Homes for Net Zero which will provide ongoing monitoring and longitudinal data on temperature in a representative sample of the existing building stock. The first phase of this project will conclude in 2025. The planned second phase of this project would aim to provide a testbed to monitor the effectiveness of a range of different overheating adaptation measures.</t>
    </r>
  </si>
  <si>
    <t>Actions noted that will address overheating in existing homes, and the gathering of more information on when overheating occurs.</t>
  </si>
  <si>
    <t>DLUHC
Building Safety Regulator
DESNZ
UKHSA</t>
  </si>
  <si>
    <t>H01.5</t>
  </si>
  <si>
    <t>Increased guidance and incentives to address overheating in existing homes through retrofitting, given the lack of information available on what measures are effective for householders.</t>
  </si>
  <si>
    <r>
      <rPr>
        <b/>
        <sz val="10"/>
        <color theme="1"/>
        <rFont val="Calibri"/>
        <family val="2"/>
      </rPr>
      <t>RBRA H1 action 7:</t>
    </r>
    <r>
      <rPr>
        <sz val="10"/>
        <color theme="1"/>
        <rFont val="Calibri"/>
        <family val="2"/>
      </rPr>
      <t xml:space="preserve"> UKHSA will increase public awareness of the estimated health risks posed by high temperatures through the NAP3 implementation period from 2023 to 2028 to increase awareness of the importance of good ventilation for both overheating risk and indoor air quality, and the steps individuals and communities can take to protect themselves and vulnerable people.
</t>
    </r>
    <r>
      <rPr>
        <b/>
        <sz val="10"/>
        <color theme="1"/>
        <rFont val="Calibri"/>
        <family val="2"/>
      </rPr>
      <t>NAP3 p.74:</t>
    </r>
    <r>
      <rPr>
        <sz val="10"/>
        <color theme="1"/>
        <rFont val="Calibri"/>
        <family val="2"/>
      </rPr>
      <t xml:space="preserve"> To support the government’s effort to address overheating risks: DESNZ will develop measures that deliver the government’s effort to deliver net zero retrofit to existing homes and non-domestic buildings and will retrofit existing buildings alongside net zero commitments in ways that appropriately consider how to minimise climate risks to buildings such as from overheating.
</t>
    </r>
    <r>
      <rPr>
        <b/>
        <sz val="10"/>
        <color theme="1"/>
        <rFont val="Calibri"/>
        <family val="2"/>
      </rPr>
      <t xml:space="preserve">NAP3 p.74: </t>
    </r>
    <r>
      <rPr>
        <sz val="10"/>
        <color theme="1"/>
        <rFont val="Calibri"/>
        <family val="2"/>
      </rPr>
      <t>To determine risk and guide interventions related to overheating and air pollution: DLUHC, DESNZ, DHSC and UKHSA will conduct targeted research through the NAP3 implementation period from 2023 to 2028 into which building types, tenures and groups are most at risk and likely to be impacted. This will be in addition to raising public awareness of the risks and adaptation actions citizens can take.</t>
    </r>
  </si>
  <si>
    <t>Clear sub-action in NAP3 to raise awareness of the adaptation options available to public. Limited detail on how this might be incentivised.</t>
  </si>
  <si>
    <t>UKHSA</t>
  </si>
  <si>
    <t>H02.1</t>
  </si>
  <si>
    <t>Further investment in strategies to increase physical activity and mental health – and the opportunities for outdoor recreation and active travel.</t>
  </si>
  <si>
    <r>
      <rPr>
        <b/>
        <sz val="10"/>
        <color theme="1"/>
        <rFont val="Calibri"/>
        <family val="2"/>
      </rPr>
      <t>RBRA H2 action 1:</t>
    </r>
    <r>
      <rPr>
        <sz val="10"/>
        <color theme="1"/>
        <rFont val="Calibri"/>
        <family val="2"/>
      </rPr>
      <t xml:space="preserve"> DLUHC is currently maximising the amount of green space available by supporting 85 local authorities in their efforts to create and refurbish parks in deprived areas as part of the Levelling-up Parks Fund.
</t>
    </r>
    <r>
      <rPr>
        <b/>
        <sz val="10"/>
        <color theme="1"/>
        <rFont val="Calibri"/>
        <family val="2"/>
      </rPr>
      <t xml:space="preserve">RBRA H2 action 2: </t>
    </r>
    <r>
      <rPr>
        <sz val="10"/>
        <color theme="1"/>
        <rFont val="Calibri"/>
        <family val="2"/>
      </rPr>
      <t xml:space="preserve">DLUHC will update the National Planning Policy Framework (NPPF) as part of a wider review to support climate change mitigation and adaptation following royal assent of the Levelling-up and Regeneration Bill. The NPPF encourages healthy activity through the provision of high-quality open spaces, green infrastructure and the promotion of active travel.
</t>
    </r>
    <r>
      <rPr>
        <b/>
        <sz val="10"/>
        <color theme="1"/>
        <rFont val="Calibri"/>
        <family val="2"/>
      </rPr>
      <t>NAP3 p.74:</t>
    </r>
    <r>
      <rPr>
        <sz val="10"/>
        <color theme="1"/>
        <rFont val="Calibri"/>
        <family val="2"/>
      </rPr>
      <t xml:space="preserve"> Guidance to build resilience in both infrastructure and service delivery in the health and social care sectors includes actions carried out by the Department for Health and Social Care (DHSC), NHS England, and UKHSA who will: implement the Adverse Weather and Health Plan, which was published in April 2023, to support local and national organisations to prepare, build and respond to future adverse weather events to protect lives and promote health and wellbeing.</t>
    </r>
  </si>
  <si>
    <t>Investment as part of the Levelling-up funding programme outlined. Further investment is not clearly indicated.</t>
  </si>
  <si>
    <t>DHSC</t>
  </si>
  <si>
    <t xml:space="preserve">DLUHC
DHSC, NHS England &amp; UKHSA
</t>
  </si>
  <si>
    <t>H03.1</t>
  </si>
  <si>
    <t>Introduction of policies that enable the shift from protection to embracing a range of measures that achieve resilience is supported across the UK. It is expected to be challenging to articulate and promote exactly what this means in practice.</t>
  </si>
  <si>
    <r>
      <rPr>
        <b/>
        <sz val="10"/>
        <color theme="1"/>
        <rFont val="Calibri"/>
        <family val="2"/>
      </rPr>
      <t>RBRA H3 action 2:</t>
    </r>
    <r>
      <rPr>
        <sz val="10"/>
        <color theme="1"/>
        <rFont val="Calibri"/>
        <family val="2"/>
      </rPr>
      <t xml:space="preserve"> Defra and the Environment Agency will invest £200 million in the Flood and Coastal Innovation Fund to test innovative practical resilience actions and develop new ways of planning for the long term by 2027.
</t>
    </r>
    <r>
      <rPr>
        <b/>
        <sz val="10"/>
        <color theme="1"/>
        <rFont val="Calibri"/>
        <family val="2"/>
      </rPr>
      <t>RBRA H3 action 3:</t>
    </r>
    <r>
      <rPr>
        <sz val="10"/>
        <color theme="1"/>
        <rFont val="Calibri"/>
        <family val="2"/>
      </rPr>
      <t xml:space="preserve"> The Environment Agency will develop updated investment scenarios by 2025 to inform future policy and investment choices on Flood and Coastal Erosion Risk Management (FCERM).
</t>
    </r>
    <r>
      <rPr>
        <b/>
        <sz val="10"/>
        <color theme="1"/>
        <rFont val="Calibri"/>
        <family val="2"/>
      </rPr>
      <t>RBRA H3 action 4:</t>
    </r>
    <r>
      <rPr>
        <sz val="10"/>
        <color theme="1"/>
        <rFont val="Calibri"/>
        <family val="2"/>
      </rPr>
      <t xml:space="preserve"> The Environment Agency and partners will deliver the National FCERM Strategy Roadmap for England by 2026, which will provide practical actions to improve resilience.
</t>
    </r>
    <r>
      <rPr>
        <b/>
        <sz val="10"/>
        <color theme="1"/>
        <rFont val="Calibri"/>
        <family val="2"/>
      </rPr>
      <t xml:space="preserve">NAP3 p.72: </t>
    </r>
    <r>
      <rPr>
        <sz val="10"/>
        <color theme="1"/>
        <rFont val="Calibri"/>
        <family val="2"/>
      </rPr>
      <t>The National Planning Policy Framework: The NPPF is developed by DLUHC and sets out how national planning policies should be applied, guiding locally prepared plans for housing and other development. Guided by this Framework, plans should take a proactive approach to adapting to climate change. The ‘Levelling-up and Regeneration Bill: reforms to national planning policy’ consultation (which closed March 2023) sought views on the proposed approach to updating the NPPF. The government will carry out a fuller review of the NPPF following Royal Assent of the Bill, to maximise its contribution to both climate change mitigation and adaptation.
Flood and Coastal Erosion Risk Management Strategy, Policy Statement and Roadmap: The Policy Statement outlines the government’s policies to increase resilience to flooding and coastal erosion. The Strategy forms part of the statutory duty of the Environment Agency under the Flood and Water Management Act 2010, and provides a framework to guide activities of flood risk management authorities and asset owners in FCERM on the ground. The Roadmap sets out the practical actions that a wide range of organisations, including infrastructure providers, environmental and farming groups, will complete by 2026 towards the strategy’s 2100 vision.</t>
    </r>
  </si>
  <si>
    <t>Multiple policies and frameworks indicated to enhance resilience. As the risk notes, it is expected to be challenging to articulate and promote exactly what this means in practice, so unclear if these policies adequately address the ask.</t>
  </si>
  <si>
    <t>Defra
EA</t>
  </si>
  <si>
    <t>H03.2</t>
  </si>
  <si>
    <t>Increasing investment in socially vulnerable areas and introducing new metrics focused on reducing social vulnerability to flooding in UK government and devolved administration outcome measures could help further mitigate the social costs of flooding, which could improve upon current approaches.</t>
  </si>
  <si>
    <r>
      <rPr>
        <b/>
        <sz val="10"/>
        <color theme="1"/>
        <rFont val="Calibri"/>
        <family val="2"/>
      </rPr>
      <t>RBRA H3:</t>
    </r>
    <r>
      <rPr>
        <sz val="10"/>
        <color theme="1"/>
        <rFont val="Calibri"/>
        <family val="2"/>
      </rPr>
      <t xml:space="preserve"> does not address this action.
</t>
    </r>
    <r>
      <rPr>
        <b/>
        <sz val="10"/>
        <color theme="1"/>
        <rFont val="Calibri"/>
        <family val="2"/>
      </rPr>
      <t>NAP3 Chapter 4:</t>
    </r>
    <r>
      <rPr>
        <sz val="10"/>
        <color theme="1"/>
        <rFont val="Calibri"/>
        <family val="2"/>
      </rPr>
      <t xml:space="preserve"> does not address this action.
</t>
    </r>
    <r>
      <rPr>
        <b/>
        <sz val="10"/>
        <color theme="1"/>
        <rFont val="Calibri"/>
        <family val="2"/>
      </rPr>
      <t xml:space="preserve">GRPR Recommendation 52: </t>
    </r>
    <r>
      <rPr>
        <sz val="10"/>
        <color theme="1"/>
        <rFont val="Calibri"/>
        <family val="2"/>
      </rPr>
      <t>As part of the 2021 Spending Review, the government committed to increase revenue funding for flood defence maintenance, with an extra £22 million per year between 2022 to 2023 and 2024 to 2025. This will maintain the Environment Agency's current level of 94 to 95% of assets in high consequence systems in required condition by 2025. Future funding allocations will be determined as part of the next Spending Review.</t>
    </r>
  </si>
  <si>
    <t>No reference to measures to invest in socially vulnerable areas.</t>
  </si>
  <si>
    <t>H03.3</t>
  </si>
  <si>
    <t>Require that information on how new developments built in at-risk areas are being made safe and resilient, for all new properties in high risk locations is made publicly available by development; which should include whether properties are being protected by flood defences (and if so to what level) as well as the extent to which PFR has been implemented in new development.</t>
  </si>
  <si>
    <r>
      <rPr>
        <b/>
        <sz val="10"/>
        <color theme="1"/>
        <rFont val="Calibri"/>
        <family val="2"/>
      </rPr>
      <t xml:space="preserve">RBRA H3 action 7: </t>
    </r>
    <r>
      <rPr>
        <sz val="10"/>
        <color theme="1"/>
        <rFont val="Calibri"/>
        <family val="2"/>
      </rPr>
      <t xml:space="preserve">Defra and DLUHC will review national planning policy following the passage of the Levelling-up and Regeneration Bill to ensure it is sufficiently robust to keep future developments safe from flooding and not increase risk elsewhere.
</t>
    </r>
    <r>
      <rPr>
        <b/>
        <sz val="10"/>
        <color theme="1"/>
        <rFont val="Calibri"/>
        <family val="2"/>
      </rPr>
      <t>NAP3 Chapter 4:</t>
    </r>
    <r>
      <rPr>
        <sz val="10"/>
        <color theme="1"/>
        <rFont val="Calibri"/>
        <family val="2"/>
      </rPr>
      <t xml:space="preserve"> does not address this action.</t>
    </r>
  </si>
  <si>
    <t>Further detail relating to the CCRA ask may be included in the policies mentioned, but evaluation of these is outside the scope of this assessment.</t>
  </si>
  <si>
    <t>Defra
DLUHC</t>
  </si>
  <si>
    <t>H03.4</t>
  </si>
  <si>
    <t xml:space="preserve">Introduction of a statutory requirement for SuDS to be enforced and monitored in new developments (is already in force in Wales). </t>
  </si>
  <si>
    <t>England, Scotland &amp; Northern Ireland</t>
  </si>
  <si>
    <r>
      <rPr>
        <b/>
        <sz val="10"/>
        <color theme="1"/>
        <rFont val="Calibri"/>
        <family val="2"/>
      </rPr>
      <t>RBRA H3 action 8:</t>
    </r>
    <r>
      <rPr>
        <sz val="10"/>
        <color theme="1"/>
        <rFont val="Calibri"/>
        <family val="2"/>
      </rPr>
      <t xml:space="preserve"> Defra will make sustainable drainage systems mandatory in new developments by 2024, subject to final decisions on scope, threshold and process once a full regulatory impact assessment has been completed. This will support long term resilience from surface water flood risk by reducing the impact of rainfall on new developments, using features such as soakaways and ponds.</t>
    </r>
    <r>
      <rPr>
        <b/>
        <sz val="10"/>
        <color theme="1"/>
        <rFont val="Calibri"/>
        <family val="2"/>
      </rPr>
      <t xml:space="preserve">
NAP3 p.83: </t>
    </r>
    <r>
      <rPr>
        <sz val="10"/>
        <color theme="1"/>
        <rFont val="Calibri"/>
        <family val="2"/>
      </rPr>
      <t>The government is delivering several wider actions to support our goal to be more resilient to future flood and coastal erosion risk. Defra, DLUHC and the Environment Agency will: help reduce surface water flooding risk by standardising sustainable drainage systems in new developments through the implementation of Schedule 3 to the Flood and Water Management Act 2010, subject to scope and threshold. This will help protect against impact of heavy rainfall on the water system.</t>
    </r>
    <r>
      <rPr>
        <b/>
        <sz val="10"/>
        <color theme="1"/>
        <rFont val="Calibri"/>
        <family val="2"/>
      </rPr>
      <t xml:space="preserve">
GRPR Recommendation 20: </t>
    </r>
    <r>
      <rPr>
        <sz val="10"/>
        <color theme="1"/>
        <rFont val="Calibri"/>
        <family val="2"/>
      </rPr>
      <t>The review for making sustainable drainage systems (SuDS) mandatory in new developments in England was published on 10 January this year. The government has accepted the review’s recommendations and is now looking at how 
best to implement Schedule 3 to the Flood and Water Management Act 2010 considering scope, threshold and process, while also being mindful of the cumulative impact of new regulatory burdens on the development sector. Implementation is expected during 2024, following a public consultation.</t>
    </r>
  </si>
  <si>
    <t>The Government's Response to Parliament suggests significant progress is being taken. Actions in the RBRA and NAP3 corroborate this.</t>
  </si>
  <si>
    <t>H03.5</t>
  </si>
  <si>
    <t>Respond to recommendations from research in England and Scotland on the low uptake of PFR measures.</t>
  </si>
  <si>
    <r>
      <rPr>
        <b/>
        <sz val="10"/>
        <color theme="1"/>
        <rFont val="Calibri"/>
        <family val="2"/>
      </rPr>
      <t>RBRA H3 action 10:</t>
    </r>
    <r>
      <rPr>
        <sz val="10"/>
        <color theme="1"/>
        <rFont val="Calibri"/>
        <family val="2"/>
      </rPr>
      <t xml:space="preserve"> Defra will continue to encourage uptake of property flood resilience measures. For example, in April 2022 we amended legislation to enable the Flood Re Scheme to pay claims from insurers, which include up to £10,000 towards resilient repair to help build resilience of households impacted by flooding.
</t>
    </r>
    <r>
      <rPr>
        <b/>
        <sz val="10"/>
        <color theme="1"/>
        <rFont val="Calibri"/>
        <family val="2"/>
      </rPr>
      <t>NAP3 Chapter 4:</t>
    </r>
    <r>
      <rPr>
        <sz val="10"/>
        <color theme="1"/>
        <rFont val="Calibri"/>
        <family val="2"/>
      </rPr>
      <t xml:space="preserve"> does not address this action.</t>
    </r>
  </si>
  <si>
    <t>Some evidence of encouraging PFR uptake, but insufficient detail to know whether this will considerably increase uptake.</t>
  </si>
  <si>
    <t>H04.1</t>
  </si>
  <si>
    <t>Identify the communities at risk and develop plans for these communities including providing clear messages about how a process change will be delivered.</t>
  </si>
  <si>
    <t>UK (particularly England &amp; Wales)</t>
  </si>
  <si>
    <r>
      <rPr>
        <b/>
        <sz val="10"/>
        <color theme="1"/>
        <rFont val="Calibri"/>
        <family val="2"/>
      </rPr>
      <t>RBRA H4 action 1:</t>
    </r>
    <r>
      <rPr>
        <sz val="10"/>
        <color theme="1"/>
        <rFont val="Calibri"/>
        <family val="2"/>
      </rPr>
      <t xml:space="preserve"> Defra and the Environment Agency will invest £5.2 billion to build new flood and coastal defences to better protect communities across England by 2027. This will include projects which focus on better protection for coastal communities.
</t>
    </r>
    <r>
      <rPr>
        <b/>
        <sz val="10"/>
        <color theme="1"/>
        <rFont val="Calibri"/>
        <family val="2"/>
      </rPr>
      <t>RBRA H4 action 2:</t>
    </r>
    <r>
      <rPr>
        <sz val="10"/>
        <color theme="1"/>
        <rFont val="Calibri"/>
        <family val="2"/>
      </rPr>
      <t xml:space="preserve"> Defra will support innovation in a small number of coastal communities at significant risk of erosion between 2022 and 2027 through the Coastal Transition Accelerator Programme to adapt to a changing climate. The programme will act as a catalyst for strategic, long-term planning and will help test innovative practical actions which will be shared across England.
</t>
    </r>
    <r>
      <rPr>
        <b/>
        <sz val="10"/>
        <color theme="1"/>
        <rFont val="Calibri"/>
        <family val="2"/>
      </rPr>
      <t xml:space="preserve">RBRA H4 action 3: </t>
    </r>
    <r>
      <rPr>
        <sz val="10"/>
        <color theme="1"/>
        <rFont val="Calibri"/>
        <family val="2"/>
      </rPr>
      <t xml:space="preserve">The Environment Agency and partners will deliver the National FCERM Strategy Roadmap for England by 2026, which will provide practical actions to improve resilience.
</t>
    </r>
    <r>
      <rPr>
        <b/>
        <sz val="10"/>
        <color theme="1"/>
        <rFont val="Calibri"/>
        <family val="2"/>
      </rPr>
      <t>RBRA H4 action 4:</t>
    </r>
    <r>
      <rPr>
        <sz val="10"/>
        <color theme="1"/>
        <rFont val="Calibri"/>
        <family val="2"/>
      </rPr>
      <t xml:space="preserve"> The Environment Agency will update the National Coastal Erosion Risk Map and its assessment of properties and infrastructure at risk from erosion in a changing climate by the end of 2023. This will improve evidence and inform decision-making along the coast.
</t>
    </r>
    <r>
      <rPr>
        <b/>
        <sz val="10"/>
        <color theme="1"/>
        <rFont val="Calibri"/>
        <family val="2"/>
      </rPr>
      <t xml:space="preserve">RBRA H4 action 5: </t>
    </r>
    <r>
      <rPr>
        <sz val="10"/>
        <color theme="1"/>
        <rFont val="Calibri"/>
        <family val="2"/>
      </rPr>
      <t xml:space="preserve">A Defra research project carried out by the British Geographical Survey, which concluded in May 2023, has reviewed and collated historical coastal change evidence and created a methodological framework to monitor, document and present historical coastal change. Data from this project will be used to inform future coastal management decisions.
</t>
    </r>
    <r>
      <rPr>
        <b/>
        <sz val="10"/>
        <color theme="1"/>
        <rFont val="Calibri"/>
        <family val="2"/>
      </rPr>
      <t>RBRA H4 action 6:</t>
    </r>
    <r>
      <rPr>
        <sz val="10"/>
        <color theme="1"/>
        <rFont val="Calibri"/>
        <family val="2"/>
      </rPr>
      <t xml:space="preserve"> The Environment Agency will support local authorities to update and strengthen Shoreline Management Plans by the end of 2024 to ensure they remain relevant for future shoreline planning, including taking into account up to-date information on climate risk.
</t>
    </r>
    <r>
      <rPr>
        <b/>
        <sz val="10"/>
        <color theme="1"/>
        <rFont val="Calibri"/>
        <family val="2"/>
      </rPr>
      <t>RBRA H4 action 7:</t>
    </r>
    <r>
      <rPr>
        <sz val="10"/>
        <color theme="1"/>
        <rFont val="Calibri"/>
        <family val="2"/>
      </rPr>
      <t xml:space="preserve"> Defra will review national policy for Shoreline Management Plans by the end of 2026 to ensure they are transparent, continuously review outcomes and enable local authorities to make robust decisions on shoreline management.
</t>
    </r>
    <r>
      <rPr>
        <b/>
        <sz val="10"/>
        <color theme="1"/>
        <rFont val="Calibri"/>
        <family val="2"/>
      </rPr>
      <t>RBRA H4 action 8:</t>
    </r>
    <r>
      <rPr>
        <sz val="10"/>
        <color theme="1"/>
        <rFont val="Calibri"/>
        <family val="2"/>
      </rPr>
      <t xml:space="preserve"> Defra will review the tools that coastal erosion risk management authorities (RMAs) use to manage the coast and explore the availability of products or services which support coastal transition and manage coastal erosion risk by the end of 2024.
</t>
    </r>
    <r>
      <rPr>
        <b/>
        <sz val="10"/>
        <color theme="1"/>
        <rFont val="Calibri"/>
        <family val="2"/>
      </rPr>
      <t>NAP3 p.82-83:</t>
    </r>
    <r>
      <rPr>
        <sz val="10"/>
        <color theme="1"/>
        <rFont val="Calibri"/>
        <family val="2"/>
      </rPr>
      <t xml:space="preserve"> To address climate risks to communities and the UK’s cultural heritage, the government is providing significant investment to protect people and their communities at risk. Defra and the Environment Agency are: better protecting communities through the £5.2 billion investment in flood and coastal erosion schemes in England by 2027. This includes a £100 million Frequently Flooded Allowance to support communities where 10 or more properties have flooded twice or more in the last 10 years; providing support for local areas to help them utilise innovative ways to build resilience through the £200 million Flood and Coastal Innovation Fund - 25 local projects will benefit from this fund between 2021 and 2027.
</t>
    </r>
    <r>
      <rPr>
        <b/>
        <sz val="10"/>
        <color theme="1"/>
        <rFont val="Calibri"/>
        <family val="2"/>
      </rPr>
      <t>NAP3 p.83:</t>
    </r>
    <r>
      <rPr>
        <sz val="10"/>
        <color theme="1"/>
        <rFont val="Calibri"/>
        <family val="2"/>
      </rPr>
      <t xml:space="preserve"> The government is committed to ensuring communities have the information they need to understand, manage and prepare for flood and coastal erosion risk. Defra and the Environment Agency will: improve the National Coastal Erosion Map to provide an updated assessment of properties and infrastructure at risk from erosion in a changing climate. This will provide better evidence to inform decision making on adapting the coast. This work will commence in 2023; Improve the capability of forecasting floods in higher risk areas to improve surface water flood risk information which will in turn improve communication of forecasts to those responding locally.</t>
    </r>
  </si>
  <si>
    <t>Clear action to model communities at risk and several plans to protect at risk communities.</t>
  </si>
  <si>
    <t>Defra &amp; DLUHC</t>
  </si>
  <si>
    <t>H04.2</t>
  </si>
  <si>
    <t>Actions relating to Coastal-Change-Management-Areas, how to bring adaptation planning in line with Shoreline Management Plan (SMP) delivery and improved strategies across SMPs.</t>
  </si>
  <si>
    <r>
      <rPr>
        <b/>
        <sz val="10"/>
        <color theme="1"/>
        <rFont val="Calibri"/>
        <family val="2"/>
      </rPr>
      <t xml:space="preserve">RBRA H4 action 6: </t>
    </r>
    <r>
      <rPr>
        <sz val="10"/>
        <color theme="1"/>
        <rFont val="Calibri"/>
        <family val="2"/>
      </rPr>
      <t xml:space="preserve">The Environment Agency will support local authorities to update and strengthen Shoreline Management Plans by the end of 2024 to ensure they remain relevant for future shoreline planning, including taking into account up to-date information on climate risk.
</t>
    </r>
    <r>
      <rPr>
        <b/>
        <sz val="10"/>
        <color theme="1"/>
        <rFont val="Calibri"/>
        <family val="2"/>
      </rPr>
      <t>RBRA H4 action 7:</t>
    </r>
    <r>
      <rPr>
        <sz val="10"/>
        <color theme="1"/>
        <rFont val="Calibri"/>
        <family val="2"/>
      </rPr>
      <t xml:space="preserve"> Defra will review national policy for Shoreline Management Plans by the end of 2026 to ensure they are transparent, continuously review outcomes and enable local authorities to make robust decisions on shoreline management.
</t>
    </r>
    <r>
      <rPr>
        <b/>
        <sz val="10"/>
        <color theme="1"/>
        <rFont val="Calibri"/>
        <family val="2"/>
      </rPr>
      <t xml:space="preserve">NAP3 p.83: </t>
    </r>
    <r>
      <rPr>
        <sz val="10"/>
        <color theme="1"/>
        <rFont val="Calibri"/>
        <family val="2"/>
      </rPr>
      <t xml:space="preserve">Defra, DLUHC and the Environment Agency will: refresh Shoreline Management Plans by the end of 2024 so that they remain current and relevant, using the most up to date available information.
</t>
    </r>
    <r>
      <rPr>
        <b/>
        <sz val="10"/>
        <color theme="1"/>
        <rFont val="Calibri"/>
        <family val="2"/>
      </rPr>
      <t>GRPR Recommendation 53:</t>
    </r>
    <r>
      <rPr>
        <sz val="10"/>
        <color theme="1"/>
        <rFont val="Calibri"/>
        <family val="2"/>
      </rPr>
      <t xml:space="preserve"> Shoreline Management Plans are developed and owned by the local councils and coastal protection authorities. These provide long-term strategic plans which identify approaches for managing the flood and coastal erosion risks at every stretch of coastline. Defra will review national policy for Shoreline Management Plans by the end of 2026 to ensure they are transparent, continuously review outcomes and enable Local Authorities to make robust decisions on shoreline management, including local planning choices. </t>
    </r>
  </si>
  <si>
    <t>Evidence of measures to improve SMPs but no clear mechanism for introducing adaptation planning into SMP delivery.</t>
  </si>
  <si>
    <t>EA
Defra
DLUHC</t>
  </si>
  <si>
    <t>H04.3</t>
  </si>
  <si>
    <t>A clear legal framework around adaptation planning, roll back and other adaptation policy implementation processes.</t>
  </si>
  <si>
    <r>
      <rPr>
        <b/>
        <sz val="10"/>
        <color theme="1"/>
        <rFont val="Calibri"/>
        <family val="2"/>
      </rPr>
      <t>RBRA H4 action 9:</t>
    </r>
    <r>
      <rPr>
        <sz val="10"/>
        <color theme="1"/>
        <rFont val="Calibri"/>
        <family val="2"/>
      </rPr>
      <t xml:space="preserve"> Defra and DLUHC will review national planning policy, following the passage of the Levelling-up and Regeneration Bill, to ensure it is sufficiently robust to keep future developments safe from flooding and not increase risk elsewhere. This includes reviewing the planning policy approach for areas at the coast in managing and adapting to coastal change and sea level rise.
</t>
    </r>
    <r>
      <rPr>
        <b/>
        <sz val="10"/>
        <color theme="1"/>
        <rFont val="Calibri"/>
        <family val="2"/>
      </rPr>
      <t>NAP3 Chapter 4:</t>
    </r>
    <r>
      <rPr>
        <sz val="10"/>
        <color theme="1"/>
        <rFont val="Calibri"/>
        <family val="2"/>
      </rPr>
      <t xml:space="preserve"> does not address this action.</t>
    </r>
  </si>
  <si>
    <t>Meets the broad aim of the CCRA ask but not to the level of detail and thoroughness implied in 'clear legal framework'.</t>
  </si>
  <si>
    <t>H04.4</t>
  </si>
  <si>
    <t>Guidance and support on the development and deliverance of long-term investment strategies, the suite of financing options available, how best to incentivise roll back and the development of new financial products that could enable vulnerable communities to adapt cost-effectively.</t>
  </si>
  <si>
    <r>
      <rPr>
        <b/>
        <sz val="10"/>
        <color theme="1"/>
        <rFont val="Calibri"/>
        <family val="2"/>
      </rPr>
      <t>RBRA H4 action 1:</t>
    </r>
    <r>
      <rPr>
        <sz val="10"/>
        <color theme="1"/>
        <rFont val="Calibri"/>
        <family val="2"/>
      </rPr>
      <t xml:space="preserve"> Defra and the Environment Agency will invest £5.2 billion to build new flood and coastal defences to better protect communities across England by 2027. This will include projects which focus on better protection for coastal communities.
</t>
    </r>
    <r>
      <rPr>
        <b/>
        <sz val="10"/>
        <color theme="1"/>
        <rFont val="Calibri"/>
        <family val="2"/>
      </rPr>
      <t>RBRA H4 action 10:</t>
    </r>
    <r>
      <rPr>
        <sz val="10"/>
        <color theme="1"/>
        <rFont val="Calibri"/>
        <family val="2"/>
      </rPr>
      <t xml:space="preserve"> DLUHC will provide regeneration funding which will be accessible to coastal communities for a variety of reasons, including to better protect them from climate risks including flooding and coastal erosion. For example, the UK Shared Prosperity Fund, which will ramp up to £1.5 billion per year by 2024-25, is allocated to lead local authorities and will provide funding to coastal communities of all sizes, often as part of wider programmes.
</t>
    </r>
    <r>
      <rPr>
        <b/>
        <sz val="10"/>
        <color theme="1"/>
        <rFont val="Calibri"/>
        <family val="2"/>
      </rPr>
      <t>NAP3 p.85:</t>
    </r>
    <r>
      <rPr>
        <sz val="10"/>
        <color theme="1"/>
        <rFont val="Calibri"/>
        <family val="2"/>
      </rPr>
      <t xml:space="preserve"> Defra and the Environment Agency are: better protecting communities through the £5.2 billion investment in flood and coastal erosion schemes in England by 2027. This includes a £100 million Frequently Flooded Allowance to support communities where 10 or more properties have flooded twice or more in the last 10 years; providing support for local areas to help them utilise innovative ways to build resilience through the £200 million Flood and Coastal Innovation Fund - 25 local projects will benefit from this fund between 2021 and 2027.</t>
    </r>
  </si>
  <si>
    <t>Evidence of funding streams to support adaptation but no specific detail on cost-effective adaptation.</t>
  </si>
  <si>
    <t>Defra &amp; EA
DLUHC</t>
  </si>
  <si>
    <t>H04.5</t>
  </si>
  <si>
    <t>Raise awareness of SMP and policies generally, including how to convey that there may be risks with policy non-deliverability due to longer term funding gaps.</t>
  </si>
  <si>
    <r>
      <t xml:space="preserve">RBRA H4: </t>
    </r>
    <r>
      <rPr>
        <sz val="10"/>
        <color theme="1"/>
        <rFont val="Calibri"/>
        <family val="2"/>
      </rPr>
      <t>does not address this action.</t>
    </r>
    <r>
      <rPr>
        <b/>
        <sz val="10"/>
        <color theme="1"/>
        <rFont val="Calibri"/>
        <family val="2"/>
      </rPr>
      <t xml:space="preserve">
NAP3 Chapter 4: </t>
    </r>
    <r>
      <rPr>
        <sz val="10"/>
        <color theme="1"/>
        <rFont val="Calibri"/>
        <family val="2"/>
      </rPr>
      <t>does not address this action.</t>
    </r>
  </si>
  <si>
    <t>No relevant actions identified.</t>
  </si>
  <si>
    <t>H04.6</t>
  </si>
  <si>
    <t>Secure funds for dedicated and skilled community engagement individuals to reduce future risk and raise awareness.</t>
  </si>
  <si>
    <r>
      <rPr>
        <b/>
        <sz val="10"/>
        <color theme="1"/>
        <rFont val="Calibri"/>
        <family val="2"/>
      </rPr>
      <t>RBRA H4:</t>
    </r>
    <r>
      <rPr>
        <sz val="10"/>
        <color theme="1"/>
        <rFont val="Calibri"/>
        <family val="2"/>
      </rPr>
      <t xml:space="preserve"> does not address this action.
</t>
    </r>
    <r>
      <rPr>
        <b/>
        <sz val="10"/>
        <color theme="1"/>
        <rFont val="Calibri"/>
        <family val="2"/>
      </rPr>
      <t>NAP p.84:</t>
    </r>
    <r>
      <rPr>
        <sz val="10"/>
        <color theme="1"/>
        <rFont val="Calibri"/>
        <family val="2"/>
      </rPr>
      <t xml:space="preserve"> Historic England in consultation with DCMS will: develop (2024) and deliver (ongoing) an action plan with partners to understand and communicate the threat to cultural heritage from flooding and coastal erosion to inform future adaptation and decision-making.</t>
    </r>
  </si>
  <si>
    <t>Action in NAP3 for community engagement in reference to cultural heritage but not specific to communities.</t>
  </si>
  <si>
    <t>H04.7</t>
  </si>
  <si>
    <t>Strategic planning for supporting community infrastructure, caravan park businesses and their inhabitants.</t>
  </si>
  <si>
    <r>
      <rPr>
        <b/>
        <sz val="10"/>
        <color theme="1"/>
        <rFont val="Calibri"/>
        <family val="2"/>
      </rPr>
      <t>RBRA H4 action 10:</t>
    </r>
    <r>
      <rPr>
        <sz val="10"/>
        <color theme="1"/>
        <rFont val="Calibri"/>
        <family val="2"/>
      </rPr>
      <t xml:space="preserve"> DLUHC will provide regeneration funding which will be accessible to coastal communities for a variety of reasons, including to better protect them from climate risks including flooding and coastal erosion. For example, the UK Shared Prosperity Fund, which will ramp up to £1.5 billion per year by 2024-25, is allocated to lead local authorities and will provide funding to coastal communities of all sizes, often as part of wider programmes.
</t>
    </r>
    <r>
      <rPr>
        <b/>
        <sz val="10"/>
        <color theme="1"/>
        <rFont val="Calibri"/>
        <family val="2"/>
      </rPr>
      <t>NAP3 p.83:</t>
    </r>
    <r>
      <rPr>
        <sz val="10"/>
        <color theme="1"/>
        <rFont val="Calibri"/>
        <family val="2"/>
      </rPr>
      <t xml:space="preserve"> The government is delivering several wider actions to support our goal to be more resilient to future flood and coastal erosion risk. Defra, DLUHC and the Environment Agency will: work with partners to deliver actions that will build resilience to flooding and coastal change through the National FCERM Strategy Roadmap by 2026.</t>
    </r>
  </si>
  <si>
    <t>Some actions that broadly meet the CCRA ask. Assumed further detail present in the FCERM Strategy Roadmap, but evaluation of that document is outside the scope of this assessment.</t>
  </si>
  <si>
    <t>DLUHC
Defra
EA</t>
  </si>
  <si>
    <t>H04.8</t>
  </si>
  <si>
    <t>Guidance on and support with monitoring coastal erosion, monitoring property and infrastructure at risk and when lost to coastal erosion (including temporary infrastructure e.g. caravans).</t>
  </si>
  <si>
    <r>
      <rPr>
        <b/>
        <sz val="10"/>
        <color theme="1"/>
        <rFont val="Calibri"/>
        <family val="2"/>
      </rPr>
      <t>RBRA H4:</t>
    </r>
    <r>
      <rPr>
        <sz val="10"/>
        <color theme="1"/>
        <rFont val="Calibri"/>
        <family val="2"/>
      </rPr>
      <t xml:space="preserve"> does not address this action.
</t>
    </r>
    <r>
      <rPr>
        <b/>
        <sz val="10"/>
        <color theme="1"/>
        <rFont val="Calibri"/>
        <family val="2"/>
      </rPr>
      <t>NAP3 p.83:</t>
    </r>
    <r>
      <rPr>
        <sz val="10"/>
        <color theme="1"/>
        <rFont val="Calibri"/>
        <family val="2"/>
      </rPr>
      <t xml:space="preserve"> The government is committed to ensuring communities have the information they need to understand, manage and prepare for flood and coastal erosion risk. Defra and the Environment Agency will: improve the National Coastal Erosion Map to provide an updated assessment of properties and infrastructure at risk from erosion in a changing climate. This will provide better evidence to inform decision making on adapting the coast. This work will commence in 2023.</t>
    </r>
  </si>
  <si>
    <t>Recognition of need for information on coastal erosion risk, but no clear direct action to support monitoring or guidance of coastal erosion.</t>
  </si>
  <si>
    <t>H05.1</t>
  </si>
  <si>
    <t>Include in national adaptation planning proactive approaches to risks to building fabric e.g. monitoring, measuring and prediction and awareness raising in households.</t>
  </si>
  <si>
    <r>
      <rPr>
        <b/>
        <sz val="10"/>
        <color theme="1"/>
        <rFont val="Calibri"/>
        <family val="2"/>
      </rPr>
      <t>RBRA H5 action 4:</t>
    </r>
    <r>
      <rPr>
        <sz val="10"/>
        <color theme="1"/>
        <rFont val="Calibri"/>
        <family val="2"/>
      </rPr>
      <t xml:space="preserve"> Department for Business and Trade (DBT) will ensure climate risk to building fabric is being considered in work to support sustainable construction standards and guidelines through the NAP3 implementation period from 2023 to 2028.
</t>
    </r>
    <r>
      <rPr>
        <b/>
        <sz val="10"/>
        <color theme="1"/>
        <rFont val="Calibri"/>
        <family val="2"/>
      </rPr>
      <t>NAP3 p.77:</t>
    </r>
    <r>
      <rPr>
        <sz val="10"/>
        <color theme="1"/>
        <rFont val="Calibri"/>
        <family val="2"/>
      </rPr>
      <t xml:space="preserve"> The government is also working to address climate impacts on building fabric such as increased risks from moisture, wind, subsidence and wildfire.
</t>
    </r>
    <r>
      <rPr>
        <b/>
        <sz val="10"/>
        <color theme="1"/>
        <rFont val="Calibri"/>
        <family val="2"/>
      </rPr>
      <t xml:space="preserve">NAP3 p.81: </t>
    </r>
    <r>
      <rPr>
        <sz val="10"/>
        <color theme="1"/>
        <rFont val="Calibri"/>
        <family val="2"/>
      </rPr>
      <t xml:space="preserve">DBT ensuring climate resilience and risk to building fabric from the impact of climate change are being considered in work to support sustainable construction standards and guidelines between 2023-2028.
</t>
    </r>
    <r>
      <rPr>
        <b/>
        <sz val="10"/>
        <color theme="1"/>
        <rFont val="Calibri"/>
        <family val="2"/>
      </rPr>
      <t xml:space="preserve">GRPR Recommendation 8: </t>
    </r>
    <r>
      <rPr>
        <sz val="10"/>
        <color theme="1"/>
        <rFont val="Calibri"/>
        <family val="2"/>
      </rPr>
      <t xml:space="preserve">The NPPF is clear that plans should take a proactive approach to adapting to climate change, and that new development should be planned for in ways that avoid increased vulnerability to the range of impacts arising from climate change. DLUHC’s ‘Levelling-up and Regeneration Bill: reforms to national planning policy’ consultation (which closed March 2023) sought views on the proposed approach to  updating the NPPF. The government will carry out a fuller review of the NPPF following royal assent of the Levelling-Up and Regeneration Bill, in line with the Net Zero Strategy, to make sure to make sure it contributes to climate change mitigation and adaptation as fully as possible. </t>
    </r>
  </si>
  <si>
    <t>Actions indicate plans that will meet CCRA ask for risks to building fabric to be included in adaptation planning.</t>
  </si>
  <si>
    <t>DESNZ &amp; DLUHC</t>
  </si>
  <si>
    <t>H05.2</t>
  </si>
  <si>
    <t>Increased building codes to cope with more intense windstorms.</t>
  </si>
  <si>
    <r>
      <rPr>
        <b/>
        <sz val="10"/>
        <color theme="1"/>
        <rFont val="Calibri"/>
        <family val="2"/>
      </rPr>
      <t>RBRA H5 action 1:</t>
    </r>
    <r>
      <rPr>
        <sz val="10"/>
        <color theme="1"/>
        <rFont val="Calibri"/>
        <family val="2"/>
      </rPr>
      <t xml:space="preserve"> DESNZ plan to carry out a detailed risk assessment for the UK’s existing building stock’s exposure to damage from 2080 climate hazards by 2028 using a programme of research. Research will be carried out from 2023 to 2028, gathering evidence to enable this risk assessment, with outputs delivered throughout this period. For example, research modelling projected wind-driven rain risk in 2080 will report back by the end of 2023. The research in this action will support the development of tailored adaptation actions for local areas, it will consider unequal effects of climate change on at-risk groups, and feed into the development of the Heat &amp; Buildings Strategy Policy Framework.
</t>
    </r>
    <r>
      <rPr>
        <b/>
        <sz val="10"/>
        <color theme="1"/>
        <rFont val="Calibri"/>
        <family val="2"/>
      </rPr>
      <t xml:space="preserve">NAP3 p.80: </t>
    </r>
    <r>
      <rPr>
        <sz val="10"/>
        <color theme="1"/>
        <rFont val="Calibri"/>
        <family val="2"/>
      </rPr>
      <t>Across the entire UK building stock:</t>
    </r>
    <r>
      <rPr>
        <b/>
        <sz val="10"/>
        <color theme="1"/>
        <rFont val="Calibri"/>
        <family val="2"/>
      </rPr>
      <t xml:space="preserve"> </t>
    </r>
    <r>
      <rPr>
        <sz val="10"/>
        <color theme="1"/>
        <rFont val="Calibri"/>
        <family val="2"/>
      </rPr>
      <t>DESNZ is managing research on mapping out climate risks relevant to buildings at local scale including extreme wind and wind-driven rain to highlight areas where specific building types may be at greater risk of damage.</t>
    </r>
  </si>
  <si>
    <t>Research will support the government to address the CCRA ask to increase building codes, but the actions set out in NAP3 do not assure that the building codes will be raised as a result of the research and mapping.</t>
  </si>
  <si>
    <t>DESNZ</t>
  </si>
  <si>
    <t>H05.3</t>
  </si>
  <si>
    <t>A more integrated approach on moisture in buildings as part of a whole-house approach and accounting for the changing climate and potentially greater risks over time, although there would need to be an analysis of the potential costs and benefits of the climate uplifts, taking into account the long life-times and potential lock-in for new builds, but also the cost premium and nature of benefits.</t>
  </si>
  <si>
    <r>
      <rPr>
        <b/>
        <sz val="10"/>
        <color theme="1"/>
        <rFont val="Calibri"/>
        <family val="2"/>
      </rPr>
      <t>RBRA H5 action 1:</t>
    </r>
    <r>
      <rPr>
        <sz val="10"/>
        <color theme="1"/>
        <rFont val="Calibri"/>
        <family val="2"/>
      </rPr>
      <t xml:space="preserve"> DESNZ plan to carry out a detailed risk assessment for the UK’s existing building stock’s exposure to damage from 2080 climate hazards by 2028 using a programme of research. Research will be carried out from 2023 to 2028, gathering evidence to enable this risk assessment, with outputs delivered throughout this period. For example, research modelling projected wind-driven rain risk in 2080 will report back by the end of 2023. The research in this action will support the development of tailored adaptation actions for local areas, it will consider unequal effects of climate change on at-risk groups, and feed into the development of the Heat &amp; Buildings Strategy Policy Framework.
</t>
    </r>
    <r>
      <rPr>
        <b/>
        <sz val="10"/>
        <color theme="1"/>
        <rFont val="Calibri"/>
        <family val="2"/>
      </rPr>
      <t>NAP3 p.77:</t>
    </r>
    <r>
      <rPr>
        <sz val="10"/>
        <color theme="1"/>
        <rFont val="Calibri"/>
        <family val="2"/>
      </rPr>
      <t xml:space="preserve"> The government is also working to address climate impacts on building fabric such as increased risks from moisture, wind, subsidence and wildfire.</t>
    </r>
  </si>
  <si>
    <t>The risk assessment conducted by DESNZ will go some way to meeting the CCRA ask, assuming the assessment considers a more integrated approach to moisture in building. No detail in NAP3 on how moisture in buildings will be addressed.</t>
  </si>
  <si>
    <t>H05.4</t>
  </si>
  <si>
    <t>Appropriate guidance and tools to support decision-making are needed for the implementation of adaptation measures in the next decade in order to avoid lock-in with inappropriate housing designs.</t>
  </si>
  <si>
    <r>
      <rPr>
        <b/>
        <sz val="10"/>
        <color theme="1"/>
        <rFont val="Calibri"/>
        <family val="2"/>
      </rPr>
      <t>RBRA H5 action 3:</t>
    </r>
    <r>
      <rPr>
        <sz val="10"/>
        <color theme="1"/>
        <rFont val="Calibri"/>
        <family val="2"/>
      </rPr>
      <t xml:space="preserve"> The Building Safety Regulator will have a statutory role in overseeing the safety and standards of all buildings, including the resilience of buildings to climate risks. DLUHC and the Building Safety Regulator plan over the NAP3 period to increase our evidence of the health-related impacts of issues such as overheating in homes.
</t>
    </r>
    <r>
      <rPr>
        <b/>
        <sz val="10"/>
        <color theme="1"/>
        <rFont val="Calibri"/>
        <family val="2"/>
      </rPr>
      <t xml:space="preserve">NAP3 p.72: </t>
    </r>
    <r>
      <rPr>
        <sz val="10"/>
        <color theme="1"/>
        <rFont val="Calibri"/>
        <family val="2"/>
      </rPr>
      <t>Building Regulations Building Regulations are set by DLUHC and contain minimum standards for the design and construction of new buildings and alterations to existing buildings to protect the health and welfare of building occupants. Approved Document O was added to the buildings regulations in December 2021 and took effect in June 2022. The new requirement seeks to limit new residential buildings’ exposure to excess heat and unwanted solar gains. For non-residential buildings, overheating is generally managed through established strategies, including mechanical ventilation and air conditioning, which are covered by the existing Approved Documents.</t>
    </r>
    <r>
      <rPr>
        <b/>
        <sz val="10"/>
        <color theme="1"/>
        <rFont val="Calibri"/>
        <family val="2"/>
      </rPr>
      <t xml:space="preserve">
NAP3 p.78:</t>
    </r>
    <r>
      <rPr>
        <sz val="10"/>
        <color theme="1"/>
        <rFont val="Calibri"/>
        <family val="2"/>
      </rPr>
      <t xml:space="preserve"> Approved document O of the Building Regulations will reduce the risk of overheating in new homes. The introduction of Part O in 2021 required, for the first time, housebuilders to mitigate the risk of overheating in new homes.
</t>
    </r>
    <r>
      <rPr>
        <b/>
        <sz val="10"/>
        <color theme="1"/>
        <rFont val="Calibri"/>
        <family val="2"/>
      </rPr>
      <t>NAP3 p.81:</t>
    </r>
    <r>
      <rPr>
        <sz val="10"/>
        <color theme="1"/>
        <rFont val="Calibri"/>
        <family val="2"/>
      </rPr>
      <t xml:space="preserve"> The government is ensuring that there is clear oversight of organisations responsible for the resilience of our buildings to help them address climate risks, including through: the Building Safety Regulator having a statutory role in overseeing the safety and standards of all buildings, including consideration to the resilience of buildings to climate risks.</t>
    </r>
  </si>
  <si>
    <t>Largely addressed the CCRA ask to avoid inappropriate housing design, although only over-heating is specifically mentioned in NAP3. No specific tools for decision support referred to in RBRA or NAP3.</t>
  </si>
  <si>
    <t>Building Safety Regulator &amp; DLUHC</t>
  </si>
  <si>
    <t>H06.1</t>
  </si>
  <si>
    <t>Share information to help households and business/industry recognise the benefits from changes in heating demand, i.e., awareness raising.</t>
  </si>
  <si>
    <r>
      <rPr>
        <b/>
        <sz val="10"/>
        <color theme="1"/>
        <rFont val="Calibri"/>
        <family val="2"/>
      </rPr>
      <t>RBRA H6:</t>
    </r>
    <r>
      <rPr>
        <sz val="10"/>
        <color theme="1"/>
        <rFont val="Calibri"/>
        <family val="2"/>
      </rPr>
      <t xml:space="preserve"> does not address this action.
</t>
    </r>
    <r>
      <rPr>
        <b/>
        <sz val="10"/>
        <color theme="1"/>
        <rFont val="Calibri"/>
        <family val="2"/>
      </rPr>
      <t>NAP3 Chapter 4:</t>
    </r>
    <r>
      <rPr>
        <sz val="10"/>
        <color theme="1"/>
        <rFont val="Calibri"/>
        <family val="2"/>
      </rPr>
      <t xml:space="preserve"> does not address this action.</t>
    </r>
  </si>
  <si>
    <t>No reference to awareness raising on changes to, or benefits of, changing heating demand.</t>
  </si>
  <si>
    <t>H06.2</t>
  </si>
  <si>
    <t>Incorporate future changes in energy demand from warmer winters and hotter summers into energy efficiency and low carbon heating policy and technologies being rolled out across the UK.</t>
  </si>
  <si>
    <r>
      <rPr>
        <b/>
        <sz val="10"/>
        <color theme="1"/>
        <rFont val="Calibri"/>
        <family val="2"/>
      </rPr>
      <t>RBRA H6 action 2:</t>
    </r>
    <r>
      <rPr>
        <sz val="10"/>
        <color theme="1"/>
        <rFont val="Calibri"/>
        <family val="2"/>
      </rPr>
      <t xml:space="preserve"> DESNZ will conduct research to help assess projected energy demand and system impacts due to the risk of overheating and different potential cooling energy demand trajectories building on existing evidence. Research will be carried out through the NAP3 implementation period from 2023 to 2028, producing evidence to support analysis and decision making with outputs delivered throughout this period.
</t>
    </r>
    <r>
      <rPr>
        <b/>
        <sz val="10"/>
        <color theme="1"/>
        <rFont val="Calibri"/>
        <family val="2"/>
      </rPr>
      <t>RBRA H6 action 3:</t>
    </r>
    <r>
      <rPr>
        <sz val="10"/>
        <color theme="1"/>
        <rFont val="Calibri"/>
        <family val="2"/>
      </rPr>
      <t xml:space="preserve"> DLUHC implemented the new Approved document O of Building Regulations in 2022 to require new residential buildings to maintain a safe indoor temperature, preferably through passive cooling. DLUHC and the Building Safety Regulator plan over the NAP3 period to increase our evidence of the health-related impacts of issues such as overheating in homes. DLUHC will also keep Approved Document O under review, as we do with all building regulations.
</t>
    </r>
    <r>
      <rPr>
        <b/>
        <sz val="10"/>
        <color theme="1"/>
        <rFont val="Calibri"/>
        <family val="2"/>
      </rPr>
      <t xml:space="preserve">NAP3 p.77: </t>
    </r>
    <r>
      <rPr>
        <sz val="10"/>
        <color theme="1"/>
        <rFont val="Calibri"/>
        <family val="2"/>
      </rPr>
      <t>The government will address the impacts of climate change on the built environment within the development of its net zero policy framework. This is reflected in the Heat and Building Strategy which will seek to minimise the risk of overheating and the increasing demands of energy associated with active cooling.</t>
    </r>
    <r>
      <rPr>
        <b/>
        <sz val="10"/>
        <color theme="1"/>
        <rFont val="Calibri"/>
        <family val="2"/>
      </rPr>
      <t xml:space="preserve">
NAP3 p.78:</t>
    </r>
    <r>
      <rPr>
        <sz val="10"/>
        <color theme="1"/>
        <rFont val="Calibri"/>
        <family val="2"/>
      </rPr>
      <t xml:space="preserve"> Approved document O of the Building Regulations will reduce the risk of overheating in new homes. The introduction of Part O in 2021 required, for the first time, housebuilders to mitigate the risk of overheating in new homes.</t>
    </r>
  </si>
  <si>
    <t>RBRA and NAP3 actions recognise the importance of addressing overheating but limited reference to incorporating energy demand changes within low carbon/ efficiency policies.</t>
  </si>
  <si>
    <t>DESNZ 
DLUHC &amp; Building Safety Regulator</t>
  </si>
  <si>
    <t>H06.3</t>
  </si>
  <si>
    <t>Incentivise the uptake of passive cooling over mechanical cooling measures as far as is appropriate.</t>
  </si>
  <si>
    <r>
      <rPr>
        <b/>
        <sz val="10"/>
        <color theme="1"/>
        <rFont val="Calibri"/>
        <family val="2"/>
      </rPr>
      <t>RBRA H6 action 3:</t>
    </r>
    <r>
      <rPr>
        <sz val="10"/>
        <color theme="1"/>
        <rFont val="Calibri"/>
        <family val="2"/>
      </rPr>
      <t xml:space="preserve"> DLUHC implemented the new Approved document O of Building Regulations in 2022 to require new residential buildings to maintain a safe indoor temperature, preferably through passive cooling. DLUHC and the Building Safety Regulator plan over the NAP3 period to increase our evidence of the health-related impacts of issues such as overheating in homes. DLUHC will also keep Approved Document O under review, as we do with all building regulations.
</t>
    </r>
    <r>
      <rPr>
        <b/>
        <sz val="10"/>
        <color theme="1"/>
        <rFont val="Calibri"/>
        <family val="2"/>
      </rPr>
      <t xml:space="preserve">NAP3 Chapter 4: </t>
    </r>
    <r>
      <rPr>
        <sz val="10"/>
        <color theme="1"/>
        <rFont val="Calibri"/>
        <family val="2"/>
      </rPr>
      <t>does not address this action.</t>
    </r>
  </si>
  <si>
    <t>Approved document O encourages use of passive cooling. Further incentives are not detailed. Passive cooling is not mentioned specifically in NAP3.</t>
  </si>
  <si>
    <t>DLUHC &amp; Building Safety Regulator</t>
  </si>
  <si>
    <t>H06.4</t>
  </si>
  <si>
    <t>Provide support for households that might experience ‘summer fuel poverty’ through e.g. inability to afford air conditioning if this is required.</t>
  </si>
  <si>
    <r>
      <rPr>
        <b/>
        <sz val="10"/>
        <color theme="1"/>
        <rFont val="Calibri"/>
        <family val="2"/>
      </rPr>
      <t>RBRA H6 'how we will do it' p.91-92:</t>
    </r>
    <r>
      <rPr>
        <sz val="10"/>
        <color theme="1"/>
        <rFont val="Calibri"/>
        <family val="2"/>
      </rPr>
      <t xml:space="preserve"> 1. Funding for fuel poor homes announced in the 2021 Spending Review (Action 1) 
a. Green Homes Grant (Local Authority Delivery Scheme 2&amp;3) (until 2023) 
b. Home Upgrade Grant (HUG) (2022-2025)
c. Boiler Upgrade Scheme
d. ECO4 (extended until 2026)
e. The Great British Insulation Scheme (2023-2026)
f. Social Housing Decarbonisation Fund (SHDF) (2020-2025)
g. Public Sector decarbonisation funding scheme (2021-2025)
</t>
    </r>
    <r>
      <rPr>
        <b/>
        <sz val="10"/>
        <color theme="1"/>
        <rFont val="Calibri"/>
        <family val="2"/>
      </rPr>
      <t xml:space="preserve">NAP3 Chapter 4: </t>
    </r>
    <r>
      <rPr>
        <sz val="10"/>
        <color theme="1"/>
        <rFont val="Calibri"/>
        <family val="2"/>
      </rPr>
      <t>does not address this action.</t>
    </r>
  </si>
  <si>
    <t>The range of policies listed in the RBRA are designed to support fuel poor homes. NAP3 does not mention fuel poverty, fuel poor or poverty. The schemes are largely in place already, so limited 'new' action.</t>
  </si>
  <si>
    <t>Various</t>
  </si>
  <si>
    <t>H07.1</t>
  </si>
  <si>
    <t>Further implementation of the Clean Air Strategy and uptake of the recommendations by the Chief Medical Office.</t>
  </si>
  <si>
    <r>
      <rPr>
        <b/>
        <sz val="10"/>
        <color theme="1"/>
        <rFont val="Calibri"/>
        <family val="2"/>
      </rPr>
      <t>RBRA H7 action 1:</t>
    </r>
    <r>
      <rPr>
        <sz val="10"/>
        <color theme="1"/>
        <rFont val="Calibri"/>
        <family val="2"/>
      </rPr>
      <t xml:space="preserve"> Defra will work to meet current and future legal air pollution targets (emissions and concentrations) and collaborate internationally to establish achievable targets beyond existing 2030 time horizons. 'How we will do it': Environmental Improvement Plan, National Air Pollution Control Programme, Clean Air Strategy, National NO2 plans (Action 1). 
</t>
    </r>
    <r>
      <rPr>
        <b/>
        <sz val="10"/>
        <color theme="1"/>
        <rFont val="Calibri"/>
        <family val="2"/>
      </rPr>
      <t>NAP3 Chapter 4:</t>
    </r>
    <r>
      <rPr>
        <sz val="10"/>
        <color theme="1"/>
        <rFont val="Calibri"/>
        <family val="2"/>
      </rPr>
      <t xml:space="preserve"> does not address this action.</t>
    </r>
  </si>
  <si>
    <t>Action demonstrates implementation of the Clean Air Strategy but does not address or refer to the uptake of recommendations by the CMO.</t>
  </si>
  <si>
    <t>H07.2</t>
  </si>
  <si>
    <t>Further research is required on the implications of climate change for wildfire and pollen risks.</t>
  </si>
  <si>
    <r>
      <rPr>
        <b/>
        <sz val="10"/>
        <color theme="1"/>
        <rFont val="Calibri"/>
        <family val="2"/>
      </rPr>
      <t>RBRA H7:</t>
    </r>
    <r>
      <rPr>
        <sz val="10"/>
        <color theme="1"/>
        <rFont val="Calibri"/>
        <family val="2"/>
      </rPr>
      <t xml:space="preserve"> does not address this action.
</t>
    </r>
    <r>
      <rPr>
        <b/>
        <sz val="10"/>
        <color theme="1"/>
        <rFont val="Calibri"/>
        <family val="2"/>
      </rPr>
      <t>NAP3 Chapter 4:</t>
    </r>
    <r>
      <rPr>
        <sz val="10"/>
        <color theme="1"/>
        <rFont val="Calibri"/>
        <family val="2"/>
      </rPr>
      <t xml:space="preserve"> does not address this action.
</t>
    </r>
    <r>
      <rPr>
        <b/>
        <sz val="10"/>
        <color theme="1"/>
        <rFont val="Calibri"/>
        <family val="2"/>
      </rPr>
      <t xml:space="preserve">GRPR Recommendation 24: </t>
    </r>
    <r>
      <rPr>
        <sz val="10"/>
        <color theme="1"/>
        <rFont val="Calibri"/>
        <family val="2"/>
      </rPr>
      <t>The Home Office, as the lead government department for wildfire, will scope a Wildfire Strategy and Action Plan by mid-2024 across all themes in NAP3, supported by Defra, its agencies, the National Park Authorities and areas of outstanding natural beauty partnerships. Defra, Natural England and the Environment Agency will commission wildfire research, including an England wildfire risk map and define effective wildfire risk reduction measures to help support a Wildfire Strategy and Action Plan.</t>
    </r>
  </si>
  <si>
    <t>Appears to address some aspects relating to wildfire, but not pollen.</t>
  </si>
  <si>
    <t>H07.3</t>
  </si>
  <si>
    <t>Further research is needed on the interactions between air pollutants and heat exposures.</t>
  </si>
  <si>
    <r>
      <rPr>
        <b/>
        <sz val="10"/>
        <color theme="1"/>
        <rFont val="Calibri"/>
        <family val="2"/>
      </rPr>
      <t xml:space="preserve">RBRA H7 action 3: </t>
    </r>
    <r>
      <rPr>
        <sz val="10"/>
        <color theme="1"/>
        <rFont val="Calibri"/>
        <family val="2"/>
      </rPr>
      <t xml:space="preserve">Defra will conduct research by 2025 to better understand the impact of changing atmospheric conditions on the emission and behaviour of air pollutants.
</t>
    </r>
    <r>
      <rPr>
        <b/>
        <sz val="10"/>
        <color theme="1"/>
        <rFont val="Calibri"/>
        <family val="2"/>
      </rPr>
      <t>NAP3 Chapter 4:</t>
    </r>
    <r>
      <rPr>
        <sz val="10"/>
        <color theme="1"/>
        <rFont val="Calibri"/>
        <family val="2"/>
      </rPr>
      <t xml:space="preserve"> does not address this action.</t>
    </r>
  </si>
  <si>
    <t>Action in the RBRA fully addresses the CCRA ask.</t>
  </si>
  <si>
    <t>H07.4</t>
  </si>
  <si>
    <t>Update existing ventilation standards, for example building regulations, or develop new ones for indoor air quality. Base them on current safe limits set for pollutants in residential developments. See, for example, World Health Organization guidelines on selected pollutants (WHO, 2010) and dampness and mould (WHO, 2009b), and the Public Health England indoor air quality guidelines for selected VOCs (PHE, 2019a).</t>
  </si>
  <si>
    <r>
      <rPr>
        <b/>
        <sz val="10"/>
        <color theme="1"/>
        <rFont val="Calibri"/>
        <family val="2"/>
      </rPr>
      <t>RBRA H7 action 4:</t>
    </r>
    <r>
      <rPr>
        <sz val="10"/>
        <color theme="1"/>
        <rFont val="Calibri"/>
        <family val="2"/>
      </rPr>
      <t xml:space="preserve"> DESNZ will ensure that measures to deliver net zero and retrofit existing buildings, as described in the Heat and Buildings Strategy, will not exacerbate the risk of poor indoor air quality and seek to improve it where possible. This will result in an existing building stock that is appropriately retrofitted to deliver net zero by 2050 and is more resilient to climate hazards.
</t>
    </r>
    <r>
      <rPr>
        <b/>
        <sz val="10"/>
        <color theme="1"/>
        <rFont val="Calibri"/>
        <family val="2"/>
      </rPr>
      <t xml:space="preserve">NAP3 Chapter 4: </t>
    </r>
    <r>
      <rPr>
        <sz val="10"/>
        <color theme="1"/>
        <rFont val="Calibri"/>
        <family val="2"/>
      </rPr>
      <t>does not address this action.</t>
    </r>
  </si>
  <si>
    <t xml:space="preserve">Action sets standards to minimise indoor air quality issues but unclear if these will work to internationally agreed guidelines on safe limits for indoor pollutants. </t>
  </si>
  <si>
    <t>H07.5</t>
  </si>
  <si>
    <t>Use existing building regulation enforcement activities to improve indoor air quality. Ensure enforcement takes place within the specified timelines. See the government's Building Regulations 2010 (UK Government, 2010) and Housing health and safety rating system operating guidance, and the Planning Portal's Failure to comply with the building regulations.</t>
  </si>
  <si>
    <r>
      <rPr>
        <b/>
        <sz val="10"/>
        <color theme="1"/>
        <rFont val="Calibri"/>
        <family val="2"/>
      </rPr>
      <t>RBRA H7 action 4:</t>
    </r>
    <r>
      <rPr>
        <sz val="10"/>
        <color theme="1"/>
        <rFont val="Calibri"/>
        <family val="2"/>
      </rPr>
      <t xml:space="preserve"> DESNZ will ensure that measures to deliver net zero and retrofit existing buildings, as described in the Heat and Buildings Strategy, will not exacerbate the risk of poor indoor air quality and seek to improve it where possible. This will result in an existing building stock that is appropriately retrofitted to deliver net zero by 2050 and is more resilient to climate hazards.</t>
    </r>
  </si>
  <si>
    <t xml:space="preserve">Some positive action noted, although wording 'Seek to improve it [indoor air quality] where possible' does not fully meet the CCRA ask to improve indoor air quality. </t>
  </si>
  <si>
    <t>H08.1</t>
  </si>
  <si>
    <t>Improve disease and vector surveillance - modification and enhancement of monitoring and surveillance systems, including early warning.</t>
  </si>
  <si>
    <r>
      <rPr>
        <b/>
        <sz val="10"/>
        <color theme="1"/>
        <rFont val="Calibri"/>
        <family val="2"/>
      </rPr>
      <t xml:space="preserve">RBRA H8 action 1: </t>
    </r>
    <r>
      <rPr>
        <sz val="10"/>
        <color theme="1"/>
        <rFont val="Calibri"/>
        <family val="2"/>
      </rPr>
      <t xml:space="preserve">UKHSA will reduce future disease risks by maintaining and expanding the UK’s surveillance system for ticks and mosquitoes to achieve rapid detection and control of non-native vectors and raise awareness of VBDs through the NAP3 implementation period from 2023 to 2028. UKHSA will undertake annual reviews to monitor this action.
</t>
    </r>
    <r>
      <rPr>
        <b/>
        <sz val="10"/>
        <color theme="1"/>
        <rFont val="Calibri"/>
        <family val="2"/>
      </rPr>
      <t>RBRA H8 action 3:</t>
    </r>
    <r>
      <rPr>
        <sz val="10"/>
        <color theme="1"/>
        <rFont val="Calibri"/>
        <family val="2"/>
      </rPr>
      <t xml:space="preserve"> UKHSA will increase surveillance of human VBD cases by December 2024 to improve understanding of VBD prevalence in England. This will provide a benchmark for comparing future epidemiological data, to investigate the effect of climate change on VBD prevalence and distribution.
</t>
    </r>
    <r>
      <rPr>
        <b/>
        <sz val="10"/>
        <color theme="1"/>
        <rFont val="Calibri"/>
        <family val="2"/>
      </rPr>
      <t>RBRA H8 action 5:</t>
    </r>
    <r>
      <rPr>
        <sz val="10"/>
        <color theme="1"/>
        <rFont val="Calibri"/>
        <family val="2"/>
      </rPr>
      <t xml:space="preserve"> DHSC and UKHSA will complete a suite of government contingency plans for specific VBDs from 2023 to 2028 through the NAP3 implementation period from 2023 to 2028 to ensure rapid and coordinated responses to detections of invasive mosquitoes or VBDs, such as West Nile virus.
</t>
    </r>
    <r>
      <rPr>
        <b/>
        <sz val="10"/>
        <color theme="1"/>
        <rFont val="Calibri"/>
        <family val="2"/>
      </rPr>
      <t>RBRA H8 action 6:</t>
    </r>
    <r>
      <rPr>
        <sz val="10"/>
        <color theme="1"/>
        <rFont val="Calibri"/>
        <family val="2"/>
      </rPr>
      <t xml:space="preserve"> UKHSA will seek to increase its laboratory capability to detect a wider range of endemic and emerging VBD threats to the UK public through the NAP3 implementation period from 2023 to 2028. This will be reviewed as required.
</t>
    </r>
    <r>
      <rPr>
        <b/>
        <sz val="10"/>
        <color theme="1"/>
        <rFont val="Calibri"/>
        <family val="2"/>
      </rPr>
      <t>NAP3 Chapter 4:</t>
    </r>
    <r>
      <rPr>
        <sz val="10"/>
        <color theme="1"/>
        <rFont val="Calibri"/>
        <family val="2"/>
      </rPr>
      <t xml:space="preserve"> does not address this action.</t>
    </r>
  </si>
  <si>
    <t>The range of actions in the RBRA indicate an increase/improvement in vector based disease surveillance.</t>
  </si>
  <si>
    <t>UKHSA
DHSC</t>
  </si>
  <si>
    <t>H08.2</t>
  </si>
  <si>
    <t>Further work on vector competence.</t>
  </si>
  <si>
    <r>
      <rPr>
        <b/>
        <sz val="10"/>
        <color theme="1"/>
        <rFont val="Calibri"/>
        <family val="2"/>
      </rPr>
      <t xml:space="preserve">RBRA H8 action 3: </t>
    </r>
    <r>
      <rPr>
        <sz val="10"/>
        <color theme="1"/>
        <rFont val="Calibri"/>
        <family val="2"/>
      </rPr>
      <t xml:space="preserve">UKHSA will increase surveillance of human VBD cases by December 2024 to improve understanding of VBD prevalence in England. This will provide a benchmark for comparing future epidemiological data, to investigate the effect of climate change on VBD prevalence and distribution.
</t>
    </r>
    <r>
      <rPr>
        <b/>
        <sz val="10"/>
        <color theme="1"/>
        <rFont val="Calibri"/>
        <family val="2"/>
      </rPr>
      <t>NAP3 Chapter 4:</t>
    </r>
    <r>
      <rPr>
        <sz val="10"/>
        <color theme="1"/>
        <rFont val="Calibri"/>
        <family val="2"/>
      </rPr>
      <t xml:space="preserve"> does not address this action.</t>
    </r>
  </si>
  <si>
    <t>RBRA action addresses this action without large gaps. No mention in Chapter 4 of NAP3 but mention elsewhere in the NAP.</t>
  </si>
  <si>
    <t>H08.3</t>
  </si>
  <si>
    <t>Further work on modelling risk if emergent vector borne disease due to climate change through laboratory and climate driven modelling studies.</t>
  </si>
  <si>
    <r>
      <rPr>
        <b/>
        <sz val="10"/>
        <color theme="1"/>
        <rFont val="Calibri"/>
        <family val="2"/>
      </rPr>
      <t xml:space="preserve">RBRA H8 action 4: </t>
    </r>
    <r>
      <rPr>
        <sz val="10"/>
        <color theme="1"/>
        <rFont val="Calibri"/>
        <family val="2"/>
      </rPr>
      <t xml:space="preserve">UKHSA will advocate for prioritising climate change modelling of VBD risks by research bodies by January 2024 to raise awareness of health impacts of climate change on vectors and VBDs in the UK.
</t>
    </r>
    <r>
      <rPr>
        <b/>
        <sz val="10"/>
        <color theme="1"/>
        <rFont val="Calibri"/>
        <family val="2"/>
      </rPr>
      <t>RBRA H8 action 6:</t>
    </r>
    <r>
      <rPr>
        <sz val="10"/>
        <color theme="1"/>
        <rFont val="Calibri"/>
        <family val="2"/>
      </rPr>
      <t xml:space="preserve"> UKHSA will seek to increase its laboratory capability to detect a wider range of endemic and emerging VBD threats to the UK public through the NAP3 implementation period from 2023 to 2028. This will be reviewed as required.
</t>
    </r>
    <r>
      <rPr>
        <b/>
        <sz val="10"/>
        <color theme="1"/>
        <rFont val="Calibri"/>
        <family val="2"/>
      </rPr>
      <t>NAP3 Chapter 4:</t>
    </r>
    <r>
      <rPr>
        <sz val="10"/>
        <color theme="1"/>
        <rFont val="Calibri"/>
        <family val="2"/>
      </rPr>
      <t xml:space="preserve"> does not address this action.</t>
    </r>
  </si>
  <si>
    <t>H09.1</t>
  </si>
  <si>
    <t xml:space="preserve">Horizon scanning and continuous monitoring necessary to ensure current regulations are adequate as the future of the food system is increasingly uncertain from possible emerging diseases due to climate change. </t>
  </si>
  <si>
    <r>
      <rPr>
        <b/>
        <sz val="10"/>
        <color theme="1"/>
        <rFont val="Calibri"/>
        <family val="2"/>
      </rPr>
      <t>RBRA H9 action 1:</t>
    </r>
    <r>
      <rPr>
        <sz val="10"/>
        <color theme="1"/>
        <rFont val="Calibri"/>
        <family val="2"/>
      </rPr>
      <t xml:space="preserve"> The Food Standards Agency (FSA) will identify and further understand the effects of climate change on UK food safety through the NAP3 period, including through horizon scanning activity and expert workshops. It will engage with experts in the second quarter of the financial year in 2023, 2025, and 2027. FSA will publish the resulting reports in the fourth quarter of the same financial year.
</t>
    </r>
    <r>
      <rPr>
        <b/>
        <sz val="10"/>
        <color theme="1"/>
        <rFont val="Calibri"/>
        <family val="2"/>
      </rPr>
      <t>NAP3 p.76:</t>
    </r>
    <r>
      <rPr>
        <sz val="10"/>
        <color theme="1"/>
        <rFont val="Calibri"/>
        <family val="2"/>
      </rPr>
      <t xml:space="preserve"> To address climate risks to health and wellbeing and maintain our high food safety standards, the Food Standards Agency (FSA) is: undertaking horizon-scanning, monitoring and surveillance, and support and advice activities to help manage risks in food from increased levels of pathogens and other hazards and toxic substances, due to climate change; carrying out monitoring and surveillance with partners including Local Authority Food Liaison Groups, and Food Hygiene Local Authority Groups.</t>
    </r>
  </si>
  <si>
    <t>CCRA ask appears to be largely met by the actions in the RBRA and NAP3.</t>
  </si>
  <si>
    <t>FSA</t>
  </si>
  <si>
    <t>H09.2</t>
  </si>
  <si>
    <t>Routine monitoring of food security across the UK is essential to protect public health and limit unnecessary costs for the health and social care system.</t>
  </si>
  <si>
    <r>
      <rPr>
        <b/>
        <sz val="10"/>
        <color theme="1"/>
        <rFont val="Calibri"/>
        <family val="2"/>
      </rPr>
      <t>RBRA H9:</t>
    </r>
    <r>
      <rPr>
        <sz val="10"/>
        <color theme="1"/>
        <rFont val="Calibri"/>
        <family val="2"/>
      </rPr>
      <t xml:space="preserve"> does not address this action.
</t>
    </r>
    <r>
      <rPr>
        <b/>
        <sz val="10"/>
        <color theme="1"/>
        <rFont val="Calibri"/>
        <family val="2"/>
      </rPr>
      <t xml:space="preserve">NAP3 Chapter 4: </t>
    </r>
    <r>
      <rPr>
        <sz val="10"/>
        <color theme="1"/>
        <rFont val="Calibri"/>
        <family val="2"/>
      </rPr>
      <t>does not address this action.</t>
    </r>
  </si>
  <si>
    <t>No mention of food security monitoring within the Health, Communities and Built Environment chapter of NAP3.</t>
  </si>
  <si>
    <t>H09.3</t>
  </si>
  <si>
    <t>Measures to improve food safety, food regulations and education on food handling and safety.</t>
  </si>
  <si>
    <r>
      <rPr>
        <b/>
        <sz val="10"/>
        <color theme="1"/>
        <rFont val="Calibri"/>
        <family val="2"/>
      </rPr>
      <t>RBRA H9 action 1:</t>
    </r>
    <r>
      <rPr>
        <sz val="10"/>
        <color theme="1"/>
        <rFont val="Calibri"/>
        <family val="2"/>
      </rPr>
      <t xml:space="preserve"> The Food Standards Agency (FSA) will identify and further understand the effects of climate change on UK food safety through the NAP3 period, including through horizon scanning activity and expert workshops. It will engage with experts in the second quarter of the financial year in 2023, 2025, and 2027. FSA will publish the resulting reports in the fourth quarter of the same financial year.
</t>
    </r>
    <r>
      <rPr>
        <b/>
        <sz val="10"/>
        <color theme="1"/>
        <rFont val="Calibri"/>
        <family val="2"/>
      </rPr>
      <t>RBRA H9 action 2:</t>
    </r>
    <r>
      <rPr>
        <sz val="10"/>
        <color theme="1"/>
        <rFont val="Calibri"/>
        <family val="2"/>
      </rPr>
      <t xml:space="preserve"> FSA will communicate evidence and data on the effects of climate change on food safety, including through working with Defra on the 2024 UK Food Security Report.
</t>
    </r>
    <r>
      <rPr>
        <b/>
        <sz val="10"/>
        <color theme="1"/>
        <rFont val="Calibri"/>
        <family val="2"/>
      </rPr>
      <t>NAP3 p.76:</t>
    </r>
    <r>
      <rPr>
        <sz val="10"/>
        <color theme="1"/>
        <rFont val="Calibri"/>
        <family val="2"/>
      </rPr>
      <t xml:space="preserve"> Recognising the far-reaching impacts of climate risks to health and wellbeing, the government is establishing and using the right structures to deliver its actions in a joined-up manner. The government is doing this in numerous ways, including by: the Food Standards Agency investing £250,000 in the new UK Food Safety Network (with additional co-funding provided by UKRI-Biotechnology and Biological Sciences Research Council to bring total investment in the network to £1.6 million), which will coordinate UK food producers, scientific researchers and food policy makers to take robust actions towards improving food safety.</t>
    </r>
  </si>
  <si>
    <t>Actions support the ask to improve food safety, but do not clearly work to improve education on food handling and safety.</t>
  </si>
  <si>
    <t>H09.4</t>
  </si>
  <si>
    <t>A role for Government to play in removing some of the barriers to enable and encourage private sector adaptation, as well as ensuring a higher level of resilience along supply chains.</t>
  </si>
  <si>
    <r>
      <t xml:space="preserve">RBRA H9 action 3: </t>
    </r>
    <r>
      <rPr>
        <sz val="10"/>
        <color theme="1"/>
        <rFont val="Calibri"/>
        <family val="2"/>
      </rPr>
      <t>FSA will communicate evidence and data on the effects of climate change on food safety, including through working with Defra on the 2024 UK Food Security Report.</t>
    </r>
    <r>
      <rPr>
        <b/>
        <sz val="10"/>
        <color theme="1"/>
        <rFont val="Calibri"/>
        <family val="2"/>
      </rPr>
      <t xml:space="preserve">
NAP3 Chapter 4: </t>
    </r>
    <r>
      <rPr>
        <sz val="10"/>
        <color theme="1"/>
        <rFont val="Calibri"/>
        <family val="2"/>
      </rPr>
      <t xml:space="preserve">does not address this action.
</t>
    </r>
    <r>
      <rPr>
        <b/>
        <sz val="10"/>
        <color theme="1"/>
        <rFont val="Calibri"/>
        <family val="2"/>
      </rPr>
      <t xml:space="preserve">GRPR Recommendation 28: </t>
    </r>
    <r>
      <rPr>
        <sz val="10"/>
        <color theme="1"/>
        <rFont val="Calibri"/>
        <family val="2"/>
      </rPr>
      <t>The government’s Food Strategy puts food security at the heart of the government’s vision for the food sector, aiming to broadly maintain the current level of food that we produce domestically and boost production in sectors where there are the biggest opportunities. At the UK Farm to Fork Summit, we reiterated our commitment to maintain food production at 
current levels, where we produce domestically 60% by value of all the food we need. Defra will next publish the triannual UK Food Security Report in 2024, including analysis of supply chain resilience. Defra engages with numerous initiatives to better understand 
climate impacts on the food system, including through partnerships with the Met Office Hadley Centre’s Food, Farming and Natural Environment service. UK food supply is dependent on the resilience of global supply chains. The government has published a Safeguarding Supply toolkit, for businesses to consider when thinking about ensuring the resilience of their organizations’ supply chains. This is based on DBT’s Supply Chain Resilience Framework, which highlights the five areas to explore when building resilience in supply chains, in the face of hazards, including climate shocks.</t>
    </r>
  </si>
  <si>
    <t>Communication of evidence assumed to support some uptake of adaptation by the private sector.</t>
  </si>
  <si>
    <t>H10.1</t>
  </si>
  <si>
    <t>Development of SuDS (sustainable drainage systems), catchment management, wetland creation (these are discussed in more detail in Chapter 3 on natural environments), and improvements to bathing water quality - actions to improve water quality by reducing the risk of surface water flooding.</t>
  </si>
  <si>
    <t>RBRA H10 action 1: Defra will continue to support the Drinking Water Inspectorate (DWI) in its oversight and enforcement role through the NAP3 implementation period to 2028 and beyond, utilising the Water Supply (Water Quality) Regulations 2016. The DWI will continue to support local authorities in their enforcement of the Private Water Supplies (England) Regulations 2016. This will ensure that our high drinking water quality standards continue to be met to avoid risks to public health. Defra publishes a triennial report on drinking water quality in England, and the next is due to be published by the end of 2024.
RBRA H10 action 3: Defra will continue to enforce the Bathing Water Regulations 2013 through the NAP3 implementation period to 2028 and beyond to monitor designated bathing waters for faecal pollution during the bathing water season from 15 May to 31 September each year. Through this, the Environment Agency, local authorities and sewage undertakers will take necessary action if there are any health risks identified.
NAP3 p.83: The government is delivering several wider actions to support our goal to be more resilient to future flood and coastal erosion risk. Defra, DLUHC and the Environment Agency will: help reduce surface water flooding risk by standardising sustainable drainage systems in new developments through the implementation of Schedule 3 to the Flood and Water Management Act 2010, subject to scope and threshold. This will help protect against impact of heavy rainfall on the water system</t>
  </si>
  <si>
    <t>Action to reduce risk of surface water flooding and continued enforcement of Bathing Water Regulations 2013 go some way to meeting the CCRA ask, but does not demonstrate new actions to improve water quality.</t>
  </si>
  <si>
    <t>Defra, DWI &amp; EA</t>
  </si>
  <si>
    <t>H10.2</t>
  </si>
  <si>
    <t>Need for further emergency planning around chemical incidents during flooding.</t>
  </si>
  <si>
    <r>
      <rPr>
        <b/>
        <sz val="10"/>
        <color theme="1"/>
        <rFont val="Calibri"/>
        <family val="2"/>
      </rPr>
      <t>RBRA H10 action 2:</t>
    </r>
    <r>
      <rPr>
        <sz val="10"/>
        <color theme="1"/>
        <rFont val="Calibri"/>
        <family val="2"/>
      </rPr>
      <t xml:space="preserve"> Defra will support the Environment Agency and Ofwat in ensuring water companies deliver the targets set out in the government’s Storm Overflow Reduction Plan, which are to improve storm overflows in or near bathing waters by 2035, and in all locations by 2050. Defra asked water and sewerage companies to integrate their storm overflow commitments into their Drainage and Waste Water Management Plans and water resource management planning.
</t>
    </r>
    <r>
      <rPr>
        <b/>
        <sz val="10"/>
        <color theme="1"/>
        <rFont val="Calibri"/>
        <family val="2"/>
      </rPr>
      <t>RBRA H10 action 3:</t>
    </r>
    <r>
      <rPr>
        <sz val="10"/>
        <color theme="1"/>
        <rFont val="Calibri"/>
        <family val="2"/>
      </rPr>
      <t xml:space="preserve"> Defra will continue to enforce the Bathing Water Regulations 2013 through the NAP3 implementation period to 2028 and beyond to monitor designated bathing waters for faecal pollution during the bathing water season from 15 May to 31 September each year. Through this, the Environment Agency, local authorities and sewage undertakers will take necessary action if there are any health risks identified.
</t>
    </r>
    <r>
      <rPr>
        <b/>
        <sz val="10"/>
        <color theme="1"/>
        <rFont val="Calibri"/>
        <family val="2"/>
      </rPr>
      <t>NAP3 Chapter 4:</t>
    </r>
    <r>
      <rPr>
        <sz val="10"/>
        <color theme="1"/>
        <rFont val="Calibri"/>
        <family val="2"/>
      </rPr>
      <t xml:space="preserve"> does not address this action.</t>
    </r>
  </si>
  <si>
    <t>Actions in the RBRA demonstrate recognition of the problem of water pollution incidents from flooding but do not meet the CCRA ask for further emergency planning.</t>
  </si>
  <si>
    <t>Defra &amp; EA</t>
  </si>
  <si>
    <t>H10.3</t>
  </si>
  <si>
    <t>Further activities are also needed to assess the future risks to, and measures that are needed to protect, private water supplies.</t>
  </si>
  <si>
    <r>
      <rPr>
        <b/>
        <sz val="10"/>
        <color theme="1"/>
        <rFont val="Calibri"/>
        <family val="2"/>
      </rPr>
      <t xml:space="preserve">RBRA H10 action 5: </t>
    </r>
    <r>
      <rPr>
        <sz val="10"/>
        <color theme="1"/>
        <rFont val="Calibri"/>
        <family val="2"/>
      </rPr>
      <t xml:space="preserve">Defra will implement the actions set out in the Plan for Water in order to achieve the statutory water demand target to mitigate the impacts of climate change on water supplies by 2037/38.
</t>
    </r>
    <r>
      <rPr>
        <b/>
        <sz val="10"/>
        <color theme="1"/>
        <rFont val="Calibri"/>
        <family val="2"/>
      </rPr>
      <t xml:space="preserve">NAP3 p.74: </t>
    </r>
    <r>
      <rPr>
        <sz val="10"/>
        <color theme="1"/>
        <rFont val="Calibri"/>
        <family val="2"/>
      </rPr>
      <t>Defra will work with the Drinking Water Inspectorate to continue to meet our high water quality standards under the Water Supply (Water Quality) Regulations 2016. Defra will also support the review of companies’ drought plans every 5 years to protect household and business water supply.</t>
    </r>
  </si>
  <si>
    <t>Recognition of climate impacts on water supplies and review of plans to mitigate drought impacts in particular, but no action to assess future risks or new measures to protect water supplies.</t>
  </si>
  <si>
    <t>H10.4</t>
  </si>
  <si>
    <t>Further investigation is required to better understand the degree of vulnerability in different parts of the country, how far some of the beneficial actions identified above could be usefully deployed and the degree to which this could reduce both water quality and supply risks.</t>
  </si>
  <si>
    <r>
      <rPr>
        <b/>
        <sz val="10"/>
        <color theme="1"/>
        <rFont val="Calibri"/>
        <family val="2"/>
      </rPr>
      <t xml:space="preserve">RBRA H10 action 4: </t>
    </r>
    <r>
      <rPr>
        <sz val="10"/>
        <color theme="1"/>
        <rFont val="Calibri"/>
        <family val="2"/>
      </rPr>
      <t xml:space="preserve">Defra will review water companies Drought Plans every five years. The next review will be in 2026. Drought Plans set out how water companies will monitor water availability, and triggers which indicates supply and demand actions for water.
</t>
    </r>
    <r>
      <rPr>
        <b/>
        <sz val="10"/>
        <color theme="1"/>
        <rFont val="Calibri"/>
        <family val="2"/>
      </rPr>
      <t>NAP3 p.74:</t>
    </r>
    <r>
      <rPr>
        <sz val="10"/>
        <color theme="1"/>
        <rFont val="Calibri"/>
        <family val="2"/>
      </rPr>
      <t xml:space="preserve"> Defra will work with the Drinking Water Inspectorate to continue to meet our high water quality standards under the Water Supply (Water Quality) Regulations 2016. Defra will also support the review of companies’ drought plans every 5 years to protect household and business water supply.</t>
    </r>
  </si>
  <si>
    <t xml:space="preserve">No action that demonstrates further research into spatial differences in water vulnerabilities. </t>
  </si>
  <si>
    <t>H11.1</t>
  </si>
  <si>
    <t>Further action would be beneficial with regards to mapping climate related hazards that are relevant to heritage, in understanding the vulnerability of different heritage assets to these hazards and identifying those types of assets and locations that are most at risk. Standardising data collation and facilitating sharing would help further understanding of risks and opportunities.</t>
  </si>
  <si>
    <r>
      <rPr>
        <b/>
        <sz val="10"/>
        <color theme="1"/>
        <rFont val="Calibri"/>
        <family val="2"/>
      </rPr>
      <t>RBRA H11 action 1:</t>
    </r>
    <r>
      <rPr>
        <sz val="10"/>
        <color theme="1"/>
        <rFont val="Calibri"/>
        <family val="2"/>
      </rPr>
      <t xml:space="preserve"> Historic England will develop its capacity and capability to model long-term impacts of climate change on cultural heritage caused by increased temperatures, increased rainfall, sea level rise and extreme weather, including in-combination effects by 2025.
</t>
    </r>
    <r>
      <rPr>
        <b/>
        <sz val="10"/>
        <color theme="1"/>
        <rFont val="Calibri"/>
        <family val="2"/>
      </rPr>
      <t>RBRA H11 action 2:</t>
    </r>
    <r>
      <rPr>
        <sz val="10"/>
        <color theme="1"/>
        <rFont val="Calibri"/>
        <family val="2"/>
      </rPr>
      <t xml:space="preserve"> DCMS, Historic England and Arts Council England will work with partners to develop methods to assess the vulnerability of intangible cultural heritage to climate hazards from 2024, using approaches developed for tangible heritage. The evidence base will be improved to inform CCRA4 development in 2026.
</t>
    </r>
    <r>
      <rPr>
        <b/>
        <sz val="10"/>
        <color theme="1"/>
        <rFont val="Calibri"/>
        <family val="2"/>
      </rPr>
      <t>RBRA H11 action 6:</t>
    </r>
    <r>
      <rPr>
        <sz val="10"/>
        <color theme="1"/>
        <rFont val="Calibri"/>
        <family val="2"/>
      </rPr>
      <t xml:space="preserve"> DCMS, in collaboration with their arm’s-length bodies, will develop national climate change indicators for heritage by the end of 2025 to monitor and track progress against the goals set in NAP3.
</t>
    </r>
    <r>
      <rPr>
        <b/>
        <sz val="10"/>
        <color theme="1"/>
        <rFont val="Calibri"/>
        <family val="2"/>
      </rPr>
      <t>NAP3 p.84:</t>
    </r>
    <r>
      <rPr>
        <sz val="10"/>
        <color theme="1"/>
        <rFont val="Calibri"/>
        <family val="2"/>
      </rPr>
      <t xml:space="preserve"> Historic England will: develop capacity and capability to model long-term impacts of climate change on cultural heritage, including in-combination effects by 2025.
</t>
    </r>
    <r>
      <rPr>
        <b/>
        <sz val="10"/>
        <color theme="1"/>
        <rFont val="Calibri"/>
        <family val="2"/>
      </rPr>
      <t>NAP3 p.84:</t>
    </r>
    <r>
      <rPr>
        <sz val="10"/>
        <color theme="1"/>
        <rFont val="Calibri"/>
        <family val="2"/>
      </rPr>
      <t xml:space="preserve"> Historic England in consultation with DCMS will: work with partners to identify research needs to develop methods to assess the vulnerability of intangible cultural heritage to climate hazards from 2024, using approaches developed for tangible heritage in the UK and overseas. The approaches to developing an evidence base will be improved to inform CCRA4 development in 2026.</t>
    </r>
  </si>
  <si>
    <t>No notable gaps in the actions provided in the RBRA and NAP3.</t>
  </si>
  <si>
    <t>DCMS</t>
  </si>
  <si>
    <t>Historic England
DCMS
Arts Council England</t>
  </si>
  <si>
    <t>H11.2</t>
  </si>
  <si>
    <t xml:space="preserve">More work needs to be done on the risks and benefits of adaptation options and adaptive capacity, as well as other barriers such as institutional inertia and socio-cultural acceptability of risks to cultural heritage. </t>
  </si>
  <si>
    <r>
      <rPr>
        <b/>
        <sz val="10"/>
        <color theme="1"/>
        <rFont val="Calibri"/>
        <family val="2"/>
      </rPr>
      <t xml:space="preserve">RBRA H11 action 3: </t>
    </r>
    <r>
      <rPr>
        <sz val="10"/>
        <color theme="1"/>
        <rFont val="Calibri"/>
        <family val="2"/>
      </rPr>
      <t xml:space="preserve">DCMS and Historic England will develop an action plan by 2024 with partners, such as the Environment Agency, to understand and communicate the threat to cultural heritage from flooding and coastal erosion. This will inform future adaptation and decision-making.
</t>
    </r>
    <r>
      <rPr>
        <b/>
        <sz val="10"/>
        <color theme="1"/>
        <rFont val="Calibri"/>
        <family val="2"/>
      </rPr>
      <t xml:space="preserve">RBRA H11 action 4: </t>
    </r>
    <r>
      <rPr>
        <sz val="10"/>
        <color theme="1"/>
        <rFont val="Calibri"/>
        <family val="2"/>
      </rPr>
      <t xml:space="preserve">Historic England will work with partners to ensure technical guidance on adapting historic buildings to the impacts of climate change is available and fit for purpose to a range of audiences by 2025.
</t>
    </r>
    <r>
      <rPr>
        <b/>
        <sz val="10"/>
        <color theme="1"/>
        <rFont val="Calibri"/>
        <family val="2"/>
      </rPr>
      <t>RBRA H11 action 5:</t>
    </r>
    <r>
      <rPr>
        <sz val="10"/>
        <color theme="1"/>
        <rFont val="Calibri"/>
        <family val="2"/>
      </rPr>
      <t xml:space="preserve"> DCMS, working with arm’s-length bodies where appropriate, will develop (2023/4) and implement (ongoing) an engagement plan to raise awareness across government and relevant public bodies of the critical role that cultural heritage can play in supporting climate change adaptation.
</t>
    </r>
    <r>
      <rPr>
        <b/>
        <sz val="10"/>
        <color theme="1"/>
        <rFont val="Calibri"/>
        <family val="2"/>
      </rPr>
      <t>NAP3 p.84:</t>
    </r>
    <r>
      <rPr>
        <sz val="10"/>
        <color theme="1"/>
        <rFont val="Calibri"/>
        <family val="2"/>
      </rPr>
      <t xml:space="preserve"> Historic England will: work with partners to develop technical guidance which will provide information on appropriate approaches for adapting historic and traditionally constructed buildings to flooding and other impacts for decision makers in the planning process, such as building owners, occupiers and managers, architects and contractors by 2025.
</t>
    </r>
    <r>
      <rPr>
        <b/>
        <sz val="10"/>
        <color theme="1"/>
        <rFont val="Calibri"/>
        <family val="2"/>
      </rPr>
      <t xml:space="preserve">NAP3 p.84: </t>
    </r>
    <r>
      <rPr>
        <sz val="10"/>
        <color theme="1"/>
        <rFont val="Calibri"/>
        <family val="2"/>
      </rPr>
      <t xml:space="preserve">DCMS will: work with its arm’s-length bodies where appropriate, to develop (2023/4) and implement (ongoing) an engagement plan to raise awareness across government and relevant public bodies of the critical role that cultural heritage can play in supporting climate change adaptation in the UK and overseas, covering the full spectrum of cultural heritage, including museum buildings and collections. 
</t>
    </r>
    <r>
      <rPr>
        <b/>
        <sz val="10"/>
        <color theme="1"/>
        <rFont val="Calibri"/>
        <family val="2"/>
      </rPr>
      <t>NAP3 p.84:</t>
    </r>
    <r>
      <rPr>
        <sz val="10"/>
        <color theme="1"/>
        <rFont val="Calibri"/>
        <family val="2"/>
      </rPr>
      <t xml:space="preserve"> Historic England in consultation with DCMS will: develop (2024) and deliver (ongoing) an action plan with partners to understand and communicate the threat to cultural heritage from flooding and coastal erosion to inform future adaptation and decision-making.</t>
    </r>
  </si>
  <si>
    <t>Several gaps in the actions. NAP3 and RBRA include actions that will go some way to understanding and communicating risks to cultural heritage - but do not refer to adaptive capacity or barriers such as institutional inertia.</t>
  </si>
  <si>
    <t>DCMS &amp; Historic England</t>
  </si>
  <si>
    <t>H12.1</t>
  </si>
  <si>
    <t>Regional/local level climate risk assessments should be carried out by Trusts, Health Boards and local government social services (where these are not already happening) to help them plan forward with climate risks in mind.</t>
  </si>
  <si>
    <r>
      <rPr>
        <b/>
        <sz val="10"/>
        <color theme="1"/>
        <rFont val="Calibri"/>
        <family val="2"/>
      </rPr>
      <t xml:space="preserve">RBRA H12 action 1: </t>
    </r>
    <r>
      <rPr>
        <sz val="10"/>
        <color theme="1"/>
        <rFont val="Calibri"/>
        <family val="2"/>
      </rPr>
      <t xml:space="preserve">NHS England will develop an interactive climate change risk assessment tool by 2025 to support the identification of local climate change risks to NHS sites and key services to inform adaptation planning.
</t>
    </r>
    <r>
      <rPr>
        <b/>
        <sz val="10"/>
        <color theme="1"/>
        <rFont val="Calibri"/>
        <family val="2"/>
      </rPr>
      <t xml:space="preserve">NAP3 p.76: </t>
    </r>
    <r>
      <rPr>
        <sz val="10"/>
        <color theme="1"/>
        <rFont val="Calibri"/>
        <family val="2"/>
      </rPr>
      <t>Health and social care services also face potential disruptions due to climate change. Extreme weather conditions may damage buildings in which services are being delivered including hospitals, care homes and people’s private homes. Disruptions such as flooding will also impact people’s ability to access these services. To keep our health and social care services open and accessible to all those who need them: NHS England will develop an interactive tool by 2025 for Trusts and Integrated Care Boards to identify local climate risks on NHS sites to inform adaptation planning.</t>
    </r>
  </si>
  <si>
    <t>Action suggests a tool will be developed that will enable risk assessments to be more easily undertaken. Unclear how comprehensive the tool might be and if it'll cover Trusts, Health Boards and local government social services.</t>
  </si>
  <si>
    <t>NHS England</t>
  </si>
  <si>
    <t>H12.2</t>
  </si>
  <si>
    <t>Enhanced regulations, standards and guidance from care sector bodies and Government departments.</t>
  </si>
  <si>
    <r>
      <rPr>
        <b/>
        <sz val="10"/>
        <color theme="1"/>
        <rFont val="Calibri"/>
        <family val="2"/>
      </rPr>
      <t>RBRA H12 action 2:</t>
    </r>
    <r>
      <rPr>
        <sz val="10"/>
        <color theme="1"/>
        <rFont val="Calibri"/>
        <family val="2"/>
      </rPr>
      <t xml:space="preserve"> NHS England will strengthen adaptation provisions within the NHS Green Plan Guidance by 2025 to support all Trusts and Integrated Care Boards to
include adaptation measures in individual Green Plans by 2027.
</t>
    </r>
    <r>
      <rPr>
        <b/>
        <sz val="10"/>
        <color theme="1"/>
        <rFont val="Calibri"/>
        <family val="2"/>
      </rPr>
      <t>RBRA H12 action 5:</t>
    </r>
    <r>
      <rPr>
        <sz val="10"/>
        <color theme="1"/>
        <rFont val="Calibri"/>
        <family val="2"/>
      </rPr>
      <t xml:space="preserve"> The Care Quality Commission will launch an updated Single Assessment Framework, which includes adaptation, in 2023 with guidance and tools to support the implementation of the framework. The framework will apply to providers, local authorities and integrated care systems to make sure people receive safe, effective, and high-quality care; this will include extreme weather events. Providers and commissioners of NHS-funded services to continue to apply the adaptation provisions within the NHS’ Emergency Preparedness, Resilience and Response Core Standards, published in 2022 and to be reviewed in 2025, to support business continuity during adverse weather events.
</t>
    </r>
    <r>
      <rPr>
        <b/>
        <sz val="10"/>
        <color theme="1"/>
        <rFont val="Calibri"/>
        <family val="2"/>
      </rPr>
      <t>RBRA H12 action 9:</t>
    </r>
    <r>
      <rPr>
        <sz val="10"/>
        <color theme="1"/>
        <rFont val="Calibri"/>
        <family val="2"/>
      </rPr>
      <t xml:space="preserve"> DHSC and UKHSA will work with the social care sector in 2023 to increase awareness of the health risks of high temperatures, and solutions to mitigate this risk amongst front line workers. DHSC will establish a working group with relevant stakeholders focused on climate adaptation in the social care sector to support future health system action.
</t>
    </r>
    <r>
      <rPr>
        <b/>
        <sz val="10"/>
        <color theme="1"/>
        <rFont val="Calibri"/>
        <family val="2"/>
      </rPr>
      <t>NAP3 p.74:</t>
    </r>
    <r>
      <rPr>
        <sz val="10"/>
        <color theme="1"/>
        <rFont val="Calibri"/>
        <family val="2"/>
      </rPr>
      <t xml:space="preserve"> Guidance to build resilience in both infrastructure and service delivery in the health and social care sectors includes actions carried out by the Department for Health and Social Care (DHSC), NHS England, and UKHSA who will: implement the Adverse Weather and Health Plan, which was published in April 2023, to support local and national organisations to prepare, build and respond to future adverse weather events to protect lives and promote health and wellbeing; review and update NHS’ standards for facilities’ resilience planning by 2025; support NHS Trusts and Integrated Care Boards in incorporating climate change adaptation within their Green Plans by 2027; include adaptation measures in the NHS Standard Contract for NHS buildings and services from 2023.</t>
    </r>
    <r>
      <rPr>
        <b/>
        <sz val="10"/>
        <color theme="1"/>
        <rFont val="Calibri"/>
        <family val="2"/>
      </rPr>
      <t xml:space="preserve">
GRPR Recommendation 11:</t>
    </r>
    <r>
      <rPr>
        <sz val="10"/>
        <color theme="1"/>
        <rFont val="Calibri"/>
        <family val="2"/>
      </rPr>
      <t xml:space="preserve"> The UK Health Security Agency’s (UKHSA’s) Adverse Weather and Health Plan is supporting the uptake of prevention actions across the health and social care sector and in local communities. DHSC and UKHSA will also work with the social care sector in 2023 to increase awareness of and mitigate the health risks of high temperatures to front line workers.</t>
    </r>
  </si>
  <si>
    <t>Actions appear to largely meet the CCRA ask.</t>
  </si>
  <si>
    <t>NHS England
Care Quality Commission
DHSC &amp; UKHSA</t>
  </si>
  <si>
    <t>H12.3</t>
  </si>
  <si>
    <t>Further investigation of the range of adaptation options across the UK would be highly beneficial.</t>
  </si>
  <si>
    <r>
      <rPr>
        <b/>
        <sz val="10"/>
        <color theme="1"/>
        <rFont val="Calibri"/>
        <family val="2"/>
      </rPr>
      <t>RBRA H12 action 1:</t>
    </r>
    <r>
      <rPr>
        <sz val="10"/>
        <color theme="1"/>
        <rFont val="Calibri"/>
        <family val="2"/>
      </rPr>
      <t xml:space="preserve"> NHS England will develop an interactive climate change risk assessment tool by 2025 to support the identification of local climate change risks to NHS sites and key services to inform adaptation planning.
</t>
    </r>
    <r>
      <rPr>
        <b/>
        <sz val="10"/>
        <color theme="1"/>
        <rFont val="Calibri"/>
        <family val="2"/>
      </rPr>
      <t xml:space="preserve">RBRA H12 action 2: </t>
    </r>
    <r>
      <rPr>
        <sz val="10"/>
        <color theme="1"/>
        <rFont val="Calibri"/>
        <family val="2"/>
      </rPr>
      <t xml:space="preserve">NHS England will strengthen adaptation provisions within the NHS Green Plan Guidance by 2025 to support all Trusts and Integrated Care Boards to
include adaptation measures in individual Green Plans by 2027.
</t>
    </r>
    <r>
      <rPr>
        <b/>
        <sz val="10"/>
        <color theme="1"/>
        <rFont val="Calibri"/>
        <family val="2"/>
      </rPr>
      <t>RBRA H12 action 3:</t>
    </r>
    <r>
      <rPr>
        <sz val="10"/>
        <color theme="1"/>
        <rFont val="Calibri"/>
        <family val="2"/>
      </rPr>
      <t xml:space="preserve"> NHS England will include adaptation measures in the NHS Standard Contract for NHS buildings and services from 2023 and include adaptation measures within NHS building standards to increase the uptake of adaptation planning and activity. 
</t>
    </r>
    <r>
      <rPr>
        <b/>
        <sz val="10"/>
        <color theme="1"/>
        <rFont val="Calibri"/>
        <family val="2"/>
      </rPr>
      <t xml:space="preserve">NAP3 p.75: </t>
    </r>
    <r>
      <rPr>
        <sz val="10"/>
        <color theme="1"/>
        <rFont val="Calibri"/>
        <family val="2"/>
      </rPr>
      <t>Health and social care services also face potential disruptions due to climate change. Extreme weather conditions may damage buildings in which services are being delivered including hospitals, care homes and people’s private homes. Disruptions such as flooding will also impact people’s ability to access these services. To keep our health and social care services open and accessible to all those who need them: DHSC and UKHSA will work with social care providers to better understand how to adapt social care infrastructure and raise awareness of the health consequences of climate change; NHS England will work to adapt NHS infrastructure to extreme weather events and overheating risks through the NHS Standard Contract and building standards from 2023, as mentioned above.</t>
    </r>
  </si>
  <si>
    <t>Actions largely meet the CCRA ask in terms of investigating what adaptation options are available for the sector.</t>
  </si>
  <si>
    <t>H12.4</t>
  </si>
  <si>
    <t>Further action is needed to specifically address the risk of overheating in residential care buildings. Adaptations through design measures (such as glazing improvement (where needed), draught proofing, shutters, reflective surfaces, green cover and green space, and ceiling fans) can help to reduce the risk of overheating in the next five years.</t>
  </si>
  <si>
    <r>
      <rPr>
        <b/>
        <sz val="10"/>
        <color theme="1"/>
        <rFont val="Calibri"/>
        <family val="2"/>
      </rPr>
      <t>RBRA H12 action 7:</t>
    </r>
    <r>
      <rPr>
        <sz val="10"/>
        <color theme="1"/>
        <rFont val="Calibri"/>
        <family val="2"/>
      </rPr>
      <t xml:space="preserve"> UKHSA will provide an update to the ‘Health Effects of Climate Change in the UK Report’ in 2023 detailing estimates of the direct and indirect climate related health impacts in the UK up to 2028 to support the case for further targeted action.
</t>
    </r>
    <r>
      <rPr>
        <b/>
        <sz val="10"/>
        <color theme="1"/>
        <rFont val="Calibri"/>
        <family val="2"/>
      </rPr>
      <t>RBRA H12 action 8:</t>
    </r>
    <r>
      <rPr>
        <sz val="10"/>
        <color theme="1"/>
        <rFont val="Calibri"/>
        <family val="2"/>
      </rPr>
      <t xml:space="preserve"> DHSC and UKHSA will establish and maintain engagement with bilateral and multilateral international partners between 2023 and 2028, and review progress in 2025, engaging and sharing best practice to inform domestic policy in the UK health and care system.
</t>
    </r>
    <r>
      <rPr>
        <b/>
        <sz val="10"/>
        <color theme="1"/>
        <rFont val="Calibri"/>
        <family val="2"/>
      </rPr>
      <t>RBRA H12 action 9:</t>
    </r>
    <r>
      <rPr>
        <sz val="10"/>
        <color theme="1"/>
        <rFont val="Calibri"/>
        <family val="2"/>
      </rPr>
      <t xml:space="preserve"> DHSC and UKHSA will work with the social care sector in 2023 to increase awareness of the health risks of high temperatures, and solutions to mitigate this risk amongst front line workers. DHSC will establish a working group with relevant stakeholders focused on climate adaptation in the social care sector to support future health system action.</t>
    </r>
    <r>
      <rPr>
        <b/>
        <sz val="10"/>
        <color theme="1"/>
        <rFont val="Calibri"/>
        <family val="2"/>
      </rPr>
      <t xml:space="preserve">
NAP3 p.73-74: </t>
    </r>
    <r>
      <rPr>
        <sz val="10"/>
        <color theme="1"/>
        <rFont val="Calibri"/>
        <family val="2"/>
      </rPr>
      <t>The government is using regulation to help drive action to address overheating risk. To enhance buildings’ resilience to high temperatures and their thermal efficiency across different building types: DLUHC implemented the Approved document O of the Building Regulations in June 2022 to limit excess heat and solar gains across all new residential buildings. DLUHC and the Building Safety Regulator will investigate overheating risk in homes that have been created through a material change of use in 2022-24; DLUHC will use recommendations from the Housing Health and Safety Rating System review to support the effective enforcement of quality and safety standards in all tenures of residential accommodation, including standards related to excess heat by 2030.</t>
    </r>
    <r>
      <rPr>
        <b/>
        <sz val="10"/>
        <color theme="1"/>
        <rFont val="Calibri"/>
        <family val="2"/>
      </rPr>
      <t xml:space="preserve">
GRPR Recommendation 9:</t>
    </r>
    <r>
      <rPr>
        <sz val="10"/>
        <color theme="1"/>
        <rFont val="Calibri"/>
        <family val="2"/>
      </rPr>
      <t xml:space="preserve"> ‘Approved Document O’ was added to the buildings regulations in December 2021 and took effect in June 2022. The new requirement seeks to reduce the  occurrence of high temperatures in new residential buildings including flats, houses and residential care homes. The government will keep ‘Approved Document O’ and all building regulations under review in relation to further expansion to include additional buildings. We intend to consult on our approach to energy efficiency and overheating in homes created through a material change of use as part of our Future Homes Standard consultation.
</t>
    </r>
    <r>
      <rPr>
        <b/>
        <sz val="10"/>
        <color theme="1"/>
        <rFont val="Calibri"/>
        <family val="2"/>
      </rPr>
      <t>GRPR Recommendation 56:</t>
    </r>
    <r>
      <rPr>
        <sz val="10"/>
        <color theme="1"/>
        <rFont val="Calibri"/>
        <family val="2"/>
      </rPr>
      <t xml:space="preserve"> The government’s Environmental Improvement Plan sets out our commitment for everyone to be within a 15-minute walk of a green or blue space. This commitment reflects and builds on the ongoing work across government to deliver better access to nature across all sections of society. DLUHC is also engaging with stakeholders to understand and establish how urban parks 
and other DLUHC-led policies can successfully contribute to the commitment.</t>
    </r>
  </si>
  <si>
    <t>Actions address the issue but do not fully meet the CCRA ask in terms of design measures for residential care buildings in particular.</t>
  </si>
  <si>
    <t>H13.1</t>
  </si>
  <si>
    <t>Developing a school climate adaptation plan with specific targets, strategies, tasks and roles to ensure its delivery and effectiveness. This plan must be centred to ensuring child health and wellbeing, thus engagement across the whole school system, including school decision makers and external support is necessary with the aim to increase the school’s adaptive capacity. A whole school approach is desired to reach optimal effectiveness, considering positive and negative measures and how they interact, but also how this plan integrates with the wider school agenda.</t>
  </si>
  <si>
    <r>
      <rPr>
        <b/>
        <sz val="10"/>
        <color theme="1"/>
        <rFont val="Calibri"/>
        <family val="2"/>
      </rPr>
      <t>(Prisons) RBRA H13:</t>
    </r>
    <r>
      <rPr>
        <sz val="10"/>
        <color theme="1"/>
        <rFont val="Calibri"/>
        <family val="2"/>
      </rPr>
      <t xml:space="preserve"> does not address this action. (Action not relevant to prisons).
</t>
    </r>
    <r>
      <rPr>
        <b/>
        <sz val="10"/>
        <color theme="1"/>
        <rFont val="Calibri"/>
        <family val="2"/>
      </rPr>
      <t>(Education) RBRA H13 action 1.</t>
    </r>
    <r>
      <rPr>
        <sz val="10"/>
        <color theme="1"/>
        <rFont val="Calibri"/>
        <family val="2"/>
      </rPr>
      <t xml:space="preserve"> DfE will produce an annual flood risk assessment from 2023 to enable planning for future flood risk across the education estate and support individual settings to manage their own flood risk, preventing disruption to education and cost of repairs.
</t>
    </r>
    <r>
      <rPr>
        <b/>
        <sz val="10"/>
        <color theme="1"/>
        <rFont val="Calibri"/>
        <family val="2"/>
      </rPr>
      <t>(Education) RBRA H13 action 2:</t>
    </r>
    <r>
      <rPr>
        <sz val="10"/>
        <color theme="1"/>
        <rFont val="Calibri"/>
        <family val="2"/>
      </rPr>
      <t xml:space="preserve"> DfE will produce an annual overheating risk assessment from 2023 to enable planning across the education estate and support individual settings to reduce the impacts of overheating on health and cognitive performance.
</t>
    </r>
    <r>
      <rPr>
        <b/>
        <sz val="10"/>
        <color theme="1"/>
        <rFont val="Calibri"/>
        <family val="2"/>
      </rPr>
      <t>(Education) RBRA H13 action 3:</t>
    </r>
    <r>
      <rPr>
        <sz val="10"/>
        <color theme="1"/>
        <rFont val="Calibri"/>
        <family val="2"/>
      </rPr>
      <t xml:space="preserve"> DfE will produce an annual water scarcity risk assessment of the education estate from 2023, to understand water scarcity risk and ensure building specifications and Climate Action Plans are designed to minimise the risk.
</t>
    </r>
    <r>
      <rPr>
        <b/>
        <sz val="10"/>
        <color theme="1"/>
        <rFont val="Calibri"/>
        <family val="2"/>
      </rPr>
      <t>(Education) RBRA H13 action 4:</t>
    </r>
    <r>
      <rPr>
        <sz val="10"/>
        <color theme="1"/>
        <rFont val="Calibri"/>
        <family val="2"/>
      </rPr>
      <t xml:space="preserve"> DfE will adapt the existing education estate by taking an evidence-based approach based on pilots and evaluations, updating design specifications (reviewed every 6 months, major update due 2025), and developing guidance for understanding climate risk and specifying effective adaptations.
</t>
    </r>
    <r>
      <rPr>
        <b/>
        <sz val="10"/>
        <color theme="1"/>
        <rFont val="Calibri"/>
        <family val="2"/>
      </rPr>
      <t>(Education) RBRA H13 action 5:</t>
    </r>
    <r>
      <rPr>
        <sz val="10"/>
        <color theme="1"/>
        <rFont val="Calibri"/>
        <family val="2"/>
      </rPr>
      <t xml:space="preserve"> DfE will continue to ensure that all new schools (not already under contract) are designed for 2°C and adaptable to 4°C global warming scenarios, by adopting a strategic approach to site selection, design, and delivery through the NAP3 implementation period to 2028.
</t>
    </r>
    <r>
      <rPr>
        <b/>
        <sz val="10"/>
        <color theme="1"/>
        <rFont val="Calibri"/>
        <family val="2"/>
      </rPr>
      <t>(Education) RBRA H13 action 6:</t>
    </r>
    <r>
      <rPr>
        <sz val="10"/>
        <color theme="1"/>
        <rFont val="Calibri"/>
        <family val="2"/>
      </rPr>
      <t xml:space="preserve"> DfE will use nature-based solutions wherever possible during the building and refurbishment of the education estate by 2025, to offer value for money while maximise co-benefits for mitigation, biodiversity, health, and well-being.
</t>
    </r>
    <r>
      <rPr>
        <b/>
        <sz val="10"/>
        <color theme="1"/>
        <rFont val="Calibri"/>
        <family val="2"/>
      </rPr>
      <t xml:space="preserve">(Education) RBRA H13 action 7: </t>
    </r>
    <r>
      <rPr>
        <sz val="10"/>
        <color theme="1"/>
        <rFont val="Calibri"/>
        <family val="2"/>
      </rPr>
      <t xml:space="preserve">DfE will engage with education settings and stakeholders by 2025 to enable individual settings to nominate sustainability leads, who will own and implement Climate Action Plans. This will facilitate local action and behaviour change and build capacity to protect learners and staff from the effects of climate change.
</t>
    </r>
    <r>
      <rPr>
        <b/>
        <sz val="10"/>
        <color theme="1"/>
        <rFont val="Calibri"/>
        <family val="2"/>
      </rPr>
      <t xml:space="preserve">(Education) RBRA H13 action 8: </t>
    </r>
    <r>
      <rPr>
        <sz val="10"/>
        <color theme="1"/>
        <rFont val="Calibri"/>
        <family val="2"/>
      </rPr>
      <t xml:space="preserve">DfE will develop digital models of the education estate, producing usable results by 2024, to help education settings assess their vulnerability to climate change and assist with their Climate Action Plans.
</t>
    </r>
    <r>
      <rPr>
        <b/>
        <sz val="10"/>
        <color theme="1"/>
        <rFont val="Calibri"/>
        <family val="2"/>
      </rPr>
      <t>NAP3 p.80:</t>
    </r>
    <r>
      <rPr>
        <sz val="10"/>
        <color theme="1"/>
        <rFont val="Calibri"/>
        <family val="2"/>
      </rPr>
      <t xml:space="preserve"> DfE is: publishing annual risk assessments for flooding, overheating, and water scarcity, to inform decisions on how education settings are then adapted; engaging with education settings by 2025 to enable individual settings to nominate sustainability leads, who will own and implement Climate Action Plans, facilitating local action and building capacity to protect learners and staff from the effects of climate change; engaging with education settings to raise awareness of overheating and encourage behaviour change to reduce risks to cognitive performance, health and wellbeing; developing climate risk models of the education estate, initially for overheating risk by 2023 but with a view to including flood risk in future. Individual settings will have access to the data to inform decision-making and will be able to share data and best practice via the National Education Nature Park Platform.</t>
    </r>
  </si>
  <si>
    <t>Components of the risk assessments for schools largely meet the CCRA ask.</t>
  </si>
  <si>
    <t>MoJ</t>
  </si>
  <si>
    <t>N/A (prisons)
DfE (education)</t>
  </si>
  <si>
    <t>H13.2</t>
  </si>
  <si>
    <t>Modifications to roofs such as green or blue roofs and cool roofs which are reflective or light in colour. As overheating is increasingly becoming a high risk to schools, many measures suggested are around cooling technologies and ventilation. Examples of these systems include windcatchers – natural ventilation systems harnessing wind blowing to ventilate indoor areas – automated window ventilation, hybrid natural and mechanical ventilation, and mechanical cooling or air movement (air conditioning). Additional measures to manage heat risks include thermal massing and solar shading – interception of sunlight to reduce heat entering buildings.</t>
  </si>
  <si>
    <r>
      <rPr>
        <b/>
        <sz val="10"/>
        <color theme="1"/>
        <rFont val="Calibri"/>
        <family val="2"/>
      </rPr>
      <t>(Prisons) RBRA H13:</t>
    </r>
    <r>
      <rPr>
        <sz val="10"/>
        <color theme="1"/>
        <rFont val="Calibri"/>
        <family val="2"/>
      </rPr>
      <t xml:space="preserve"> does not address this action. (Action not relevant to prisons).
</t>
    </r>
    <r>
      <rPr>
        <b/>
        <sz val="10"/>
        <color theme="1"/>
        <rFont val="Calibri"/>
        <family val="2"/>
      </rPr>
      <t>(Education) RBRA H13 action 2:</t>
    </r>
    <r>
      <rPr>
        <sz val="10"/>
        <color theme="1"/>
        <rFont val="Calibri"/>
        <family val="2"/>
      </rPr>
      <t xml:space="preserve"> DfE will produce an annual overheating risk assessment from 2023 to enable planning across the education estate and support individual settings to reduce the impacts of overheating on health and cognitive performance.
</t>
    </r>
    <r>
      <rPr>
        <b/>
        <sz val="10"/>
        <color theme="1"/>
        <rFont val="Calibri"/>
        <family val="2"/>
      </rPr>
      <t>NAP3 p.78:</t>
    </r>
    <r>
      <rPr>
        <sz val="10"/>
        <color theme="1"/>
        <rFont val="Calibri"/>
        <family val="2"/>
      </rPr>
      <t xml:space="preserve"> MoJ and DfE are acting specifically on prisons and education settings: DfE requires all new schools (not already under contract) to be ready for 2°C of global warming and adaptable to 4°C, through a strategic approach to site selection and the adoption of design guidance based on the latest evidence; MoJ and DfE will deploy the latest evidence to inform updates to the building specifications used for refurbishment and building programmes of prisons and education settings.</t>
    </r>
  </si>
  <si>
    <t>Specifics on new roofs not mentioned, but actions to address overheating more generally are included for schools.</t>
  </si>
  <si>
    <t>H13.3</t>
  </si>
  <si>
    <t>Effective adaptive strategies for school outdoor grounds across difference space requirements and resource availabilities (GLA, 2020). For schools with limited space availability, rain planters and gardens, tree and shade structures, drain filters and permeable or green surfaces are effective ways to manage heat, flood and water scarcity risks through increasing shade, water availability, biodiversity and promoting draining of excess water. Additionally, schools with more space availability can install or adopt below- or above-ground rainwater attenuation tanks and ponds to store excess rainwater and potentially regulate local temperature, reducing the urban heat effect. Furthermore, some measures require a large area, thus schools with the available space can implement a swale – a shallow ditch to store, transport and absorb run-off – or a basin – a shallow depression in the ground covered in grasses to capture water, reducing run off.</t>
  </si>
  <si>
    <r>
      <rPr>
        <b/>
        <sz val="10"/>
        <color theme="1"/>
        <rFont val="Calibri"/>
        <family val="2"/>
      </rPr>
      <t>(Prisons) RBRA H13:</t>
    </r>
    <r>
      <rPr>
        <sz val="10"/>
        <color theme="1"/>
        <rFont val="Calibri"/>
        <family val="2"/>
      </rPr>
      <t xml:space="preserve"> does not address this action. (Action not relevant to prisons).
</t>
    </r>
    <r>
      <rPr>
        <b/>
        <sz val="10"/>
        <color theme="1"/>
        <rFont val="Calibri"/>
        <family val="2"/>
      </rPr>
      <t>(Education) RBRA H13 action 6:</t>
    </r>
    <r>
      <rPr>
        <sz val="10"/>
        <color theme="1"/>
        <rFont val="Calibri"/>
        <family val="2"/>
      </rPr>
      <t xml:space="preserve"> DfE will use nature-based solutions wherever possible during the building and refurbishment of the education estate by 2025, to offer value for money while maximise co-benefits for mitigation, biodiversity, health, and well-being.
</t>
    </r>
    <r>
      <rPr>
        <b/>
        <sz val="10"/>
        <color theme="1"/>
        <rFont val="Calibri"/>
        <family val="2"/>
      </rPr>
      <t>NAP3 p.75:</t>
    </r>
    <r>
      <rPr>
        <sz val="10"/>
        <color theme="1"/>
        <rFont val="Calibri"/>
        <family val="2"/>
      </rPr>
      <t xml:space="preserve"> To address the potential health and safety implications for learners, prisoners, and prison and education staff of high temperatures and floods and maintain high levels of safety: DfE will prioritise nature-based solutions by 2025, including sustainable drainage systems such as rain gardens, and natural shading for outdoor spaces, which will protect learners from flooding and overheating while maximising usable outdoor space. This will be written into the guidance and standards used by contractors who build and refurbish schools.</t>
    </r>
  </si>
  <si>
    <t>Largely meets the CCRA ask, one gap is the absence of recognition of different space availabilities and resources.</t>
  </si>
  <si>
    <t>H13.4</t>
  </si>
  <si>
    <t>Schools should also consider ways to reduce the risk of water shortages by limiting their reliance on the mains water supply (see Risk I8 in Chapter 4: Jaroszweski, Wood and Chapman, 2021). To reduce water use, schools can install tap aerators and low flow taps which reduce flow of water through taps by up to 50%; also dual flush toilets allow two available flush volumes, reducing water consumption. Furthermore, reducing usage through behavioural changes to minimise consumption and wastage will have a positive impact on London’s water supply. Additional building modifications include increasing the permeability of surfaces to replenish the water table, which has added benefits for reducing flood risk and harvesting rainwater for non-drinking purposes (GLA, 2020).</t>
  </si>
  <si>
    <r>
      <rPr>
        <b/>
        <sz val="10"/>
        <color theme="1"/>
        <rFont val="Calibri"/>
        <family val="2"/>
      </rPr>
      <t>(Prisons) RBRA H13:</t>
    </r>
    <r>
      <rPr>
        <sz val="10"/>
        <color theme="1"/>
        <rFont val="Calibri"/>
        <family val="2"/>
      </rPr>
      <t xml:space="preserve"> does not address this action. (Action not relevant to prisons).
</t>
    </r>
    <r>
      <rPr>
        <b/>
        <sz val="10"/>
        <color theme="1"/>
        <rFont val="Calibri"/>
        <family val="2"/>
      </rPr>
      <t xml:space="preserve">(Education) RBRA H13 action 3: </t>
    </r>
    <r>
      <rPr>
        <sz val="10"/>
        <color theme="1"/>
        <rFont val="Calibri"/>
        <family val="2"/>
      </rPr>
      <t>DfE will produce an annual water scarcity risk assessment of the education estate from 2023, to understand water scarcity risk and ensure building specifications and Climate Action Plans are designed to minimise the risk.</t>
    </r>
    <r>
      <rPr>
        <b/>
        <sz val="10"/>
        <color theme="1"/>
        <rFont val="Calibri"/>
        <family val="2"/>
      </rPr>
      <t xml:space="preserve"> 
(Education) RBRA H13 action 6:</t>
    </r>
    <r>
      <rPr>
        <sz val="10"/>
        <color theme="1"/>
        <rFont val="Calibri"/>
        <family val="2"/>
      </rPr>
      <t xml:space="preserve"> DfE will use nature-based solutions wherever possible during the building and refurbishment of the education estate by 2025, to offer value for money while maximise co-benefits for mitigation, biodiversity, health, and well-being.
</t>
    </r>
    <r>
      <rPr>
        <b/>
        <sz val="10"/>
        <color theme="1"/>
        <rFont val="Calibri"/>
        <family val="2"/>
      </rPr>
      <t>NAP3 p.75:</t>
    </r>
    <r>
      <rPr>
        <sz val="10"/>
        <color theme="1"/>
        <rFont val="Calibri"/>
        <family val="2"/>
      </rPr>
      <t xml:space="preserve"> To address the potential health and safety implications for learners, prisoners, and prison and education staff of high temperatures and floods and maintain high levels of safety: DfE will prioritise nature-based solutions by 2025, including sustainable drainage systems such as rain gardens, and natural shading for outdoor spaces, which will protect learners from flooding and overheating while maximising usable outdoor space. This will be written into the guidance and standards used by contractors who build and refurbish schools.</t>
    </r>
  </si>
  <si>
    <t>Recognition of issues from water in terms of flooding, and relevant actions to manage this (e.g. drainage, rain gardens) but absence of actions that address risk of water shortages.</t>
  </si>
  <si>
    <t>I01.1</t>
  </si>
  <si>
    <t xml:space="preserve">Bring forward adaptation work in the protection of electricity substations e.g. major electricity assets be made resilient to a 1:1000-year flood. </t>
  </si>
  <si>
    <r>
      <rPr>
        <b/>
        <sz val="10"/>
        <color theme="1"/>
        <rFont val="Calibri"/>
        <family val="2"/>
      </rPr>
      <t xml:space="preserve">RBRA I1 action 6: </t>
    </r>
    <r>
      <rPr>
        <sz val="10"/>
        <color theme="1"/>
        <rFont val="Calibri"/>
        <family val="2"/>
      </rPr>
      <t xml:space="preserve">Defra will work with the industry-led Infrastructure Operators Adaptation Forum throughout the NAP3 period to 2028 and beyond to continue strengthening collaboration between regulators and operators with a resilience remit. This includes supporting the development and implementation of the fourth round of the Adaptation Reporting Power (ARP), development of the approach to CCRA4, and implementation of commitments in the UK Government Resilience Framework.
</t>
    </r>
    <r>
      <rPr>
        <b/>
        <sz val="10"/>
        <color theme="1"/>
        <rFont val="Calibri"/>
        <family val="2"/>
      </rPr>
      <t>RBRA I2 (energy) action 1:</t>
    </r>
    <r>
      <rPr>
        <sz val="10"/>
        <color theme="1"/>
        <rFont val="Calibri"/>
        <family val="2"/>
      </rPr>
      <t xml:space="preserve"> Ofgem will ensure, through RIIO2 (which runs from 2021 to 2026 for gas distribution and electricity transmission and from 2023 to 2028 for electricity distribution), and in future through subsequent price controls, that network companies have sufficient funding to protect new and existing sites that are identified by Environment Agency data to be at risk of flooding. For example, the current engineering technical report 138 standard sets a target for resilience to a 1-in-1,000-year flood event for critical load infrastructure supplying 10,000 customers or more.
</t>
    </r>
    <r>
      <rPr>
        <b/>
        <sz val="10"/>
        <color theme="1"/>
        <rFont val="Calibri"/>
        <family val="2"/>
      </rPr>
      <t>NAP3 (energy) p.33:</t>
    </r>
    <r>
      <rPr>
        <sz val="10"/>
        <color theme="1"/>
        <rFont val="Calibri"/>
        <family val="2"/>
      </rPr>
      <t xml:space="preserve"> DESNZ and Ofgem will: drive investment in infrastructure resilience through Ofgem’s price control framework, which balances the relationship between investment in the network, company returns and the amount they charge for operating their respective networks; use clear infrastructure resilience standards through price controls to allow network companies sufficient revenues to invest in the resilience of their sites and assets.</t>
    </r>
  </si>
  <si>
    <t>Ofgem supporting/enabling investment in resilience may go some way to bringing forward adaptation but evidence is limited from the actions identified.</t>
  </si>
  <si>
    <t>Cross-government</t>
  </si>
  <si>
    <t>Defra
Infrastructure Operators Adaptation Forum
Ofgem</t>
  </si>
  <si>
    <t>I01.2</t>
  </si>
  <si>
    <t>Common standards of resilience (such as ISO 14091) would help with investment planning and help emergency planners better understand the potential for service disruption arising from assets in their area.</t>
  </si>
  <si>
    <r>
      <rPr>
        <b/>
        <sz val="10"/>
        <color theme="1"/>
        <rFont val="Calibri"/>
        <family val="2"/>
      </rPr>
      <t xml:space="preserve">RBRA I1 action 1: </t>
    </r>
    <r>
      <rPr>
        <sz val="10"/>
        <color theme="1"/>
        <rFont val="Calibri"/>
        <family val="2"/>
      </rPr>
      <t>Lead government departments will work with regulatory bodies and infrastructure operators throughout the third National Adaptation Programme (NAP3) period from 2023 to 2028 to implement the actions set out in the UK Government Resilience Framework relating to public and private sector resilience standards.</t>
    </r>
    <r>
      <rPr>
        <b/>
        <sz val="10"/>
        <color theme="1"/>
        <rFont val="Calibri"/>
        <family val="2"/>
      </rPr>
      <t xml:space="preserve">
RBRA I1 action 2:</t>
    </r>
    <r>
      <rPr>
        <sz val="10"/>
        <color theme="1"/>
        <rFont val="Calibri"/>
        <family val="2"/>
      </rPr>
      <t xml:space="preserve"> Defra and the Cabinet Office are developing governance structures to manage the implementation of NAP3 by the end of 2023. This will include specific mechanisms to strengthen the approach to identifying and managing cross-sector risks, including in infrastructure sectors. These governance structures will integrate with existing governance of climate risk, including the Domestic and Economic Affairs (Energy, Climate and Net Zero) Committee, UK Resilience Forum, Infrastructure Operators Adaptation Forum, and other infrastructure regulatory forums with a mandate on resilience.
</t>
    </r>
    <r>
      <rPr>
        <b/>
        <sz val="10"/>
        <color theme="1"/>
        <rFont val="Calibri"/>
        <family val="2"/>
      </rPr>
      <t>NAP3 p.28:</t>
    </r>
    <r>
      <rPr>
        <sz val="10"/>
        <color theme="1"/>
        <rFont val="Calibri"/>
        <family val="2"/>
      </rPr>
      <t xml:space="preserve"> UK Government Resilience Framework: Through this framework the government will deliver a new strategic approach to resilience, improving the systems and capabilities that underpin our resilience planning.
</t>
    </r>
    <r>
      <rPr>
        <b/>
        <sz val="10"/>
        <color theme="1"/>
        <rFont val="Calibri"/>
        <family val="2"/>
      </rPr>
      <t>NAP3 (energy) p.33:</t>
    </r>
    <r>
      <rPr>
        <sz val="10"/>
        <color theme="1"/>
        <rFont val="Calibri"/>
        <family val="2"/>
      </rPr>
      <t xml:space="preserve"> DESNZ and Ofgem will: use clear infrastructure resilience standards through price controls to allow network companies sufficient revenues to invest in the resilience of their sites and assets.
</t>
    </r>
    <r>
      <rPr>
        <b/>
        <sz val="10"/>
        <color theme="1"/>
        <rFont val="Calibri"/>
        <family val="2"/>
      </rPr>
      <t>NAP3 (telecoms) p.47:</t>
    </r>
    <r>
      <rPr>
        <sz val="10"/>
        <color theme="1"/>
        <rFont val="Calibri"/>
        <family val="2"/>
      </rPr>
      <t xml:space="preserve"> Government departments will work with regulators and infrastructure operators to: introduce standards on resilience and develop an action plan to deliver these across the private sector where they do not currently exist. The government recognises the need for standards to also account for unique sector landscapes, priorities, needs, and interlinkages between sectors.</t>
    </r>
  </si>
  <si>
    <t>The UK Gov Resilience Framework promises resilience standards but gives no more detail. In NAP3 there are individual actions relating to resilience standards for energy and telecoms but not for the other infrastructure sectors identified in CCRA (water, transport etc).</t>
  </si>
  <si>
    <t>Defra
Cabinet Office
DESNZ &amp; Ofgem</t>
  </si>
  <si>
    <t>I02.1</t>
  </si>
  <si>
    <t>Development of consistent indicators of network resilience to flood risk across all critical national infrastructure sectors and networks. Such indicators would help to create the institutional conditions for adaptation and would allow for improvements to be measured over time. This could build on improvement in local hazard information, such as the Cabinet Office’s Resilience Direct platform which provides street-level surface water flood forecasts to authorities and category 1 and 2 responders.</t>
  </si>
  <si>
    <r>
      <rPr>
        <b/>
        <sz val="10"/>
        <color theme="1"/>
        <rFont val="Calibri"/>
        <family val="2"/>
      </rPr>
      <t xml:space="preserve">(Water) RBRA I2: </t>
    </r>
    <r>
      <rPr>
        <sz val="10"/>
        <color theme="1"/>
        <rFont val="Calibri"/>
        <family val="2"/>
      </rPr>
      <t>does not address this action.</t>
    </r>
    <r>
      <rPr>
        <b/>
        <sz val="10"/>
        <color theme="1"/>
        <rFont val="Calibri"/>
        <family val="2"/>
      </rPr>
      <t xml:space="preserve">
(Energy) RBRA I2 action 4: </t>
    </r>
    <r>
      <rPr>
        <sz val="10"/>
        <color theme="1"/>
        <rFont val="Calibri"/>
        <family val="2"/>
      </rPr>
      <t xml:space="preserve">DESNZ will use the climate services for a Net Zero resilient world (CS-N0W) research programme through to 2025 to explore developing indicators to measure the progress of the mitigation of climate change risks to energy assets.
</t>
    </r>
    <r>
      <rPr>
        <b/>
        <sz val="10"/>
        <color theme="1"/>
        <rFont val="Calibri"/>
        <family val="2"/>
      </rPr>
      <t>NAP3 p.28:</t>
    </r>
    <r>
      <rPr>
        <sz val="10"/>
        <color theme="1"/>
        <rFont val="Calibri"/>
        <family val="2"/>
      </rPr>
      <t xml:space="preserve"> UK Government Resilience Framework: Through this framework the government will deliver a new strategic approach to resilience, improving the systems and capabilities that underpin our resilience planning. 
Critical National Infrastructure (CNI): CNI by definition includes the most critical assets or systems that perform or support the essential functions that underpin UK society. Disruption or failure of these systems would have major detrimental impact resulting in significant loss of life or casualty, significant economic or social impact, and/or a significant impact on national security, national defence or the functioning of the state. The Resilience Framework sets out how Government will work with industry and regulators to improve the security and resilience of UK CNI.
</t>
    </r>
    <r>
      <rPr>
        <b/>
        <sz val="10"/>
        <color theme="1"/>
        <rFont val="Calibri"/>
        <family val="2"/>
      </rPr>
      <t xml:space="preserve">GRPR Recommendation 6: </t>
    </r>
    <r>
      <rPr>
        <sz val="10"/>
        <color theme="1"/>
        <rFont val="Calibri"/>
        <family val="2"/>
      </rPr>
      <t xml:space="preserve">The government is expanding the range of data and guidance available to the public and businesses on tackling climate change risk. DSIT will engage in supporting development of monitoring and evaluation for telecoms and data infrastructure resilience.
</t>
    </r>
    <r>
      <rPr>
        <b/>
        <sz val="10"/>
        <color theme="1"/>
        <rFont val="Calibri"/>
        <family val="2"/>
      </rPr>
      <t>GRPR Recommendation 48:</t>
    </r>
    <r>
      <rPr>
        <sz val="10"/>
        <color theme="1"/>
        <rFont val="Calibri"/>
        <family val="2"/>
      </rPr>
      <t xml:space="preserve"> The transport sector will continue to develop indicators to evaluate progress in adapting to climate change, in line with commitments on monitoring and evaluation set out in NAP3. National Highways will continue to ensure that technical guidance encourages appropriate consideration of climate change, including by updating the drainage metric they use so that it more accurately reflects climate risk and relevant guidance. UK airports and NATS undertake regular monitoring programmes, that include reviewing maintenance schedules of infrastructure, contingency and response plans with current and emerging climate risks. Network Rail is seeking to develop metrics and targets to measure and direct its adaptation action. DfT will be taking the work of the transport sector into account when developing its adaptation strategy.</t>
    </r>
  </si>
  <si>
    <t>Some relevant actions but limited detail around the development of a consistent set of metrics across critical national infrastructure sectors</t>
  </si>
  <si>
    <t>Defra (water)
DESNZ (energy)</t>
  </si>
  <si>
    <t>DESNZ (Energy)</t>
  </si>
  <si>
    <t>I02.2</t>
  </si>
  <si>
    <t xml:space="preserve">An appropriate adaptation strategy should identify areas on the road network that are most vulnerable to flooding, as well as parts of the road network that are crucial for emergency services, e.g. access to hospitals. </t>
  </si>
  <si>
    <r>
      <rPr>
        <b/>
        <sz val="10"/>
        <color theme="1"/>
        <rFont val="Calibri"/>
        <family val="2"/>
      </rPr>
      <t>(Water) RBRA I2:</t>
    </r>
    <r>
      <rPr>
        <sz val="10"/>
        <color theme="1"/>
        <rFont val="Calibri"/>
        <family val="2"/>
      </rPr>
      <t xml:space="preserve"> does not address this action.
</t>
    </r>
    <r>
      <rPr>
        <b/>
        <sz val="10"/>
        <color theme="1"/>
        <rFont val="Calibri"/>
        <family val="2"/>
      </rPr>
      <t>(Energy) RBRA I2:</t>
    </r>
    <r>
      <rPr>
        <sz val="10"/>
        <color theme="1"/>
        <rFont val="Calibri"/>
        <family val="2"/>
      </rPr>
      <t xml:space="preserve"> does not address this action.
</t>
    </r>
    <r>
      <rPr>
        <b/>
        <sz val="10"/>
        <color theme="1"/>
        <rFont val="Calibri"/>
        <family val="2"/>
      </rPr>
      <t>NAP3 Chapter 2:</t>
    </r>
    <r>
      <rPr>
        <sz val="10"/>
        <color theme="1"/>
        <rFont val="Calibri"/>
        <family val="2"/>
      </rPr>
      <t xml:space="preserve"> does not address this action.</t>
    </r>
  </si>
  <si>
    <t>No reference to CCRA ask found in the documents reviewed.</t>
  </si>
  <si>
    <t xml:space="preserve">N/A </t>
  </si>
  <si>
    <t>I02.3</t>
  </si>
  <si>
    <t>Deployment of green infrastructure and conventional engineering measures to improve resilience. Spatial distribution of green roofs reduced person delays during a 1 in 10-year flood by 26%, compared with 12% from hard engineering measures for a single junction (both are compared with the effects of a 1 in 10-year flood with no adaptation), which highlights the potential benefits of blue-green infrastructure for urban flood resilience.</t>
  </si>
  <si>
    <r>
      <rPr>
        <b/>
        <sz val="10"/>
        <color theme="1"/>
        <rFont val="Calibri"/>
        <family val="2"/>
      </rPr>
      <t>(Water) RBRA I2 action 5:</t>
    </r>
    <r>
      <rPr>
        <sz val="10"/>
        <color theme="1"/>
        <rFont val="Calibri"/>
        <family val="2"/>
      </rPr>
      <t xml:space="preserve"> Water companies will invest £400 million via 18 schemes in new infrastructure to improve water resilience by increasing water capacity and driving water efficiency, with projects started before April 2025 and completed by 2030. 
(</t>
    </r>
    <r>
      <rPr>
        <b/>
        <sz val="10"/>
        <color theme="1"/>
        <rFont val="Calibri"/>
        <family val="2"/>
      </rPr>
      <t>Energy) RBRA I2:</t>
    </r>
    <r>
      <rPr>
        <sz val="10"/>
        <color theme="1"/>
        <rFont val="Calibri"/>
        <family val="2"/>
      </rPr>
      <t xml:space="preserve"> does not address this action.
</t>
    </r>
    <r>
      <rPr>
        <b/>
        <sz val="10"/>
        <color theme="1"/>
        <rFont val="Calibri"/>
        <family val="2"/>
      </rPr>
      <t>NAP3 p6-7 (outside of Chapter 2):</t>
    </r>
    <r>
      <rPr>
        <sz val="10"/>
        <color theme="1"/>
        <rFont val="Calibri"/>
        <family val="2"/>
      </rPr>
      <t xml:space="preserve"> The national standards in the Green Infrastructure Framework provide a consistent way to set out what good green infrastructure provision looks like and will help increase the amount of green cover in urban residential areas and other places where it can deliver multifunctional benefits.
</t>
    </r>
    <r>
      <rPr>
        <b/>
        <sz val="10"/>
        <color theme="1"/>
        <rFont val="Calibri"/>
        <family val="2"/>
      </rPr>
      <t xml:space="preserve">NAP3 p.36-37: </t>
    </r>
    <r>
      <rPr>
        <sz val="10"/>
        <color theme="1"/>
        <rFont val="Calibri"/>
        <family val="2"/>
      </rPr>
      <t xml:space="preserve">Network Rail will: review the opportunities for nature-based solutions to mitigate climate risk by the end of 2023.
</t>
    </r>
    <r>
      <rPr>
        <b/>
        <sz val="10"/>
        <color theme="1"/>
        <rFont val="Calibri"/>
        <family val="2"/>
      </rPr>
      <t xml:space="preserve">NAP3 p.38: </t>
    </r>
    <r>
      <rPr>
        <sz val="10"/>
        <color theme="1"/>
        <rFont val="Calibri"/>
        <family val="2"/>
      </rPr>
      <t>National Highways will: implement commitments in the Environmental Sustainability Strategy published in May 2023, setting out how National Highways will integrate climate risk with other concerns, which include employing nature-based solutions such as natural flood management to improve climate resilience of the network and neighbouring communities.</t>
    </r>
  </si>
  <si>
    <t>Some clear actions that consider and aim to put in place the CCRA ask across some of the infrastructure sectors.</t>
  </si>
  <si>
    <t>Water companies (Water)</t>
  </si>
  <si>
    <t>I02.4</t>
  </si>
  <si>
    <t>Support decision-making by providing tools and information.</t>
  </si>
  <si>
    <r>
      <rPr>
        <b/>
        <sz val="10"/>
        <color theme="1"/>
        <rFont val="Calibri"/>
        <family val="2"/>
      </rPr>
      <t>(Water) RBRA I2:</t>
    </r>
    <r>
      <rPr>
        <sz val="10"/>
        <color theme="1"/>
        <rFont val="Calibri"/>
        <family val="2"/>
      </rPr>
      <t xml:space="preserve"> does not address this action.
</t>
    </r>
    <r>
      <rPr>
        <b/>
        <sz val="10"/>
        <color theme="1"/>
        <rFont val="Calibri"/>
        <family val="2"/>
      </rPr>
      <t>(Energy) RBRA I2 action 3:</t>
    </r>
    <r>
      <rPr>
        <sz val="10"/>
        <color theme="1"/>
        <rFont val="Calibri"/>
        <family val="2"/>
      </rPr>
      <t xml:space="preserve"> The Environment Agency will work with distribution network operators to share flood and coastal erosion risk information and explore joint investment opportunities at least until 2026 under the FCERM Strategy Roadmap, to improve resilience of power distribution assets.
</t>
    </r>
    <r>
      <rPr>
        <b/>
        <sz val="10"/>
        <color theme="1"/>
        <rFont val="Calibri"/>
        <family val="2"/>
      </rPr>
      <t xml:space="preserve">NAP3 p.28: </t>
    </r>
    <r>
      <rPr>
        <sz val="10"/>
        <color theme="1"/>
        <rFont val="Calibri"/>
        <family val="2"/>
      </rPr>
      <t xml:space="preserve">Planning policy: The government will use the National Planning Policy Framework and sector-specific National Policy Statements to provide robust guidance for new infrastructure proposals at both the local authority and government levels. This gives clarity to developers on how they should consider climate risk, supporting adaptation in key infrastructure sectors.
</t>
    </r>
    <r>
      <rPr>
        <b/>
        <sz val="10"/>
        <color theme="1"/>
        <rFont val="Calibri"/>
        <family val="2"/>
      </rPr>
      <t>NAP3 p.31:</t>
    </r>
    <r>
      <rPr>
        <sz val="10"/>
        <color theme="1"/>
        <rFont val="Calibri"/>
        <family val="2"/>
      </rPr>
      <t xml:space="preserve"> (Water) The government is funding research to improve projections of future water availability for England. This will account for both the changing climate and other pressures on water availability as we transition to net zero through the Climate Services for a Net Zero Resilient World (CS-N0W) programme, which runs to 2025. The outputs of this work will give us a better idea of future water balance and will allow water companies and Ofwat to plan more effectively into the future.
</t>
    </r>
    <r>
      <rPr>
        <b/>
        <sz val="10"/>
        <color theme="1"/>
        <rFont val="Calibri"/>
        <family val="2"/>
      </rPr>
      <t>NAP3 p.33:</t>
    </r>
    <r>
      <rPr>
        <sz val="10"/>
        <color theme="1"/>
        <rFont val="Calibri"/>
        <family val="2"/>
      </rPr>
      <t xml:space="preserve"> (Energy) DESNZ and Ofgem will: provide advice and support as National Gas reviews its standards and specifications for construction of new assets to ensure climate resilience. National Gas will prioritise sites at greatest risk of climate threat impacts to
identify where mitigating interventions and protective action are required.
</t>
    </r>
    <r>
      <rPr>
        <b/>
        <sz val="10"/>
        <color theme="1"/>
        <rFont val="Calibri"/>
        <family val="2"/>
      </rPr>
      <t>NAP3 p.39:</t>
    </r>
    <r>
      <rPr>
        <sz val="10"/>
        <color theme="1"/>
        <rFont val="Calibri"/>
        <family val="2"/>
      </rPr>
      <t xml:space="preserve"> (Roads) National Highways will continue to ensure that technical guidance encourages appropriate consideration of climate change, including by updating the drainage metric they use so that it more accurately reflects climate risk and relevant guidance.
</t>
    </r>
    <r>
      <rPr>
        <b/>
        <sz val="10"/>
        <color theme="1"/>
        <rFont val="Calibri"/>
        <family val="2"/>
      </rPr>
      <t xml:space="preserve">NAP3 p.41: </t>
    </r>
    <r>
      <rPr>
        <sz val="10"/>
        <color theme="1"/>
        <rFont val="Calibri"/>
        <family val="2"/>
      </rPr>
      <t xml:space="preserve">(Ports) DfT will: work with the ports sector to develop a regular monitoring survey to gather information on the frequency of disruption to port operations from weather, trialling this over the NAP3 implementation period.
</t>
    </r>
    <r>
      <rPr>
        <b/>
        <sz val="10"/>
        <color theme="1"/>
        <rFont val="Calibri"/>
        <family val="2"/>
      </rPr>
      <t>NAP3 p.43:</t>
    </r>
    <r>
      <rPr>
        <sz val="10"/>
        <color theme="1"/>
        <rFont val="Calibri"/>
        <family val="2"/>
      </rPr>
      <t xml:space="preserve"> (Data) DSIT will invite the industry trade body, TechUK, to participate in the fourth round of reporting under the Adaptation Reporting Power. Tech UK runs a dedicated forum for data centre operators and, having reported in the third round of adaptation
reporting, the government will invite them to provide an update report in the fourth round of reporting, due 2024. This will be used to inform DSIT’s work and the government’s CCRA4, as well as supporting the industry with their own consideration of climate risk. DSIT will also continue to engage with other relevant bodies. As part of its work on risk management, DSIT will consider whether new information
gathering mechanisms would enable better information flows between industry, regulators, and the government to support resilience planning.
</t>
    </r>
    <r>
      <rPr>
        <b/>
        <sz val="10"/>
        <color theme="1"/>
        <rFont val="Calibri"/>
        <family val="2"/>
      </rPr>
      <t xml:space="preserve">NAP3 p.45: </t>
    </r>
    <r>
      <rPr>
        <sz val="10"/>
        <color theme="1"/>
        <rFont val="Calibri"/>
        <family val="2"/>
      </rPr>
      <t>(Telecoms) Throughout the NAP3 implementation period, DSIT will work with Ofcom and the telecommunications industry through the EC-RRG to disseminate best practice and policy advice to further enhance the sector’s resilience by: inviting specialist expertise on climate change to deliver information and guidance that will help telecoms companies tackle risks. Recently this has
included the Environment Agency, the Geospatial Commission, the Met Office and National Highways, covering flood preparedness, scour management, vulnerability monitoring and drought.</t>
    </r>
  </si>
  <si>
    <t>Actions within all infrastructure sectors that provide increased levels of information to support resilience. Not clear for all actions if the information relates specifically to resilience to flooding, but implied for most.</t>
  </si>
  <si>
    <t>EA (Energy)</t>
  </si>
  <si>
    <t>I02.5</t>
  </si>
  <si>
    <t>Screening climate risks (climate risk management) in public and private sector investments.</t>
  </si>
  <si>
    <r>
      <rPr>
        <b/>
        <sz val="10"/>
        <color theme="1"/>
        <rFont val="Calibri"/>
        <family val="2"/>
      </rPr>
      <t>(Water) RBRA I2 action 4:</t>
    </r>
    <r>
      <rPr>
        <sz val="10"/>
        <color theme="1"/>
        <rFont val="Calibri"/>
        <family val="2"/>
      </rPr>
      <t xml:space="preserve"> The Environment Agency will report on the flood risk management performance of risk management authorities (including water companies) annually as part of their duties under the Flood and Water Management Act 2010. Defra will use this information to continually monitor the flood resilience of water infrastructure.
</t>
    </r>
    <r>
      <rPr>
        <b/>
        <sz val="10"/>
        <color theme="1"/>
        <rFont val="Calibri"/>
        <family val="2"/>
      </rPr>
      <t>(Energy) RBRA I2 action 2:</t>
    </r>
    <r>
      <rPr>
        <sz val="10"/>
        <color theme="1"/>
        <rFont val="Calibri"/>
        <family val="2"/>
      </rPr>
      <t xml:space="preserve"> The energy generation sector will continue to risk assess assets throughout the NAP3 implementation period from 2023 to 2028 to gauge the resilience of their plants to pluvial and fluvial flooding. This occurs periodically for existing assets and during the permitting process for new assets.
</t>
    </r>
    <r>
      <rPr>
        <b/>
        <sz val="10"/>
        <color theme="1"/>
        <rFont val="Calibri"/>
        <family val="2"/>
      </rPr>
      <t>NAP3 p.38:</t>
    </r>
    <r>
      <rPr>
        <sz val="10"/>
        <color theme="1"/>
        <rFont val="Calibri"/>
        <family val="2"/>
      </rPr>
      <t xml:space="preserve"> Local highway authorities will work towards improving asset management plans within the NAP3 period to improve understanding of vulnerabilities, completing initial risk assessments by end of 2024.
</t>
    </r>
    <r>
      <rPr>
        <b/>
        <sz val="10"/>
        <color theme="1"/>
        <rFont val="Calibri"/>
        <family val="2"/>
      </rPr>
      <t>NAP3 p.41:</t>
    </r>
    <r>
      <rPr>
        <sz val="10"/>
        <color theme="1"/>
        <rFont val="Calibri"/>
        <family val="2"/>
      </rPr>
      <t xml:space="preserve"> (Ports) DfT will: work with the ports sector including the British Ports Association, UK Major Ports Group and the UK Harbour Masters Association, to support their members to undertake the climate impact risk assessments and to embed their findings into business planning and operating procedures ahead of the fourth round of adaptation reporting.
</t>
    </r>
    <r>
      <rPr>
        <b/>
        <sz val="10"/>
        <color theme="1"/>
        <rFont val="Calibri"/>
        <family val="2"/>
      </rPr>
      <t xml:space="preserve">NAP3 p.42: </t>
    </r>
    <r>
      <rPr>
        <sz val="10"/>
        <color theme="1"/>
        <rFont val="Calibri"/>
        <family val="2"/>
      </rPr>
      <t>(Aviation) DfT will: work closely with the aviation sector including airports and National Air Traffic Services (NATS) (who provide en-route air traffic control services within the UK) to encourage them to undertake climate impact risk assessments and to embed their findings into business planning and operating procedures ahead of the fourth round of adaptation reporting in 2024.</t>
    </r>
  </si>
  <si>
    <t>Ports &amp; Aviation - fully addressed, clear action encouraging linkage between climate risks and business planning.
Actions to complete risk assessment for other sectors largely meet the CCRA ask.</t>
  </si>
  <si>
    <t>EA (Water)
Energy generation sector (Energy)</t>
  </si>
  <si>
    <t>I02.6</t>
  </si>
  <si>
    <t>Enabling infrastructure resilience through policy and regulation.</t>
  </si>
  <si>
    <r>
      <rPr>
        <b/>
        <sz val="10"/>
        <color theme="1"/>
        <rFont val="Calibri"/>
        <family val="2"/>
      </rPr>
      <t>(Water) RBRA I2 action 1:</t>
    </r>
    <r>
      <rPr>
        <sz val="10"/>
        <color theme="1"/>
        <rFont val="Calibri"/>
        <family val="2"/>
      </rPr>
      <t xml:space="preserve"> The Water Services Regulation Authority (Ofwat) will take a long-term view of the requirements for investment in water infrastructure and consider climate change as part of the methodology for the Price Review 2024, to ensure that water companies can invest in the resilience of their infrastructure. 
</t>
    </r>
    <r>
      <rPr>
        <b/>
        <sz val="10"/>
        <color theme="1"/>
        <rFont val="Calibri"/>
        <family val="2"/>
      </rPr>
      <t>(Water) RBRA I2 action 2:</t>
    </r>
    <r>
      <rPr>
        <sz val="10"/>
        <color theme="1"/>
        <rFont val="Calibri"/>
        <family val="2"/>
      </rPr>
      <t xml:space="preserve"> Water companies will follow the National Flood and Coastal Erosion Risk Management (FCERM) Strategy for England, which includes an objective for water companies to develop plans for their infrastructure to be resilient to flooding and coastal change between now and 2030. 
</t>
    </r>
    <r>
      <rPr>
        <b/>
        <sz val="10"/>
        <color theme="1"/>
        <rFont val="Calibri"/>
        <family val="2"/>
      </rPr>
      <t>(Energy) RBRA I2 action 3:</t>
    </r>
    <r>
      <rPr>
        <sz val="10"/>
        <color theme="1"/>
        <rFont val="Calibri"/>
        <family val="2"/>
      </rPr>
      <t xml:space="preserve"> The Environment Agency will work with distribution network operators to share flood and coastal erosion risk information and explore joint investment opportunities at least until 2026 under the FCERM Strategy Roadmap, to improve resilience of power distribution assets.
</t>
    </r>
    <r>
      <rPr>
        <b/>
        <sz val="10"/>
        <color theme="1"/>
        <rFont val="Calibri"/>
        <family val="2"/>
      </rPr>
      <t>NAP3 p.29:</t>
    </r>
    <r>
      <rPr>
        <sz val="10"/>
        <color theme="1"/>
        <rFont val="Calibri"/>
        <family val="2"/>
      </rPr>
      <t xml:space="preserve"> Institutional framework: The government is working with the National Infrastructure Commission, the Infrastructure and Projects Authority and UK Infrastructure Bank to strengthen our understanding of climate risk to infrastructure. This will include producing recommendations on how to improve resilience across sectors, ensuring our major infrastructure projects have climate change at their core, and driving public and private investment into viable adaptation projects.</t>
    </r>
  </si>
  <si>
    <t>Multiple policies that aim to meet the CCRA ask.</t>
  </si>
  <si>
    <t>Ofwat (Water)
EA (Energy)</t>
  </si>
  <si>
    <t>I02.7</t>
  </si>
  <si>
    <t>Encouraging the disclosure of climate risks/uptake in commercial finance.</t>
  </si>
  <si>
    <r>
      <rPr>
        <b/>
        <sz val="10"/>
        <color theme="1"/>
        <rFont val="Calibri"/>
        <family val="2"/>
      </rPr>
      <t>(Water) RBRA I2:</t>
    </r>
    <r>
      <rPr>
        <sz val="10"/>
        <color theme="1"/>
        <rFont val="Calibri"/>
        <family val="2"/>
      </rPr>
      <t xml:space="preserve"> does not address this action.
</t>
    </r>
    <r>
      <rPr>
        <b/>
        <sz val="10"/>
        <color theme="1"/>
        <rFont val="Calibri"/>
        <family val="2"/>
      </rPr>
      <t>(Energy) RBRA I2:</t>
    </r>
    <r>
      <rPr>
        <sz val="10"/>
        <color theme="1"/>
        <rFont val="Calibri"/>
        <family val="2"/>
      </rPr>
      <t xml:space="preserve"> does not address this action.
</t>
    </r>
    <r>
      <rPr>
        <b/>
        <sz val="10"/>
        <color theme="1"/>
        <rFont val="Calibri"/>
        <family val="2"/>
      </rPr>
      <t>NAP3 Chapter 2:</t>
    </r>
    <r>
      <rPr>
        <sz val="10"/>
        <color theme="1"/>
        <rFont val="Calibri"/>
        <family val="2"/>
      </rPr>
      <t xml:space="preserve"> does not address this action.
</t>
    </r>
    <r>
      <rPr>
        <b/>
        <sz val="10"/>
        <color theme="1"/>
        <rFont val="Calibri"/>
        <family val="2"/>
      </rPr>
      <t xml:space="preserve">GRPR Recommendation 12: </t>
    </r>
    <r>
      <rPr>
        <sz val="10"/>
        <color theme="1"/>
        <rFont val="Calibri"/>
        <family val="2"/>
      </rPr>
      <t>The government committed at COP26 to move towards mandatory transition plan disclosures in the UK. The Financial Conduct Authority (FCA) updated their guidance for asset managers, asset owners and listed companies on publishing transition plans in January 2022. The government launched the Transition Plan Taskforce (TPT) in April 2022 to create a 
voluntary framework for firm-level transition plans. Alongside their core work on climate,  the TPT has also set up nature and adaptation working groups to examine how  adaptation, nature and biodiversity considerations could inform transition planning. The TPT published its Disclosure Framework and associated guidance in October. This guidance is voluntary. As the UK transitions to net zero, the government will also take action to prepare for the physical impacts of the changing climate, seeking to align finance flows with a climate 
resilient economy and increase investment in adaptation. Transition plans are a way that firms can manage adaptation and, through their disclosure, enhance market understanding of how firms are planning for this transition. The FCA has now committed to consult on guidance that will set out their expectations for listed companies’ transition plan disclosures at the same time as consulting on their policy approach in relation to the (UK-endorsed) International Sustainability Standards Board standards. They plan to develop their guidance with reference to the final outputs from the TPT and further consideration should be given on avoiding undue burdens on business, and minimising and consolidating corporate reporting burdens. Given the important role of transition planning across the economy, we also committed in the updated Green Finance Strategy to consult later this year on how the UK’s largest 
companies can most effectively disclose their transition plans. The government will continue to take proactive steps to encourage other jurisdictions to encourage transition plan disclosure requirements in place. This will include encouraging consideration of the TPT’s guidance. This guidance has built on the recommendations of the Taskforce on Climate-Related Financial Disclosures (TCFD) and the International Sustainability Standards Board standards and draws on the Glasgow Financial Alliance for Net Zero framework for credible, comprehensive and comparable net zero transition planning.</t>
    </r>
  </si>
  <si>
    <t>The Government's Response to Parliament suggests significant progress is being taken.</t>
  </si>
  <si>
    <t>I02.8</t>
  </si>
  <si>
    <t>Supporting innovative risk spreading (insurance).</t>
  </si>
  <si>
    <r>
      <t xml:space="preserve">(Water) RBRA I2: </t>
    </r>
    <r>
      <rPr>
        <sz val="10"/>
        <color theme="1"/>
        <rFont val="Calibri"/>
        <family val="2"/>
      </rPr>
      <t>does not address this action.</t>
    </r>
    <r>
      <rPr>
        <b/>
        <sz val="10"/>
        <color theme="1"/>
        <rFont val="Calibri"/>
        <family val="2"/>
      </rPr>
      <t xml:space="preserve">
(Energy) RBRA I2: </t>
    </r>
    <r>
      <rPr>
        <sz val="10"/>
        <color theme="1"/>
        <rFont val="Calibri"/>
        <family val="2"/>
      </rPr>
      <t>does not address this action.</t>
    </r>
    <r>
      <rPr>
        <b/>
        <sz val="10"/>
        <color theme="1"/>
        <rFont val="Calibri"/>
        <family val="2"/>
      </rPr>
      <t xml:space="preserve">
NAP3 Chapter 2: </t>
    </r>
    <r>
      <rPr>
        <sz val="10"/>
        <color theme="1"/>
        <rFont val="Calibri"/>
        <family val="2"/>
      </rPr>
      <t>does not address this action.</t>
    </r>
  </si>
  <si>
    <t>No reference to insurance in Chapter 2 of NAP3 or the relevant section in the RBRA.</t>
  </si>
  <si>
    <t>I03.1</t>
  </si>
  <si>
    <t>Adoption of realistic plans to adapt to the inevitability of change from coastal flooding and erosion to: (i) plan our future shoreline on the open coast and along estuaries; and (ii) deliver practical portfolios of adaptation options that are technically feasible, balance costs and benefits, can attract appropriate finance, and are socially acceptable.</t>
  </si>
  <si>
    <r>
      <rPr>
        <b/>
        <sz val="10"/>
        <color theme="1"/>
        <rFont val="Calibri"/>
        <family val="2"/>
      </rPr>
      <t>(Water) RBRA I3 action 1:</t>
    </r>
    <r>
      <rPr>
        <sz val="10"/>
        <color theme="1"/>
        <rFont val="Calibri"/>
        <family val="2"/>
      </rPr>
      <t xml:space="preserve"> Ofwat will take a long-term view of the requirements for investment in water infrastructure and consider climate change as part of the methodology for the Price Review 2024, to ensure that water companies can invest in the resilience of their infrastructure.
</t>
    </r>
    <r>
      <rPr>
        <b/>
        <sz val="10"/>
        <color theme="1"/>
        <rFont val="Calibri"/>
        <family val="2"/>
      </rPr>
      <t>(Water) RBRA I3 action 2:</t>
    </r>
    <r>
      <rPr>
        <sz val="10"/>
        <color theme="1"/>
        <rFont val="Calibri"/>
        <family val="2"/>
      </rPr>
      <t xml:space="preserve"> Water companies will follow the National FCERM Strategy for England, which includes an objective for water companies to make their infrastructure resilient to flooding and coastal change between now and 2030. 
</t>
    </r>
    <r>
      <rPr>
        <b/>
        <sz val="10"/>
        <color theme="1"/>
        <rFont val="Calibri"/>
        <family val="2"/>
      </rPr>
      <t>(Energy) RBRA I3 action 1:</t>
    </r>
    <r>
      <rPr>
        <sz val="10"/>
        <color theme="1"/>
        <rFont val="Calibri"/>
        <family val="2"/>
      </rPr>
      <t xml:space="preserve"> Ofgem will ensure, through RIIO2 (which runs from 2021 to 2026 for gas distribution and electricity transmission, and from 2023 to 2028 for electricity distribution), and in future through subsequent price controls, that network companies have sufficient funding to protect new and existing sites that are identified by Environment Agency data to be at risk of flooding. For example, the current engineering technical report 138 standard sets a target for resilience to a 1-in-1,000-year flood event for critical load infrastructure supplying 10,000 customers or more.
</t>
    </r>
    <r>
      <rPr>
        <b/>
        <sz val="10"/>
        <color theme="1"/>
        <rFont val="Calibri"/>
        <family val="2"/>
      </rPr>
      <t>(Transport) RBRA I3 action 10:</t>
    </r>
    <r>
      <rPr>
        <sz val="10"/>
        <color theme="1"/>
        <rFont val="Calibri"/>
        <family val="2"/>
      </rPr>
      <t xml:space="preserve"> Network Rail will conduct a mapping exercise by the end of 2024 to improve understanding of vulnerabilities and criticality of the transport network and to inform risk assessments that will guide future investment plans.
</t>
    </r>
    <r>
      <rPr>
        <b/>
        <sz val="10"/>
        <color theme="1"/>
        <rFont val="Calibri"/>
        <family val="2"/>
      </rPr>
      <t>(Transport) RBRA I3 action 11:</t>
    </r>
    <r>
      <rPr>
        <sz val="10"/>
        <color theme="1"/>
        <rFont val="Calibri"/>
        <family val="2"/>
      </rPr>
      <t xml:space="preserve"> DfT will work with the UK Roads Leadership Group to devise a framework for local authorities to implement the extreme weather recommendations from recent incident reports by the end of 2024.
</t>
    </r>
    <r>
      <rPr>
        <b/>
        <sz val="10"/>
        <color theme="1"/>
        <rFont val="Calibri"/>
        <family val="2"/>
      </rPr>
      <t>(Transport) RBRA I3 action 12:</t>
    </r>
    <r>
      <rPr>
        <sz val="10"/>
        <color theme="1"/>
        <rFont val="Calibri"/>
        <family val="2"/>
      </rPr>
      <t xml:space="preserve"> DfT will publish expectations on adaptation in the forthcoming consultation on the local transport plan guidance refresh. The guidance will set out the need to adapt and improve the climate resilience of transport networks and to reflect this in local transport plans and alongside its programme of interventions.
</t>
    </r>
    <r>
      <rPr>
        <b/>
        <sz val="10"/>
        <color theme="1"/>
        <rFont val="Calibri"/>
        <family val="2"/>
      </rPr>
      <t>(Transport) RBRA I3 action 13:</t>
    </r>
    <r>
      <rPr>
        <sz val="10"/>
        <color theme="1"/>
        <rFont val="Calibri"/>
        <family val="2"/>
      </rPr>
      <t xml:space="preserve"> Commercial airports will undertake regular monitoring programmes throughout the NAP3 implementation period from 2023 to 2028. These include regular maintenance schedules of infrastructure and assets, regular review of contingency and response plans to ensure the sector is resilient.
</t>
    </r>
    <r>
      <rPr>
        <b/>
        <sz val="10"/>
        <color theme="1"/>
        <rFont val="Calibri"/>
        <family val="2"/>
      </rPr>
      <t>(Transport) RBRA I3 action 14:</t>
    </r>
    <r>
      <rPr>
        <sz val="10"/>
        <color theme="1"/>
        <rFont val="Calibri"/>
        <family val="2"/>
      </rPr>
      <t xml:space="preserve"> DfT will work with the maritime, ports and aviation sectors, including with industry organisations, to enhance climate impact risk assessments and to embed their findings into business planning and operating procedures ahead of ARP4 reporting in 2024.
</t>
    </r>
    <r>
      <rPr>
        <b/>
        <sz val="10"/>
        <color theme="1"/>
        <rFont val="Calibri"/>
        <family val="2"/>
      </rPr>
      <t>(Telecoms) RBRA I3 action 4:</t>
    </r>
    <r>
      <rPr>
        <sz val="10"/>
        <color theme="1"/>
        <rFont val="Calibri"/>
        <family val="2"/>
      </rPr>
      <t xml:space="preserve"> DSIT will support the industry to address the threat to submarine communication cables from climate hazards throughout the NAP3 implementation period from 2023 to 2028 and beyond. There will be ongoing engagement with the Environment Agency, Ministry of Defence and National Oceanography Centre for up-to-date analysis and assessment of the current and potential future aspects of climate change, including coastal erosion, to help assess the viability of current and future cable and site locations.
</t>
    </r>
    <r>
      <rPr>
        <b/>
        <sz val="10"/>
        <color theme="1"/>
        <rFont val="Calibri"/>
        <family val="2"/>
      </rPr>
      <t xml:space="preserve">NAP3 p.37: </t>
    </r>
    <r>
      <rPr>
        <sz val="10"/>
        <color theme="1"/>
        <rFont val="Calibri"/>
        <family val="2"/>
      </rPr>
      <t xml:space="preserve">(Rail) Network Rail will: design regional adaptation pathway strategies by 2029 with implementation ongoing as agreed with funders.
</t>
    </r>
    <r>
      <rPr>
        <b/>
        <sz val="10"/>
        <color theme="1"/>
        <rFont val="Calibri"/>
        <family val="2"/>
      </rPr>
      <t xml:space="preserve">NAP3 p.38: </t>
    </r>
    <r>
      <rPr>
        <sz val="10"/>
        <color theme="1"/>
        <rFont val="Calibri"/>
        <family val="2"/>
      </rPr>
      <t>(Road) National Highways will: implement the actions set out in their report under the third ARP round to mitigate the risks posed by other climate-related hazards including high temperatures, storms, subsidence, and scour risk (where water erodes the
sediments that surround the base or support structures for bridges, roads, and other man-made buildings). This includes monitoring the condition of pavements; roads and earthworks; integrating climate change into shrinkswell susceptibility ratings; and identifying effective adaptation measures.</t>
    </r>
  </si>
  <si>
    <t>Actions that contribute to adaptation in all sectors, but limited information on the feasibility and realistic achievement of such plans.</t>
  </si>
  <si>
    <t>Defra (water)
DESNZ (energy)
DfT (transport)
DSIT (telecoms)</t>
  </si>
  <si>
    <t xml:space="preserve">Ofwat &amp; water companies (water)
Ofgem (energy)
DfT, National Highways, Network Rail (transport)
DSIT (telecoms)
</t>
  </si>
  <si>
    <t>I03.2</t>
  </si>
  <si>
    <t>Increased use of adaptive management in flood and coastal risk management.</t>
  </si>
  <si>
    <t>(Water) RBRA I3 action 2: Water companies will follow the National FCERM Strategy for England, which includes an objective for water companies to make their infrastructure resilient to flooding and coastal change between now and 2030. 
(Energy) RBRA I3 action 3: The Environment Agency will work with distribution network operators to share flood and coastal erosion risk information and explore joint investment opportunities at least until 2026 under the FCERM Strategy Roadmap, to improve resilience of power distribution assets.
(Transport) RBRA I3 action 1: DfT will develop a transport adaptation strategy, taking a holistic approach to addressing the transport-related risks in the CCRA. We will seek to consult on the strategy by the end of 2023. 
(Transport) RBRA I3 action 4: Transport delivery bodies will support and use NBS to reduce the impact of coastal flooding and erosion. For example, National Highways published its Environmental Sustainability Strategy in May 2023, which includes employing NBS such as natural flood management to improve climate resilience of the network and neighbouring communities. Network Rail will review the opportunities for NBS to mitigate climate risk by the end of 2023.
(Transport) RBRA I3 action 5: Network Rail will develop adaptation pathway strategies by 2029 at regional level to support long-term strategic planning and identify where transformation of rail services may be required. 
(Telecoms) RBRA I3 action 3: DSIT will work with the EC-RRG to deliver one seminar every year throughout the NAP3 implementation period from 2023 to 2028 to increase understanding of climate adaptation risks and the economic benefits of taking adaptive action, including improved collaboration with the Met Office.
(Telecoms) RBRA I3 action 5: DSIT will work with Ofcom and the industry to explore the potential to collect specific data for climate change adaptation reporting, including whether climate change drivers can be identified as a reason for outages, by the end of 2023 to include in reporting from 2024.
NAP3 p.30: (Water) The Plan for Water sets out Defra’s commitment to improve water efficiency and invest in water resource infrastructure to deliver a supply of water that is resilient to climate change. A range of measures will incentivise water companies to improve their performance, increase water efficiency and develop new water infrastructure. These include: supporting water companies to maintain supply to a nil deficit, implementing water efficiency measures including: making sustainable drainage systems mandatory in new developments through implementing schedule 3 to The Flood and Water Management Act 2010.
NAP3 p.34: (Energy) The Environment Agency will continue to work with the power distribution sector to share flood and coastal erosion risk information and explore joint investment opportunities to improve the resilience of power distribution assets.
NAP3 p.38: (Road) National Highways will: implement commitments in the Environmental Sustainability Strategy published in May 2023, setting out how National Highways will integrate climate risk with other concerns, which include employing nature-based solutions such as natural flood management to improve climate resilience of the network and neighbouring communities.</t>
  </si>
  <si>
    <t>All sectors demonstrate actions to adapt to changes to flood and coastal risk. Unclear if some actions are new (i.e. increased adaptive management) or already in place.</t>
  </si>
  <si>
    <t>Water companies (water)
EA (energy)
DfT, transport delivery bodies &amp; Network Rail (transport)
DSIT (telecoms)</t>
  </si>
  <si>
    <t>I03.3</t>
  </si>
  <si>
    <t xml:space="preserve">Comprehensive data on the scale of risk from coastal erosion and flood risk for roads, ports and airports are required for future climates. </t>
  </si>
  <si>
    <r>
      <rPr>
        <b/>
        <sz val="10"/>
        <color theme="1"/>
        <rFont val="Calibri"/>
        <family val="2"/>
      </rPr>
      <t>(Water) RBRA I3 action 3:</t>
    </r>
    <r>
      <rPr>
        <sz val="10"/>
        <color theme="1"/>
        <rFont val="Calibri"/>
        <family val="2"/>
      </rPr>
      <t xml:space="preserve"> The Environment Agency will report on the flood risk management performance of risk management authorities (including water companies) annually. Defra will use this information to continually monitor the flood resilience of water infrastructure.
</t>
    </r>
    <r>
      <rPr>
        <b/>
        <sz val="10"/>
        <color theme="1"/>
        <rFont val="Calibri"/>
        <family val="2"/>
      </rPr>
      <t>(Energy) RBRA I3 action 4:</t>
    </r>
    <r>
      <rPr>
        <sz val="10"/>
        <color theme="1"/>
        <rFont val="Calibri"/>
        <family val="2"/>
      </rPr>
      <t xml:space="preserve"> DESNZ will use the climate services for a Net Zero resilient world (CS-N0W) research programme through to 2025 to explore developing indicators to measure the progress of the mitigation of climate change risks to energy assets.
</t>
    </r>
    <r>
      <rPr>
        <b/>
        <sz val="10"/>
        <color theme="1"/>
        <rFont val="Calibri"/>
        <family val="2"/>
      </rPr>
      <t>(Transport) RBRA I3 action 16:</t>
    </r>
    <r>
      <rPr>
        <sz val="10"/>
        <color theme="1"/>
        <rFont val="Calibri"/>
        <family val="2"/>
      </rPr>
      <t xml:space="preserve"> DfT will trial a regular monitoring survey for the ports sector over the NAP3 implementation period from 2023 to 2028 to gather information on the frequency of disruption to port operations from extreme weather.
</t>
    </r>
    <r>
      <rPr>
        <b/>
        <sz val="10"/>
        <color theme="1"/>
        <rFont val="Calibri"/>
        <family val="2"/>
      </rPr>
      <t>(Telecoms) RBRA I3 action 4:</t>
    </r>
    <r>
      <rPr>
        <sz val="10"/>
        <color theme="1"/>
        <rFont val="Calibri"/>
        <family val="2"/>
      </rPr>
      <t xml:space="preserve"> DSIT will support the industry to address the threat to submarine communication cables from climate hazards throughout the NAP3 implementation period from 2023 to 2028 and beyond. There will be ongoing engagement with the Environment Agency, Ministry of Defence and National Oceanography Centre for up-to-date analysis and assessment of the current and potential future aspects of climate change, including coastal erosion, to help assess the viability of current and future cable and site locations.
</t>
    </r>
    <r>
      <rPr>
        <b/>
        <sz val="10"/>
        <color theme="1"/>
        <rFont val="Calibri"/>
        <family val="2"/>
      </rPr>
      <t xml:space="preserve">NAP3 p.41: </t>
    </r>
    <r>
      <rPr>
        <sz val="10"/>
        <color theme="1"/>
        <rFont val="Calibri"/>
        <family val="2"/>
      </rPr>
      <t xml:space="preserve">(Ports) DfT will: work with the ports sector to develop a regular monitoring survey to gather information on the frequency of disruption to port operations from weather, trialling this over the NAP3 implementation period.
</t>
    </r>
    <r>
      <rPr>
        <b/>
        <sz val="10"/>
        <color theme="1"/>
        <rFont val="Calibri"/>
        <family val="2"/>
      </rPr>
      <t>NAP3 p.42:</t>
    </r>
    <r>
      <rPr>
        <sz val="10"/>
        <color theme="1"/>
        <rFont val="Calibri"/>
        <family val="2"/>
      </rPr>
      <t xml:space="preserve"> (Aviation) Commercial airports and NATS will: undertake regular monitoring programmes, which includes regular maintenance schedules of infrastructure and assets, and regular reviews of contingency and response plans to ensure the sector is resilient, continuing throughout the NAP3 period. Coordination: DfT will support airports to coordinate with local stakeholders including LRFs, ground-handlers, airlines, NATS and the Civil Aviation Authority to build aligned plans for responding to emerging and current climate risks to the infrastructure and surrounding communities.</t>
    </r>
  </si>
  <si>
    <t>Notable relevant actions for ports and airports, but limited for roads.</t>
  </si>
  <si>
    <t>EA (water)
DESNZ (energy)
DfT (transport)
DSIT (telecoms)</t>
  </si>
  <si>
    <t>I03.4</t>
  </si>
  <si>
    <t>Better monitoring and evaluation of existing policies would be beneficial to determine to what extent these are managing the risk down (such as with the risk of flooding to rail). Given the uncertainties around sea level rise, ‘what if’ planning for high coastal risk scenarios would be beneficial for understanding what could be done in the event of very high rates of change.</t>
  </si>
  <si>
    <r>
      <rPr>
        <b/>
        <sz val="10"/>
        <color theme="1"/>
        <rFont val="Calibri"/>
        <family val="2"/>
      </rPr>
      <t>(Water) RBRA I3 action 1:</t>
    </r>
    <r>
      <rPr>
        <sz val="10"/>
        <color theme="1"/>
        <rFont val="Calibri"/>
        <family val="2"/>
      </rPr>
      <t xml:space="preserve"> Ofwat will take a long-term view of the requirements for investment in water infrastructure and consider climate change as part of the methodology for the Price Review 2024, to ensure that water companies can invest in the resilience of their infrastructure.
</t>
    </r>
    <r>
      <rPr>
        <b/>
        <sz val="10"/>
        <color theme="1"/>
        <rFont val="Calibri"/>
        <family val="2"/>
      </rPr>
      <t>(Water) RBRA I3 action 3:</t>
    </r>
    <r>
      <rPr>
        <sz val="10"/>
        <color theme="1"/>
        <rFont val="Calibri"/>
        <family val="2"/>
      </rPr>
      <t xml:space="preserve"> The Environment Agency will report on the flood risk management performance of risk management authorities (including water companies) annually. Defra will use this information to continually monitor the flood resilience of water infrastructure.
</t>
    </r>
    <r>
      <rPr>
        <b/>
        <sz val="10"/>
        <color theme="1"/>
        <rFont val="Calibri"/>
        <family val="2"/>
      </rPr>
      <t>(Energy) RBRA I3 action 2:</t>
    </r>
    <r>
      <rPr>
        <sz val="10"/>
        <color theme="1"/>
        <rFont val="Calibri"/>
        <family val="2"/>
      </rPr>
      <t xml:space="preserve"> The energy generation sector will continue to risk assess assets throughout the NAP3 implementation period from 2023 to 2028, to gauge the resilience of their plants to pluvial and fluvial flooding. This occurs periodically for existing assets and during the permitting process for new assets.
</t>
    </r>
    <r>
      <rPr>
        <b/>
        <sz val="10"/>
        <color theme="1"/>
        <rFont val="Calibri"/>
        <family val="2"/>
      </rPr>
      <t>(Transport) RBRA I3 action 2:</t>
    </r>
    <r>
      <rPr>
        <sz val="10"/>
        <color theme="1"/>
        <rFont val="Calibri"/>
        <family val="2"/>
      </rPr>
      <t xml:space="preserve"> DfT will expand a programme of research, development, analysis and innovation by the end of 2023 to fill priority evidence gaps and inform effective decision making on climate change adaptation measures across the transport system.
</t>
    </r>
    <r>
      <rPr>
        <b/>
        <sz val="10"/>
        <color theme="1"/>
        <rFont val="Calibri"/>
        <family val="2"/>
      </rPr>
      <t xml:space="preserve">(Telecoms) RBRA I3 action 2: </t>
    </r>
    <r>
      <rPr>
        <sz val="10"/>
        <color theme="1"/>
        <rFont val="Calibri"/>
        <family val="2"/>
      </rPr>
      <t xml:space="preserve">DSIT will work with the regulator, Ofcom, to hold the telecoms sector to account for their resilience to climate hazards through existing duties and guidance. This will drive the sector’s resilience to climate change hazards throughout the NAP3 implementation period to 2028 and beyond.
</t>
    </r>
    <r>
      <rPr>
        <b/>
        <sz val="10"/>
        <color theme="1"/>
        <rFont val="Calibri"/>
        <family val="2"/>
      </rPr>
      <t>NAP3 p.34:</t>
    </r>
    <r>
      <rPr>
        <sz val="10"/>
        <color theme="1"/>
        <rFont val="Calibri"/>
        <family val="2"/>
      </rPr>
      <t xml:space="preserve"> (Energy) On research and evidence, DESNZ will: fund research through the CS-N0W programme through to 2025 to improve understanding of how climate change is affecting weather hazards that can impact the energy system and on the most appropriate approaches or metrics for gas and electricity network companies to measure their climate resilience and monitor progress in adaptation; use the outputs from research to inform the government’s approach to monitoring and evaluation for the sector throughout the NAP3 period and beyond.</t>
    </r>
  </si>
  <si>
    <t>Some actions to improve understanding that feeds into risk management, but no clear action that fully meets the CCRA ask.</t>
  </si>
  <si>
    <t>Ofwat (water)
EA &amp; Defra (water)
Energy generation sector (energy)
EA (telecoms)</t>
  </si>
  <si>
    <t>I04.1</t>
  </si>
  <si>
    <t>Improving drainage in areas that regularly flood during extreme weather events is one strategy of adaptation; monitoring of river and coastal erosion, as well as the development of flood, coastal and updated contingency defence measures as further strategies.</t>
  </si>
  <si>
    <r>
      <rPr>
        <b/>
        <sz val="10"/>
        <color theme="1"/>
        <rFont val="Calibri"/>
        <family val="2"/>
      </rPr>
      <t>(Energy) RBRA I4:</t>
    </r>
    <r>
      <rPr>
        <sz val="10"/>
        <color theme="1"/>
        <rFont val="Calibri"/>
        <family val="2"/>
      </rPr>
      <t xml:space="preserve"> does not address this action.
</t>
    </r>
    <r>
      <rPr>
        <b/>
        <sz val="10"/>
        <color theme="1"/>
        <rFont val="Calibri"/>
        <family val="2"/>
      </rPr>
      <t>(Transport) RBRA I4:</t>
    </r>
    <r>
      <rPr>
        <sz val="10"/>
        <color theme="1"/>
        <rFont val="Calibri"/>
        <family val="2"/>
      </rPr>
      <t xml:space="preserve"> does not address this action.
</t>
    </r>
    <r>
      <rPr>
        <b/>
        <sz val="10"/>
        <color theme="1"/>
        <rFont val="Calibri"/>
        <family val="2"/>
      </rPr>
      <t>(Telecoms) RBRA I4:</t>
    </r>
    <r>
      <rPr>
        <sz val="10"/>
        <color theme="1"/>
        <rFont val="Calibri"/>
        <family val="2"/>
      </rPr>
      <t xml:space="preserve"> does not address this action.
</t>
    </r>
    <r>
      <rPr>
        <b/>
        <sz val="10"/>
        <color theme="1"/>
        <rFont val="Calibri"/>
        <family val="2"/>
      </rPr>
      <t xml:space="preserve">NAP3 p.36: </t>
    </r>
    <r>
      <rPr>
        <sz val="10"/>
        <color theme="1"/>
        <rFont val="Calibri"/>
        <family val="2"/>
      </rPr>
      <t>To manage these risks over the NAP3 period, Network Rail will: upgrade physical infrastructure by investing in earthworks and drainage systems through the current Control Period 6 plans for 2019 to 2024, and through Control Period 7 plans for 2024 to 2029 which are currently under development.</t>
    </r>
    <r>
      <rPr>
        <b/>
        <sz val="10"/>
        <color theme="1"/>
        <rFont val="Calibri"/>
        <family val="2"/>
      </rPr>
      <t xml:space="preserve">
NAP3 p.38:</t>
    </r>
    <r>
      <rPr>
        <sz val="10"/>
        <color theme="1"/>
        <rFont val="Calibri"/>
        <family val="2"/>
      </rPr>
      <t xml:space="preserve"> Over RIS2 and RIS3, National Highways will: reduce the risk of flooding by improving the drainage network associated with the strategic road network, prioritising maintenance and renewal activity in areas where there are known flooding issues; implement the actions set out in their report under the third ARP round to mitigate the risks posed by other climate-related hazards including high temperatures, storms, subsidence, and scour risk (where water erodes the sediments that surround the base or support structures for bridges, roads, and other man-made buildings). This includes monitoring the condition of pavements; roads and earthworks; integrating climate change into shrinkswell susceptibility ratings; and identifying effective adaptation measures; implement commitments in the Environmental Sustainability Strategy published in May 2023, setting out how National Highways will integrate climate risk with other concerns, which include employing nature-based solutions such as natural flood management to improve climate resilience of the network and neighbouring communities.</t>
    </r>
  </si>
  <si>
    <t>Actions within transport sector go a some way to addressing this ask. Other sectors (water, energy, telecoms) - no clear actions relating to the CCRA ask.</t>
  </si>
  <si>
    <t>DESNZ (energy)
DfT (transport)
DSIT (telecoms)</t>
  </si>
  <si>
    <t>N/A (energy, transport &amp; telecoms)</t>
  </si>
  <si>
    <t>I04.2</t>
  </si>
  <si>
    <t xml:space="preserve">Reforming maintenance and inspection manuals should accommodate the effects of climate change, e.g. through a revision of the design codes to account for the effects of climate change, specifically in relation to bridge foundation scour and the effects of increased wetting and drying of soils in which pipelines are buried. </t>
  </si>
  <si>
    <r>
      <rPr>
        <b/>
        <sz val="10"/>
        <color theme="1"/>
        <rFont val="Calibri"/>
        <family val="2"/>
      </rPr>
      <t xml:space="preserve">(Energy) RBRA I4: </t>
    </r>
    <r>
      <rPr>
        <sz val="10"/>
        <color theme="1"/>
        <rFont val="Calibri"/>
        <family val="2"/>
      </rPr>
      <t>does not address this action.</t>
    </r>
    <r>
      <rPr>
        <b/>
        <sz val="10"/>
        <color theme="1"/>
        <rFont val="Calibri"/>
        <family val="2"/>
      </rPr>
      <t xml:space="preserve">
(Transport) RBRA I4 action 9: </t>
    </r>
    <r>
      <rPr>
        <sz val="10"/>
        <color theme="1"/>
        <rFont val="Calibri"/>
        <family val="2"/>
      </rPr>
      <t>National Highways will implement actions outlined in their ARP3 report through road periods 2 (from 2020 to 2025) and 3 (from 2025 to 2030), seeking to improve the resilience of bridges to flooding and scour risk, and updating standards and guidance where required.</t>
    </r>
    <r>
      <rPr>
        <b/>
        <sz val="10"/>
        <color theme="1"/>
        <rFont val="Calibri"/>
        <family val="2"/>
      </rPr>
      <t xml:space="preserve">
(Telecoms) RBRA I4 action 5: </t>
    </r>
    <r>
      <rPr>
        <sz val="10"/>
        <color theme="1"/>
        <rFont val="Calibri"/>
        <family val="2"/>
      </rPr>
      <t xml:space="preserve">Building Digital UK (BDUK) will publish guidance for telecoms operators so there is a single reference point for environmental requirements and resources, including climate adaptation, relative to telecoms infrastructure delivery in by the end of 2023.
</t>
    </r>
    <r>
      <rPr>
        <b/>
        <sz val="10"/>
        <color theme="1"/>
        <rFont val="Calibri"/>
        <family val="2"/>
      </rPr>
      <t xml:space="preserve">NAP3 p.33: </t>
    </r>
    <r>
      <rPr>
        <sz val="10"/>
        <color theme="1"/>
        <rFont val="Calibri"/>
        <family val="2"/>
      </rPr>
      <t xml:space="preserve">The Department for Energy Security and Net Zero (DESNZ) and Ofgem will: designate parties responsible now and in the future for the maintenance of energy sector codes and standards with a clear mandate to build climate and weather resilience by 2024.
</t>
    </r>
    <r>
      <rPr>
        <b/>
        <sz val="10"/>
        <color theme="1"/>
        <rFont val="Calibri"/>
        <family val="2"/>
      </rPr>
      <t xml:space="preserve">NAP3 p.47: </t>
    </r>
    <r>
      <rPr>
        <sz val="10"/>
        <color theme="1"/>
        <rFont val="Calibri"/>
        <family val="2"/>
      </rPr>
      <t>As set out in the Resilience Framework, government departments will work with regulators and infrastructure operators to: ensure existing regulatory regimes on resilience are fit for purpose; introduce standards on resilience and develop an action plan to deliver these across the private sector where they do not currently exist. The government recognises the need for standards to also account for unique sector landscapes, priorities, needs, and interlinkages between sectors.</t>
    </r>
  </si>
  <si>
    <t xml:space="preserve">Good evidence to suggest action in transport, telecoms and across all infrastructure sectors with regards to interacting and cascading failures. Limited evidence on energy specifically. </t>
  </si>
  <si>
    <t>N/A (energy)
National Highways (transport)
BDUK (telecoms)</t>
  </si>
  <si>
    <t>I04.3</t>
  </si>
  <si>
    <t xml:space="preserve">More data needed to support development of new protocols of maintenance and early-warning systems. </t>
  </si>
  <si>
    <r>
      <rPr>
        <b/>
        <sz val="10"/>
        <color theme="1"/>
        <rFont val="Calibri"/>
        <family val="2"/>
      </rPr>
      <t xml:space="preserve">(Energy) RBRA I4: </t>
    </r>
    <r>
      <rPr>
        <sz val="10"/>
        <color theme="1"/>
        <rFont val="Calibri"/>
        <family val="2"/>
      </rPr>
      <t>does not address this action.</t>
    </r>
    <r>
      <rPr>
        <b/>
        <sz val="10"/>
        <color theme="1"/>
        <rFont val="Calibri"/>
        <family val="2"/>
      </rPr>
      <t xml:space="preserve">
(Transport) RBRA I4: </t>
    </r>
    <r>
      <rPr>
        <sz val="10"/>
        <color theme="1"/>
        <rFont val="Calibri"/>
        <family val="2"/>
      </rPr>
      <t>does not address this action.</t>
    </r>
    <r>
      <rPr>
        <b/>
        <sz val="10"/>
        <color theme="1"/>
        <rFont val="Calibri"/>
        <family val="2"/>
      </rPr>
      <t xml:space="preserve">
(Telecoms) RBRA I4: </t>
    </r>
    <r>
      <rPr>
        <sz val="10"/>
        <color theme="1"/>
        <rFont val="Calibri"/>
        <family val="2"/>
      </rPr>
      <t xml:space="preserve">does not address this action.
</t>
    </r>
    <r>
      <rPr>
        <b/>
        <sz val="10"/>
        <color theme="1"/>
        <rFont val="Calibri"/>
        <family val="2"/>
      </rPr>
      <t xml:space="preserve">NAP3 Chapter 2: </t>
    </r>
    <r>
      <rPr>
        <sz val="10"/>
        <color theme="1"/>
        <rFont val="Calibri"/>
        <family val="2"/>
      </rPr>
      <t>does not address this action.</t>
    </r>
  </si>
  <si>
    <t>No actions identified that meet the CCRA ask.</t>
  </si>
  <si>
    <t>I04.4</t>
  </si>
  <si>
    <t>Changes in maintenance operations, improving collaboration with emergency managers, recognising emergency management as an integral function of managing infrastructure.</t>
  </si>
  <si>
    <r>
      <rPr>
        <b/>
        <sz val="10"/>
        <color theme="1"/>
        <rFont val="Calibri"/>
        <family val="2"/>
      </rPr>
      <t xml:space="preserve">(Energy) RBRA I4 action 3: </t>
    </r>
    <r>
      <rPr>
        <sz val="10"/>
        <color theme="1"/>
        <rFont val="Calibri"/>
        <family val="2"/>
      </rPr>
      <t xml:space="preserve">The gas distribution network will continue to deliver its mains pipeline replacement programme, replacing all iron gas distribution mains within 30 metres of a property by 2032, to improve resilience to a range of hazards.
</t>
    </r>
    <r>
      <rPr>
        <b/>
        <sz val="10"/>
        <color theme="1"/>
        <rFont val="Calibri"/>
        <family val="2"/>
      </rPr>
      <t xml:space="preserve">(Transport) RBRA I4: </t>
    </r>
    <r>
      <rPr>
        <sz val="10"/>
        <color theme="1"/>
        <rFont val="Calibri"/>
        <family val="2"/>
      </rPr>
      <t>does not address this action.</t>
    </r>
    <r>
      <rPr>
        <b/>
        <sz val="10"/>
        <color theme="1"/>
        <rFont val="Calibri"/>
        <family val="2"/>
      </rPr>
      <t xml:space="preserve">
(Telecoms) RBRA I4 action 3:</t>
    </r>
    <r>
      <rPr>
        <sz val="10"/>
        <color theme="1"/>
        <rFont val="Calibri"/>
        <family val="2"/>
      </rPr>
      <t xml:space="preserve"> DSIT will implement the Fibre-in-Water pilot project across the UK through to 2024. This aims to improve the resilience of subterranean infrastructure from subsidence by reducing the need to dig up surfaces to install new infrastructure, and will reduce water leakages by improving knowledge of leakage locations and reducing the time to identify and fix them.
</t>
    </r>
    <r>
      <rPr>
        <b/>
        <sz val="10"/>
        <color theme="1"/>
        <rFont val="Calibri"/>
        <family val="2"/>
      </rPr>
      <t xml:space="preserve">NAP3 p.35: </t>
    </r>
    <r>
      <rPr>
        <sz val="10"/>
        <color theme="1"/>
        <rFont val="Calibri"/>
        <family val="2"/>
      </rPr>
      <t xml:space="preserve">We will embed consideration of climate change risks across all transport operations, including in the management of existing assets and the planning of new assets throughout their lifespans. 
</t>
    </r>
    <r>
      <rPr>
        <b/>
        <sz val="10"/>
        <color theme="1"/>
        <rFont val="Calibri"/>
        <family val="2"/>
      </rPr>
      <t>NAP3 p.42:</t>
    </r>
    <r>
      <rPr>
        <sz val="10"/>
        <color theme="1"/>
        <rFont val="Calibri"/>
        <family val="2"/>
      </rPr>
      <t xml:space="preserve"> Commercial airports and NATS will: undertake regular monitoring programmes, which includes regular maintenance schedules of infrastructure and assets, and regular reviews of contingency and response plans to ensure the sector is resilient, continuing throughout the NAP3 period.</t>
    </r>
  </si>
  <si>
    <t>Some actions that meet the CCRA ask but no mention of improved collaboration with emergency management.</t>
  </si>
  <si>
    <t>Gas distribution network (energy) 
N/A (transport)
DSIT (telecoms)</t>
  </si>
  <si>
    <t>I05.1</t>
  </si>
  <si>
    <t xml:space="preserve">Projected increases in heavy rainfall events are factored into long-term renewal programmes for earthworks, especially for the rail network, to reduce current and future vulnerability. </t>
  </si>
  <si>
    <r>
      <rPr>
        <b/>
        <sz val="10"/>
        <color theme="1"/>
        <rFont val="Calibri"/>
        <family val="2"/>
      </rPr>
      <t>RBRA I5 action 3:</t>
    </r>
    <r>
      <rPr>
        <sz val="10"/>
        <color theme="1"/>
        <rFont val="Calibri"/>
        <family val="2"/>
      </rPr>
      <t xml:space="preserve"> Network Rail will implement recommendations on earthworks and drainage management from the Mair, Slingo and Rail Accident Investigation Branch reports following the Carmont derailment through the Weather Risk Taskforce. Action on most recommendations will have started by 2024, with implementation ongoing over the NAP3 period and beyond.
</t>
    </r>
    <r>
      <rPr>
        <b/>
        <sz val="10"/>
        <color theme="1"/>
        <rFont val="Calibri"/>
        <family val="2"/>
      </rPr>
      <t>NAP3 p.36:</t>
    </r>
    <r>
      <rPr>
        <sz val="10"/>
        <color theme="1"/>
        <rFont val="Calibri"/>
        <family val="2"/>
      </rPr>
      <t xml:space="preserve"> To manage these risks over the NAP3 period, Network Rail will: upgrade physical infrastructure by investing in earthworks and drainage systems through the current Control Period 6 plans for 2019 to 2024, and through Control Period 7 plans for 2024 to 2029 which are currently under development; implement recommendations by 2029 from the Rail Accident Investigation Branch report into the Carmont derailment 2020, and the Mair and Slingo reports following this incident into earthworks management and weather science respectively.
</t>
    </r>
    <r>
      <rPr>
        <b/>
        <sz val="10"/>
        <color theme="1"/>
        <rFont val="Calibri"/>
        <family val="2"/>
      </rPr>
      <t xml:space="preserve">NAP3 p.38: </t>
    </r>
    <r>
      <rPr>
        <sz val="10"/>
        <color theme="1"/>
        <rFont val="Calibri"/>
        <family val="2"/>
      </rPr>
      <t>Over RIS2 and RIS3, National Highways will: implement the actions set out in their report under the third ARP round to mitigate the risks posed by other climate-related hazards including high temperatures, storms, subsidence, and scour risk (where water erodes the sediments that surround the base or support structures for bridges, roads, and other man-made buildings). This includes monitoring the condition of pavements; roads and earthworks; integrating climate change into shrinkswell susceptibility ratings; and identifying effective adaptation measures.</t>
    </r>
  </si>
  <si>
    <t>Several actions to address and improve earthworks for the rail network, and also for road systems. Response to the recommendations from the rail accident review refer directly to the impacts of heavy rainfall events.</t>
  </si>
  <si>
    <t>DfT</t>
  </si>
  <si>
    <t>Network Rail</t>
  </si>
  <si>
    <t>I05.2</t>
  </si>
  <si>
    <t>Provision of improved numerical tools for infrastructure asset owners to predict failure occurrence, improved instrumentation and monitoring systems to detect pre-failure slope behaviour linked to decision support systems, more detailed characterisation of engineered soil assets, continued use of slope inspection programs, and greater use of soft engineering techniques such as vegetation management to reinforce vulnerable slopes.</t>
  </si>
  <si>
    <r>
      <rPr>
        <b/>
        <sz val="10"/>
        <color theme="1"/>
        <rFont val="Calibri"/>
        <family val="2"/>
      </rPr>
      <t>RBRA I5 action 5:</t>
    </r>
    <r>
      <rPr>
        <sz val="10"/>
        <color theme="1"/>
        <rFont val="Calibri"/>
        <family val="2"/>
      </rPr>
      <t xml:space="preserve"> Transport delivery bodies will support and use NBS to reduce the impact of river, surface water and groundwater flooding. For example, Network Rail will review the opportunities for NBS to mitigate climate risk by the end of 2023. Network Rail will develop adaptation pathway strategies by 2029 at regional level to support long-term strategic planning and identify where transformation of rail services may be required. 
</t>
    </r>
    <r>
      <rPr>
        <b/>
        <sz val="10"/>
        <color theme="1"/>
        <rFont val="Calibri"/>
        <family val="2"/>
      </rPr>
      <t>NAP3 Chapter 2:</t>
    </r>
    <r>
      <rPr>
        <sz val="10"/>
        <color theme="1"/>
        <rFont val="Calibri"/>
        <family val="2"/>
      </rPr>
      <t xml:space="preserve"> does not address this action.</t>
    </r>
  </si>
  <si>
    <t>No clear actions that meet the CCRA ask. No mention of actions to address slope failure in NAP3.</t>
  </si>
  <si>
    <t>Transport delivery bodies</t>
  </si>
  <si>
    <t>I05.3</t>
  </si>
  <si>
    <t>Continuous monitoring of pore pressures during and after construction to fully understand deterioration methods.</t>
  </si>
  <si>
    <r>
      <rPr>
        <b/>
        <sz val="10"/>
        <color theme="1"/>
        <rFont val="Calibri"/>
        <family val="2"/>
      </rPr>
      <t>RBRA I5:</t>
    </r>
    <r>
      <rPr>
        <sz val="10"/>
        <color theme="1"/>
        <rFont val="Calibri"/>
        <family val="2"/>
      </rPr>
      <t xml:space="preserve"> does not address this action.
</t>
    </r>
    <r>
      <rPr>
        <b/>
        <sz val="10"/>
        <color theme="1"/>
        <rFont val="Calibri"/>
        <family val="2"/>
      </rPr>
      <t xml:space="preserve">NAP3 Chapter 2: </t>
    </r>
    <r>
      <rPr>
        <sz val="10"/>
        <color theme="1"/>
        <rFont val="Calibri"/>
        <family val="2"/>
      </rPr>
      <t>does not address this action.</t>
    </r>
  </si>
  <si>
    <t>No mention of pore pressure in either document.</t>
  </si>
  <si>
    <t>I06.1</t>
  </si>
  <si>
    <t>For existing schemes, retrospective climate risk assessments can better inform operational planning and take action, if necessary, to protect assets and the downstream environment from harm during high water flows or flooding.</t>
  </si>
  <si>
    <r>
      <rPr>
        <b/>
        <sz val="10"/>
        <color theme="1"/>
        <rFont val="Calibri"/>
        <family val="2"/>
      </rPr>
      <t>RBRA I6 action 1:</t>
    </r>
    <r>
      <rPr>
        <sz val="10"/>
        <color theme="1"/>
        <rFont val="Calibri"/>
        <family val="2"/>
      </rPr>
      <t xml:space="preserve"> DESNZ will monitor power companies’ engagement with regional water resource planning initiatives and Energy UK’s engagement with the National Framework for Water Resources throughout the NAP3 implementation period, with a review point by end 2025, to drive understanding of and resilience to current and future low or high river flows.
</t>
    </r>
    <r>
      <rPr>
        <b/>
        <sz val="10"/>
        <color theme="1"/>
        <rFont val="Calibri"/>
        <family val="2"/>
      </rPr>
      <t xml:space="preserve">NAP3 p.34: </t>
    </r>
    <r>
      <rPr>
        <sz val="10"/>
        <color theme="1"/>
        <rFont val="Calibri"/>
        <family val="2"/>
      </rPr>
      <t>DESNZ and Ofgem will: support energy generation companies as necessary to risk assess assets in the energy generation sector and gauge the climate resilience of power plants including flood resilience, water scarcity and temperature changes.</t>
    </r>
  </si>
  <si>
    <t>Action to risk assess assets and better understand resilience to high and low river flows, which meets part of the CCRA ask. No clear mechanism to take action on outcomes of risk assessment or to conduct retrospective risk assessments.</t>
  </si>
  <si>
    <t>DESNZ (energy)</t>
  </si>
  <si>
    <t>I06.2</t>
  </si>
  <si>
    <t>For existing reservoir or impoundment-based hydroelectric schemes, the suitability of spillways to future peak flow should be ensured, updating probable maximum flow rates to include climate change. For impoundment schemes to take advantage of higher winter rainfall, increases in reservoir sizes and or turbine capacity will be necessary.</t>
  </si>
  <si>
    <r>
      <rPr>
        <b/>
        <sz val="10"/>
        <color theme="1"/>
        <rFont val="Calibri"/>
        <family val="2"/>
      </rPr>
      <t>RBRA I6 action 1:</t>
    </r>
    <r>
      <rPr>
        <sz val="10"/>
        <color theme="1"/>
        <rFont val="Calibri"/>
        <family val="2"/>
      </rPr>
      <t xml:space="preserve"> DESNZ will monitor power companies’ engagement with regional water resource planning initiatives and Energy UK’s engagement with the National Framework for Water Resources throughout the NAP3 implementation period, with a review point by end 2025, to drive understanding of and resilience to current and future low or high river flows.
</t>
    </r>
    <r>
      <rPr>
        <b/>
        <sz val="10"/>
        <color theme="1"/>
        <rFont val="Calibri"/>
        <family val="2"/>
      </rPr>
      <t xml:space="preserve">RBRA I6 action 2: </t>
    </r>
    <r>
      <rPr>
        <sz val="10"/>
        <color theme="1"/>
        <rFont val="Calibri"/>
        <family val="2"/>
      </rPr>
      <t xml:space="preserve">DESNZ will use research and development throughout the NAP3 implementation period, including the CS-N0W research programme which runs to 2025, to improve understanding of future water availability and impacts on water-intensive energy infrastructure.
</t>
    </r>
    <r>
      <rPr>
        <b/>
        <sz val="10"/>
        <color theme="1"/>
        <rFont val="Calibri"/>
        <family val="2"/>
      </rPr>
      <t xml:space="preserve">NAP3 Chapter 2: </t>
    </r>
    <r>
      <rPr>
        <sz val="10"/>
        <color theme="1"/>
        <rFont val="Calibri"/>
        <family val="2"/>
      </rPr>
      <t>does not address this action.</t>
    </r>
  </si>
  <si>
    <t>The action may be addressed in the frameworks referred to in the RBRA actions, but evaluation of these documents in outside the scope of this assessment.</t>
  </si>
  <si>
    <t>I07.1</t>
  </si>
  <si>
    <t>More research is needed for the production of more accurate and consistent data, for investigating the interdependencies of infrastructure and understanding potential adaptation strategies (mainly limited to monitoring at present). The heterogeneity of railway earthworks is a challenge to understanding their future behaviour. More detailed information on sub-surface composition would assist in predicting future behaviour but would be costly to achieve. Quantifying the uncertainty in soil properties would be beneficial.</t>
  </si>
  <si>
    <r>
      <rPr>
        <b/>
        <sz val="10"/>
        <color theme="1"/>
        <rFont val="Calibri"/>
        <family val="2"/>
      </rPr>
      <t xml:space="preserve">(Water) RBRA I7: </t>
    </r>
    <r>
      <rPr>
        <sz val="10"/>
        <color theme="1"/>
        <rFont val="Calibri"/>
        <family val="2"/>
      </rPr>
      <t xml:space="preserve">does not address this action.
</t>
    </r>
    <r>
      <rPr>
        <b/>
        <sz val="10"/>
        <color theme="1"/>
        <rFont val="Calibri"/>
        <family val="2"/>
      </rPr>
      <t xml:space="preserve">(Energy) RBRA I7 action 3: </t>
    </r>
    <r>
      <rPr>
        <sz val="10"/>
        <color theme="1"/>
        <rFont val="Calibri"/>
        <family val="2"/>
      </rPr>
      <t xml:space="preserve">DESNZ will engage with National Underground Asset Register (NUAR) development prior to it becoming operational in 2024 to consider how this knowledge could be used to facilitate further resilience measures by industry.
</t>
    </r>
    <r>
      <rPr>
        <b/>
        <sz val="10"/>
        <color theme="1"/>
        <rFont val="Calibri"/>
        <family val="2"/>
      </rPr>
      <t>(Energy) RBRA I7 action 4:</t>
    </r>
    <r>
      <rPr>
        <sz val="10"/>
        <color theme="1"/>
        <rFont val="Calibri"/>
        <family val="2"/>
      </rPr>
      <t xml:space="preserve"> The energy sector will complete and implement research and development to enhance the resilience of pipelines to flooding and erosion throughout the NAP3 implementation period from 2023 to 2028.
</t>
    </r>
    <r>
      <rPr>
        <b/>
        <sz val="10"/>
        <color theme="1"/>
        <rFont val="Calibri"/>
        <family val="2"/>
      </rPr>
      <t xml:space="preserve">(Energy) RBRA I7 action 5: </t>
    </r>
    <r>
      <rPr>
        <sz val="10"/>
        <color theme="1"/>
        <rFont val="Calibri"/>
        <family val="2"/>
      </rPr>
      <t xml:space="preserve">DESNZ will encourage knowledge sharing approaches across operators on risk mitigation approaches via existing engagement forums throughout the NAP3 implementation period from 2023 to 2028, with a review point by end 2025, to enhance resilience to subsidence.
</t>
    </r>
    <r>
      <rPr>
        <b/>
        <sz val="10"/>
        <color theme="1"/>
        <rFont val="Calibri"/>
        <family val="2"/>
      </rPr>
      <t>(Transport) RBRA I7 action 2:</t>
    </r>
    <r>
      <rPr>
        <sz val="10"/>
        <color theme="1"/>
        <rFont val="Calibri"/>
        <family val="2"/>
      </rPr>
      <t xml:space="preserve"> DfT will expand a programme of research, development, analysis and innovation by the end of 2023 to fill priority evidence gaps and inform effective decision making on climate change adaptation measures across the transport system.
</t>
    </r>
    <r>
      <rPr>
        <b/>
        <sz val="10"/>
        <color theme="1"/>
        <rFont val="Calibri"/>
        <family val="2"/>
      </rPr>
      <t>(Transport) RBRA I7 action 3:</t>
    </r>
    <r>
      <rPr>
        <sz val="10"/>
        <color theme="1"/>
        <rFont val="Calibri"/>
        <family val="2"/>
      </rPr>
      <t xml:space="preserve"> Local highway authorities will work towards widening asset management plans to improve understanding of vulnerabilities and will complete initial risk assessments by the end of 2024.
</t>
    </r>
    <r>
      <rPr>
        <b/>
        <sz val="10"/>
        <color theme="1"/>
        <rFont val="Calibri"/>
        <family val="2"/>
      </rPr>
      <t>(Telecoms) RBRA I7 action 5:</t>
    </r>
    <r>
      <rPr>
        <sz val="10"/>
        <color theme="1"/>
        <rFont val="Calibri"/>
        <family val="2"/>
      </rPr>
      <t xml:space="preserve"> DSIT will work with Ofcom and the industry to explore the potential to collect specific data for climate change adaptation reporting, including whether climate change drivers can be identified as a reason for outages, by the end of 2023 to include in reporting from 2024.
</t>
    </r>
    <r>
      <rPr>
        <b/>
        <sz val="10"/>
        <color theme="1"/>
        <rFont val="Calibri"/>
        <family val="2"/>
      </rPr>
      <t xml:space="preserve">NAP3 p.47: </t>
    </r>
    <r>
      <rPr>
        <sz val="10"/>
        <color theme="1"/>
        <rFont val="Calibri"/>
        <family val="2"/>
      </rPr>
      <t>Defra and the Cabinet Office will improve the ability of infrastructure owners and operators to access and use relevant climate information by: working collaboratively with government agencies and infrastructure operators to better understand the potential impacts of climate change and inform resilience measures.</t>
    </r>
  </si>
  <si>
    <t>Some infrastructure systems indicate progress will be made to address the ask, whilst other systems have limited to no planned actions.
• Water - CCRA ask not met.
• Energy - CCRA ask met minimally.
• Transport - CCRA ask met significantly.
• Telecoms - CCRA ask met minimally.</t>
  </si>
  <si>
    <t>Defra (Water)
DESNZ (Energy)
DfT (transport) 
DSIT (telecoms)</t>
  </si>
  <si>
    <t>N/A (water)
Energy sector &amp; DESNZ (energy)
DfT &amp; highway authorities (transport)
DSIT &amp; Ofcom (telecoms)</t>
  </si>
  <si>
    <t>I07.2</t>
  </si>
  <si>
    <t>Increased ground and weather monitoring and the use of real-time decision support tools has been proposed as a potential method to mitigate the risks of shrink-swell.</t>
  </si>
  <si>
    <r>
      <rPr>
        <b/>
        <sz val="10"/>
        <color theme="1"/>
        <rFont val="Calibri"/>
        <family val="2"/>
      </rPr>
      <t>(Water) RBRA I7 action 2:</t>
    </r>
    <r>
      <rPr>
        <sz val="10"/>
        <color theme="1"/>
        <rFont val="Calibri"/>
        <family val="2"/>
      </rPr>
      <t xml:space="preserve"> Ofwat is developing an integrated monitoring framework to provide a more complete view of asset health and operational resilience as part of its Price Review 2024 methodology. This will help us to understand operational resilience and asset health risks.
</t>
    </r>
    <r>
      <rPr>
        <b/>
        <sz val="10"/>
        <color theme="1"/>
        <rFont val="Calibri"/>
        <family val="2"/>
      </rPr>
      <t>(Energy) RBRA I7 action 2:</t>
    </r>
    <r>
      <rPr>
        <sz val="10"/>
        <color theme="1"/>
        <rFont val="Calibri"/>
        <family val="2"/>
      </rPr>
      <t xml:space="preserve"> Gas distribution and transmission networks will continue to deliver regular risk assessment and proactive monitoring and inspection regimes throughout the NAP3 implementation period from 2023 to 2028, to monitor asset conditions (for signs of ground movement and loss of cover soil) and undertake engineering responses where necessary to ensure resilience.
</t>
    </r>
    <r>
      <rPr>
        <b/>
        <sz val="10"/>
        <color theme="1"/>
        <rFont val="Calibri"/>
        <family val="2"/>
      </rPr>
      <t>(Transport) RBRA I7 action 8:</t>
    </r>
    <r>
      <rPr>
        <sz val="10"/>
        <color theme="1"/>
        <rFont val="Calibri"/>
        <family val="2"/>
      </rPr>
      <t xml:space="preserve"> National Highways will implement actions outlined in their ARP3 report through road periods 2 (from 2020 to 2025) and 3 (from 2025 to 2030), integrating climate change into shrink-swell susceptibility ratings, monitoring risks to earthworks from increased vegetation growth, and researching soil characteristics which affect subsidence risk.
</t>
    </r>
    <r>
      <rPr>
        <b/>
        <sz val="10"/>
        <color theme="1"/>
        <rFont val="Calibri"/>
        <family val="2"/>
      </rPr>
      <t>(Telecoms) RBRA I7:</t>
    </r>
    <r>
      <rPr>
        <sz val="10"/>
        <color theme="1"/>
        <rFont val="Calibri"/>
        <family val="2"/>
      </rPr>
      <t xml:space="preserve"> does not address this action.
</t>
    </r>
    <r>
      <rPr>
        <b/>
        <sz val="10"/>
        <color theme="1"/>
        <rFont val="Calibri"/>
        <family val="2"/>
      </rPr>
      <t xml:space="preserve">NAP3 Chapter 2: </t>
    </r>
    <r>
      <rPr>
        <sz val="10"/>
        <color theme="1"/>
        <rFont val="Calibri"/>
        <family val="2"/>
      </rPr>
      <t>does not address this action.</t>
    </r>
  </si>
  <si>
    <t>Some relevant evidence but not to sufficient depth to adequately address the CCRA3 ask.</t>
  </si>
  <si>
    <t>Ofwat (water)
Gas network operators (energy)
National Highways (transport)
N/A (telecoms)</t>
  </si>
  <si>
    <t>I08.1</t>
  </si>
  <si>
    <t xml:space="preserve">Establishing appropriate leakage targets using a sufficiently wide assessment framework considering all potential users may improve multi-sector resilience and economic efficiency of water and water rights use. Defra announced it is looking to bring in a statutory long-term water demand target by October 2022. </t>
  </si>
  <si>
    <r>
      <rPr>
        <b/>
        <sz val="10"/>
        <color theme="1"/>
        <rFont val="Calibri"/>
        <family val="2"/>
      </rPr>
      <t>RBRA I8 action 7:</t>
    </r>
    <r>
      <rPr>
        <sz val="10"/>
        <color theme="1"/>
        <rFont val="Calibri"/>
        <family val="2"/>
      </rPr>
      <t xml:space="preserve"> Defra will require water companies to reduce leakage rates by 37% by 2038, with interim targets in 2027 and 2031.
</t>
    </r>
    <r>
      <rPr>
        <b/>
        <sz val="10"/>
        <color theme="1"/>
        <rFont val="Calibri"/>
        <family val="2"/>
      </rPr>
      <t>RBRA I8 action 8:</t>
    </r>
    <r>
      <rPr>
        <sz val="10"/>
        <color theme="1"/>
        <rFont val="Calibri"/>
        <family val="2"/>
      </rPr>
      <t xml:space="preserve"> Defra and Ofwat will work with companies to reduce water demand, with a target to reduce the use of public water supply by 20% by 2038. 
</t>
    </r>
    <r>
      <rPr>
        <b/>
        <sz val="10"/>
        <color theme="1"/>
        <rFont val="Calibri"/>
        <family val="2"/>
      </rPr>
      <t>NAP3 p.30:</t>
    </r>
    <r>
      <rPr>
        <sz val="10"/>
        <color theme="1"/>
        <rFont val="Calibri"/>
        <family val="2"/>
      </rPr>
      <t xml:space="preserve"> (Water) The Plan for Water sets out Defra’s commitment to improve water efficiency and invest in water resource infrastructure to deliver a supply of water that is resilient to climate change. A range of measures will incentivise water companies to improve their performance, increase water efficiency and develop new water infrastructure. These include: incentivising companies to improve their performance against agreed targets for water quality compliance, leakages and supply interruptions and holding
companies to account for the timely delivery of these outcomes and outputs by introducing price control deliverables; supporting water companies to maintain supply to a nil deficit, implementing water efficiency measures including: making sustainable drainage systems mandatory in new developments through implementing schedule 3 to The Flood and Water Management Act 2010; achieving a 50% reduction in leakage rates by 2050 against a 2017/18 baseline and reducing use of the public water supply in England per
head by 20% by 2037/38 against a 2019/20 baseline; driving innovation through a £100 million Ofwat fund to develop water
efficiency projects and introducing new mandatory water efficiency labelling; reducing the use of public water supply by 20% by 2038; encouraging local authorities to set tighter water efficiency standards, to 110 litres per person per day for new homes, and considering tighter water efficiency standards where there is clear local need, such as in areas of severe water stress.
</t>
    </r>
    <r>
      <rPr>
        <b/>
        <sz val="10"/>
        <color theme="1"/>
        <rFont val="Calibri"/>
        <family val="2"/>
      </rPr>
      <t>GRPR Recommendation 4:</t>
    </r>
    <r>
      <rPr>
        <sz val="10"/>
        <color theme="1"/>
        <rFont val="Calibri"/>
        <family val="2"/>
      </rPr>
      <t xml:space="preserve"> Defra works closely with Ofwat, the Environment Agency and Natural England to ensure progress against the targets set on leakage and use of public water supply. In April, the government published its Plan for Water, and has committed to a legally binding target to reduce water use by 20% per person by 2038. </t>
    </r>
  </si>
  <si>
    <t>Clear actions relating to leakage targets.</t>
  </si>
  <si>
    <t>I08.2</t>
  </si>
  <si>
    <t>Mandatory government led scheme to label water-using products, linked to tightening building Regulations and water supply fitting regulations.</t>
  </si>
  <si>
    <r>
      <rPr>
        <b/>
        <sz val="10"/>
        <color theme="1"/>
        <rFont val="Calibri"/>
        <family val="2"/>
      </rPr>
      <t xml:space="preserve">RBRA I8 action 9: </t>
    </r>
    <r>
      <rPr>
        <sz val="10"/>
        <color theme="1"/>
        <rFont val="Calibri"/>
        <family val="2"/>
      </rPr>
      <t xml:space="preserve">Defra has worked with the Future Homes Hub and other stakeholders to develop a roadmap to 2030, containing 10 actions on water efficiency in new developments and retrofits. The Plan for Water expanded the details for delivery and included additional actions on water efficiency in new and existing homes.
</t>
    </r>
    <r>
      <rPr>
        <b/>
        <sz val="10"/>
        <color theme="1"/>
        <rFont val="Calibri"/>
        <family val="2"/>
      </rPr>
      <t xml:space="preserve">NAP3 p.30: </t>
    </r>
    <r>
      <rPr>
        <sz val="10"/>
        <color theme="1"/>
        <rFont val="Calibri"/>
        <family val="2"/>
      </rPr>
      <t xml:space="preserve">(Water) The Plan for Water sets out Defra’s commitment to improve water efficiency and invest in water resource infrastructure to deliver a supply of water that is resilient to climate change. A range of measures will incentivise water companies to improve their performance, increase water efficiency and develop new water infrastructure. These include: ... driving innovation through a £100 million Ofwat fund to develop water efficiency projects and introducing new mandatory water efficiency labelling. </t>
    </r>
  </si>
  <si>
    <t>Introduction of new mandatory water efficiency labelling addresses the CCRA3 ask</t>
  </si>
  <si>
    <t>Defra &amp; Future Homes Hub</t>
  </si>
  <si>
    <t>I08.3</t>
  </si>
  <si>
    <t>The National Infrastructure Commission recommended building resilience to 1 in 500-year drought. Supply infrastructure that supplies a further 1300Ml/day will need constructing.</t>
  </si>
  <si>
    <r>
      <rPr>
        <b/>
        <sz val="10"/>
        <color theme="1"/>
        <rFont val="Calibri"/>
        <family val="2"/>
      </rPr>
      <t xml:space="preserve">RBRA I8 action 5: </t>
    </r>
    <r>
      <rPr>
        <sz val="10"/>
        <color theme="1"/>
        <rFont val="Calibri"/>
        <family val="2"/>
      </rPr>
      <t xml:space="preserve">Water companies will produce drought plans every 5 years setting out how they will monitor water availability, the triggers for drought measures, and supply and demand mitigation actions. These drought plans will inform other aspects of water industry planning, including the next round of water resources management plans in 2024.
</t>
    </r>
    <r>
      <rPr>
        <b/>
        <sz val="10"/>
        <color theme="1"/>
        <rFont val="Calibri"/>
        <family val="2"/>
      </rPr>
      <t>NAP3 Chapter 2:</t>
    </r>
    <r>
      <rPr>
        <sz val="10"/>
        <color theme="1"/>
        <rFont val="Calibri"/>
        <family val="2"/>
      </rPr>
      <t xml:space="preserve"> does not address this action.</t>
    </r>
  </si>
  <si>
    <t>Recognition of risks from drought to infrastructure, but absence of clear actions to address the ask.</t>
  </si>
  <si>
    <t>Water companies</t>
  </si>
  <si>
    <t>I08.4</t>
  </si>
  <si>
    <t>Metering aim (95% of households) by 2030-2035.</t>
  </si>
  <si>
    <r>
      <rPr>
        <b/>
        <sz val="10"/>
        <color theme="1"/>
        <rFont val="Calibri"/>
        <family val="2"/>
      </rPr>
      <t>RBRA I8:</t>
    </r>
    <r>
      <rPr>
        <sz val="10"/>
        <color theme="1"/>
        <rFont val="Calibri"/>
        <family val="2"/>
      </rPr>
      <t xml:space="preserve"> does not address this action.
</t>
    </r>
    <r>
      <rPr>
        <b/>
        <sz val="10"/>
        <color theme="1"/>
        <rFont val="Calibri"/>
        <family val="2"/>
      </rPr>
      <t xml:space="preserve">NAP3 Chapter 2: </t>
    </r>
    <r>
      <rPr>
        <sz val="10"/>
        <color theme="1"/>
        <rFont val="Calibri"/>
        <family val="2"/>
      </rPr>
      <t>does not address this action.</t>
    </r>
  </si>
  <si>
    <t>No reference to metering in the documents reviewed.</t>
  </si>
  <si>
    <t>I08.5</t>
  </si>
  <si>
    <t>Demand management and new water resource options.</t>
  </si>
  <si>
    <r>
      <rPr>
        <b/>
        <sz val="10"/>
        <color theme="1"/>
        <rFont val="Calibri"/>
        <family val="2"/>
      </rPr>
      <t xml:space="preserve">RBRA I8 action 4: </t>
    </r>
    <r>
      <rPr>
        <sz val="10"/>
        <color theme="1"/>
        <rFont val="Calibri"/>
        <family val="2"/>
      </rPr>
      <t>The government will work with regulators to assess the statutory water resources management plans which companies will submit in 2024. It will ensure water companies manage supply and demand to a nil deficit, taking account of climate change.</t>
    </r>
    <r>
      <rPr>
        <b/>
        <sz val="10"/>
        <color theme="1"/>
        <rFont val="Calibri"/>
        <family val="2"/>
      </rPr>
      <t xml:space="preserve">
RBRA I8 action 8:</t>
    </r>
    <r>
      <rPr>
        <sz val="10"/>
        <color theme="1"/>
        <rFont val="Calibri"/>
        <family val="2"/>
      </rPr>
      <t xml:space="preserve"> Defra and Ofwat will work with companies to reduce water demand, with a target to reduce the use of public water supply by 20% by 2038. 
</t>
    </r>
    <r>
      <rPr>
        <b/>
        <sz val="10"/>
        <color theme="1"/>
        <rFont val="Calibri"/>
        <family val="2"/>
      </rPr>
      <t xml:space="preserve">NAP3 p.30: </t>
    </r>
    <r>
      <rPr>
        <sz val="10"/>
        <color theme="1"/>
        <rFont val="Calibri"/>
        <family val="2"/>
      </rPr>
      <t xml:space="preserve">(Water) The Plan for Water sets out Defra’s commitment to improve water efficiency and invest in water resource infrastructure to deliver a supply of water that is resilient to climate change. A range of measures will incentivise water companies to improve their performance, increase water efficiency and develop new water infrastructure. These include: incentivising companies to improve their performance against agreed targets for water quality compliance, leakages and supply interruptions and holding
companies to account for the timely delivery of these outcomes and outputs by introducing price control deliverables; supporting water companies to maintain supply to a nil deficit, implementing water efficiency measures including: making sustainable drainage systems mandatory in new developments through implementing schedule 3 to The Flood and Water Management Act 2010; achieving a 50% reduction in leakage rates by 2050 against a 2017/18 baseline and reducing use of the public water supply in England per
head by 20% by 2037/38 against a 2019/20 baseline; driving innovation through a £100 million Ofwat fund to develop water
efficiency projects and introducing new mandatory water efficiency labelling; reducing the use of public water supply by 20% by 2038; encouraging local authorities to set tighter water efficiency standards, to 110 litres per person per day for new homes, and considering tighter water efficiency standards where there is clear local need, such as in areas of severe water stress; supporting companies to develop new water infrastructure including: accelerating investment of around £400 million to improve water resilience by increasing water capacity and driving water efficiency; advancing the Regulators’ Alliance for Progressing Infrastructure Development’s work to help water companies deliver water resources infrastructure at pace; publishing the National Policy Statement for water resources
infrastructure to help streamline the planning consent process for significant water resources infrastructure.
</t>
    </r>
    <r>
      <rPr>
        <b/>
        <sz val="10"/>
        <color theme="1"/>
        <rFont val="Calibri"/>
        <family val="2"/>
      </rPr>
      <t xml:space="preserve">GRPR Recommendation 32: </t>
    </r>
    <r>
      <rPr>
        <sz val="10"/>
        <color theme="1"/>
        <rFont val="Calibri"/>
        <family val="2"/>
      </rPr>
      <t>The government is committed to a twin track approach to improving water supply resilience, which involves investing in new supply infrastructure and action to reduce water company leaks and improving water efficiency. Water companies must account for economic growth, climate change projections and population increase in their water resources planning. 
Regional and water resources management plans (WRMPs) will ensure secure supply. Regional water resources groups and water companies consulted on their draft plans earlier this year and a summary of draft plans is available on gov.uk. The draft WRMPs contain proposals for new schemes supplying 10Ml/d+ by 2050, including: 9 desalination schemes; 9 reservoirs; 11 water recycling schemes; and transfers to share water resources.</t>
    </r>
  </si>
  <si>
    <t>Clear actions that meet the CCRA ask to manage demand and to develop new water infrastructure.</t>
  </si>
  <si>
    <t>Defra &amp; Ofwat</t>
  </si>
  <si>
    <t>I09.1</t>
  </si>
  <si>
    <t>Further actions are warranted for new small plants that fall under the major infrastructure project thresholds and those already built on inland sites, given abstraction reforms remain to be implemented in England and Wales, which, together with climate projections for the future water resources available in different catchment areas (Sayers et al., 2020), could guide new infrastructure siting and cooling technology choices.</t>
  </si>
  <si>
    <r>
      <rPr>
        <b/>
        <sz val="10"/>
        <color theme="1"/>
        <rFont val="Calibri"/>
        <family val="2"/>
      </rPr>
      <t xml:space="preserve">RBRA I9 action 1: </t>
    </r>
    <r>
      <rPr>
        <sz val="10"/>
        <color theme="1"/>
        <rFont val="Calibri"/>
        <family val="2"/>
      </rPr>
      <t>DESNZ will monitor power companies’ engagement with regional water resource planning initiatives and Energy UK’s engagement with the National Framework for Water Resources to drive understanding of and resilience to reduced water availability throughout the NAP3 implementation period, with a review point by end 2025. Energy UK is also engaging with the Environment Agency as they develop the abstraction licensing transition into the Environmental Permitting Regulations.</t>
    </r>
    <r>
      <rPr>
        <b/>
        <sz val="10"/>
        <color theme="1"/>
        <rFont val="Calibri"/>
        <family val="2"/>
      </rPr>
      <t xml:space="preserve">
RBRA I9 action 3: </t>
    </r>
    <r>
      <rPr>
        <sz val="10"/>
        <color theme="1"/>
        <rFont val="Calibri"/>
        <family val="2"/>
      </rPr>
      <t xml:space="preserve">The energy sector will comply with planning requirements throughout the NAP3 implementation period to 2028 and beyond to ensure new energy developments are resilient to climate hazards. This includes requirements for power companies to demonstrate resilience of new sites during initial planning processes and of existing sites through their regular business planning process. 
</t>
    </r>
    <r>
      <rPr>
        <b/>
        <sz val="10"/>
        <color theme="1"/>
        <rFont val="Calibri"/>
        <family val="2"/>
      </rPr>
      <t xml:space="preserve">NAP3 p.31: </t>
    </r>
    <r>
      <rPr>
        <sz val="10"/>
        <color theme="1"/>
        <rFont val="Calibri"/>
        <family val="2"/>
      </rPr>
      <t>The government is funding research to improve projections of future water availability for England. This will account for both the changing climate and other pressures on water availability as we transition to net zero through the Climate Services for a Net Zero Resilient World (CS-N0W) programme, which runs to 2025. The outputs of this work will give us a better idea of future water balance and will allow water companies and Ofwat to plan more effectively into the future.</t>
    </r>
  </si>
  <si>
    <t>Recognition of need for more information on impacts of reduced water availability, and actions to understand current resilience in energy sector, but no clear action relating to new small plants.</t>
  </si>
  <si>
    <t>DESNZ (Energy Infrastructure)</t>
  </si>
  <si>
    <t>DESNZ &amp; EA
Energy sector</t>
  </si>
  <si>
    <t>I09.2</t>
  </si>
  <si>
    <t>Further analysis of the possible risks with respect to water demand of new generation plant, the number required, and the linkages with Risk I8 on water supply. Long term monitoring of risk levels and adaptation activity as advised in CCRA2, with additional consideration of how an expansion in hydrogen and biofuel production in the UK would affect vulnerability to reduced water availability.</t>
  </si>
  <si>
    <r>
      <rPr>
        <b/>
        <sz val="10"/>
        <color theme="1"/>
        <rFont val="Calibri"/>
        <family val="2"/>
      </rPr>
      <t xml:space="preserve">RBRA I9 action 2: </t>
    </r>
    <r>
      <rPr>
        <sz val="10"/>
        <color theme="1"/>
        <rFont val="Calibri"/>
        <family val="2"/>
      </rPr>
      <t>DESNZ will use research and development, including the CS-N0W research programme, which runs until 2025, to improve understanding of future water availability and impacts on water-intensive energy infrastructure. Energy UK has been contributing to the Environment Agency project on Humber industrial constraints.</t>
    </r>
    <r>
      <rPr>
        <b/>
        <sz val="10"/>
        <color theme="1"/>
        <rFont val="Calibri"/>
        <family val="2"/>
      </rPr>
      <t xml:space="preserve">
RBRA I9 action 4:</t>
    </r>
    <r>
      <rPr>
        <sz val="10"/>
        <color theme="1"/>
        <rFont val="Calibri"/>
        <family val="2"/>
      </rPr>
      <t xml:space="preserve"> DESNZ will continue work with industry throughout the NAP3 implementation period, with a review point by end 2025, to understand the future water needs for the power sector in its transition to net zero. Industry will also work on this via private initiatives, such as UK Water Industry Research’s work on the feasibility of scaling hydrogen production in relation to water consumption.
</t>
    </r>
    <r>
      <rPr>
        <b/>
        <sz val="10"/>
        <color theme="1"/>
        <rFont val="Calibri"/>
        <family val="2"/>
      </rPr>
      <t xml:space="preserve">NAP3 p.34: </t>
    </r>
    <r>
      <rPr>
        <sz val="10"/>
        <color theme="1"/>
        <rFont val="Calibri"/>
        <family val="2"/>
      </rPr>
      <t>DESNZ and Ofgem will: support energy generation companies as necessary to risk assess assets in the energy generation sector and gauge the climate resilience of power plants including flood resilience, water scarcity and temperature changes; periodically assess climate resilience for existing plants and assess new plants that qualify as Nationally Significant Infrastructure Projects through the planning application process. Increasingly from 2024 the requirements of the environmental permitting regime will embed climate risk management into relevant sites’ management systems.</t>
    </r>
  </si>
  <si>
    <t>Largely meets the CCRA ask. No references to consideration of impacts from hydrogen or biofuel.</t>
  </si>
  <si>
    <t>DESNZ &amp; energy sector</t>
  </si>
  <si>
    <t>I10.1</t>
  </si>
  <si>
    <t xml:space="preserve">Further investigation on the implications of increased vegetation growth rates and the future risks of damage from falling trees. </t>
  </si>
  <si>
    <r>
      <rPr>
        <b/>
        <sz val="10"/>
        <color theme="1"/>
        <rFont val="Calibri"/>
        <family val="2"/>
      </rPr>
      <t>RBRA I10:</t>
    </r>
    <r>
      <rPr>
        <sz val="10"/>
        <color theme="1"/>
        <rFont val="Calibri"/>
        <family val="2"/>
      </rPr>
      <t xml:space="preserve"> does not address this action.
</t>
    </r>
    <r>
      <rPr>
        <b/>
        <sz val="10"/>
        <color theme="1"/>
        <rFont val="Calibri"/>
        <family val="2"/>
      </rPr>
      <t xml:space="preserve">NAP3 Chapter 2: </t>
    </r>
    <r>
      <rPr>
        <sz val="10"/>
        <color theme="1"/>
        <rFont val="Calibri"/>
        <family val="2"/>
      </rPr>
      <t>does not address this action.</t>
    </r>
  </si>
  <si>
    <t xml:space="preserve">No reference to increased vegetation growth in either document. </t>
  </si>
  <si>
    <t>I10.2</t>
  </si>
  <si>
    <t>Incorporating climate change information into the decision-making stages regarding the design of new assets and life extension of existing assets. This activity would reduce the potential for lock-in.</t>
  </si>
  <si>
    <r>
      <rPr>
        <b/>
        <sz val="10"/>
        <color theme="1"/>
        <rFont val="Calibri"/>
        <family val="2"/>
      </rPr>
      <t xml:space="preserve">RBRA I10 action 6: </t>
    </r>
    <r>
      <rPr>
        <sz val="10"/>
        <color theme="1"/>
        <rFont val="Calibri"/>
        <family val="2"/>
      </rPr>
      <t xml:space="preserve">Distribution network operators will continue to use cables and overhead conductors designed and manufactured to international standards. They will also ensure assets are designed to operate safely in much greater maximum and minimum temperature ranges than those found in the UK throughout the NAP3 implementation period to 2028 and beyond.
</t>
    </r>
    <r>
      <rPr>
        <b/>
        <sz val="10"/>
        <color theme="1"/>
        <rFont val="Calibri"/>
        <family val="2"/>
      </rPr>
      <t>NAP3 (energy) p.33:</t>
    </r>
    <r>
      <rPr>
        <sz val="10"/>
        <color theme="1"/>
        <rFont val="Calibri"/>
        <family val="2"/>
      </rPr>
      <t xml:space="preserve"> DESNZ and Ofgem will: provide advice and support as National Gas reviews its standards and specifications for construction of new assets to ensure climate resilience. National Gas will prioritise sites at greatest risk of climate threat impacts to identify where mitigating interventions and protective action are required.
</t>
    </r>
    <r>
      <rPr>
        <b/>
        <sz val="10"/>
        <color theme="1"/>
        <rFont val="Calibri"/>
        <family val="2"/>
      </rPr>
      <t>NAP3 (energy) p.34:</t>
    </r>
    <r>
      <rPr>
        <sz val="10"/>
        <color theme="1"/>
        <rFont val="Calibri"/>
        <family val="2"/>
      </rPr>
      <t xml:space="preserve"> DESNZ and Ofgem will: support energy generation companies as necessary to risk assess assets in the energy generation sector and gauge the climate resilience of power plants including flood resilience, water scarcity and temperature changes; periodically assess climate resilience for existing plants and assess new plants that qualify as Nationally Significant Infrastructure Projects through the planning application process. Increasingly from 2024 the requirements of the environmental permitting regime will embed climate risk management into relevant sites’ management systems.
</t>
    </r>
    <r>
      <rPr>
        <b/>
        <sz val="10"/>
        <color theme="1"/>
        <rFont val="Calibri"/>
        <family val="2"/>
      </rPr>
      <t>NAP3 (telecoms) p.45:</t>
    </r>
    <r>
      <rPr>
        <sz val="10"/>
        <color theme="1"/>
        <rFont val="Calibri"/>
        <family val="2"/>
      </rPr>
      <t xml:space="preserve"> DSIT will work with Ofcom and the telecommunications industry through the EC-RRG to disseminate best practice and policy advice to further enhance the sector’s resilience by: encouraging telecoms operators to implement asset-level interventions for key sites where appropriate (building on the mitigations implemented at 304 vulnerable sites already identified as part of the 2016 National Flood Resilience Review).</t>
    </r>
  </si>
  <si>
    <t xml:space="preserve">Energy and telecoms sections of NAP3 include actions to review assets risk resilience, the other infrastructure sectors do not have relevant actions. The action for energy refers to both existing and new assets whereas telecoms does not have an action for new assets. </t>
  </si>
  <si>
    <t>Distribution network operators
DESNZ &amp; Ofgem</t>
  </si>
  <si>
    <t>I10.3</t>
  </si>
  <si>
    <t>Further investigation on activities being implemented by the energy sector on existing plans to protect assets from increased lightning strikes is needed to assess whether this should be included as an action here.</t>
  </si>
  <si>
    <r>
      <rPr>
        <b/>
        <sz val="10"/>
        <color theme="1"/>
        <rFont val="Calibri"/>
        <family val="2"/>
      </rPr>
      <t xml:space="preserve">RBRA I10 action 7: </t>
    </r>
    <r>
      <rPr>
        <sz val="10"/>
        <color theme="1"/>
        <rFont val="Calibri"/>
        <family val="2"/>
      </rPr>
      <t xml:space="preserve">Network operators will continue to monitor frequency of lightning strikes and the need to provide more earthing, surge arresters, other equipment and automated procedures throughout the NAP3 implementation period from 2023 to 2028.
</t>
    </r>
    <r>
      <rPr>
        <b/>
        <sz val="10"/>
        <color theme="1"/>
        <rFont val="Calibri"/>
        <family val="2"/>
      </rPr>
      <t>RBRA I10 action 8:</t>
    </r>
    <r>
      <rPr>
        <sz val="10"/>
        <color theme="1"/>
        <rFont val="Calibri"/>
        <family val="2"/>
      </rPr>
      <t xml:space="preserve"> Gas Networks will continue to include risks from lightning in monitoring and risk assessments of buildings and assets, which should also address any likelihood of gas ignition throughout the NAP3 implementation period from 2023 to 2028.
</t>
    </r>
    <r>
      <rPr>
        <b/>
        <sz val="10"/>
        <color theme="1"/>
        <rFont val="Calibri"/>
        <family val="2"/>
      </rPr>
      <t xml:space="preserve">NAP3 p.34: </t>
    </r>
    <r>
      <rPr>
        <sz val="10"/>
        <color theme="1"/>
        <rFont val="Calibri"/>
        <family val="2"/>
      </rPr>
      <t>DESNZ will: fund research through the CS-N0W programme through to 2025 to improve understanding of how climate change is affecting weather hazards that can impact the energy system and on the most appropriate approaches or metrics for gas and electricity network companies to measure their climate resilience and monitor progress in adaptation.</t>
    </r>
  </si>
  <si>
    <t>No direct mention of lightning in NAP3, whereas there is in the RBRA. These actions suggest that more action is to be taken by the energy sector to address the impacts of increased lightning strikes. These actions listed show significant further investigation through research and monitoring into the risk.</t>
  </si>
  <si>
    <t>Network operators &amp; Gas Networks
DESNZ</t>
  </si>
  <si>
    <t>I10.4</t>
  </si>
  <si>
    <t>Better understanding of the potential influence of climate on future energy demand, and thus the Net Zero strategies (see H6), as these influence energy supply.</t>
  </si>
  <si>
    <r>
      <rPr>
        <b/>
        <sz val="10"/>
        <color theme="1"/>
        <rFont val="Calibri"/>
        <family val="2"/>
      </rPr>
      <t xml:space="preserve">RBRA I10 action 10: </t>
    </r>
    <r>
      <rPr>
        <sz val="10"/>
        <color theme="1"/>
        <rFont val="Calibri"/>
        <family val="2"/>
      </rPr>
      <t xml:space="preserve">DESNZ will conduct an internal review by 2024 of governance arrangements for climate resilience in the energy system, to ensure they are fit for the new expanded and more diverse low-carbon system given increasing societal reliance on electricity.
</t>
    </r>
    <r>
      <rPr>
        <b/>
        <sz val="10"/>
        <color theme="1"/>
        <rFont val="Calibri"/>
        <family val="2"/>
      </rPr>
      <t xml:space="preserve">NAP3 Chapter 2: </t>
    </r>
    <r>
      <rPr>
        <sz val="10"/>
        <color theme="1"/>
        <rFont val="Calibri"/>
        <family val="2"/>
      </rPr>
      <t xml:space="preserve">does not address this action.
</t>
    </r>
  </si>
  <si>
    <t>RBRA action does not fully address this action to understand the influence of climate on energy demand. NAP3 has no mention of energy demand.</t>
  </si>
  <si>
    <t>I11.1</t>
  </si>
  <si>
    <t>Changes to the design loads, extreme wave elevation and accessibility of offshore infrastructure for maintenance and crew transfer.</t>
  </si>
  <si>
    <r>
      <rPr>
        <b/>
        <sz val="10"/>
        <color theme="1"/>
        <rFont val="Calibri"/>
        <family val="2"/>
      </rPr>
      <t xml:space="preserve">RBRA I11 action 1: </t>
    </r>
    <r>
      <rPr>
        <sz val="10"/>
        <color theme="1"/>
        <rFont val="Calibri"/>
        <family val="2"/>
      </rPr>
      <t xml:space="preserve">DESNZ will continue to work with regulatory bodies throughout the NAP3 implementation period to 2028 and beyond to ensure that current and new offshore installations are suitably designed to minimise, mitigate or reduce as far as reasonably possible the risk of damage caused by extreme weather conditions at sea.
</t>
    </r>
    <r>
      <rPr>
        <b/>
        <sz val="10"/>
        <color theme="1"/>
        <rFont val="Calibri"/>
        <family val="2"/>
      </rPr>
      <t xml:space="preserve">NAP3 Chapter 2: </t>
    </r>
    <r>
      <rPr>
        <sz val="10"/>
        <color theme="1"/>
        <rFont val="Calibri"/>
        <family val="2"/>
      </rPr>
      <t>does not address this action.</t>
    </r>
  </si>
  <si>
    <t>RBRA action refers to design of offshore infrastructure but not in reference to its accessibility for maintenance and crew movements.</t>
  </si>
  <si>
    <t>I11.2</t>
  </si>
  <si>
    <t>Further investigation into the potential changes in relevant climate metrics including wind and wave heights could better inform design and siting choices, given the anticipated expansion of offshore renewable energy in order to meet Net Zero and current low confidence in marine projections.</t>
  </si>
  <si>
    <r>
      <rPr>
        <b/>
        <sz val="10"/>
        <color theme="1"/>
        <rFont val="Calibri"/>
        <family val="2"/>
      </rPr>
      <t>RBRA I11 action 3:</t>
    </r>
    <r>
      <rPr>
        <sz val="10"/>
        <color theme="1"/>
        <rFont val="Calibri"/>
        <family val="2"/>
      </rPr>
      <t xml:space="preserve"> DESNZ will continue to work with regulatory bodies throughout the NAP3 implementation period to 2028 and beyond to ensure that climate risks are considered within the codes, standards and guidance for other offshore infrastructure and vessels operating within and across the UK continental shelf.
</t>
    </r>
    <r>
      <rPr>
        <b/>
        <sz val="10"/>
        <color theme="1"/>
        <rFont val="Calibri"/>
        <family val="2"/>
      </rPr>
      <t>RBRA I11 action 4:</t>
    </r>
    <r>
      <rPr>
        <sz val="10"/>
        <color theme="1"/>
        <rFont val="Calibri"/>
        <family val="2"/>
      </rPr>
      <t xml:space="preserve"> The government will conduct research and provide further documentation throughout the NAP3 implementation period from 2023 to 2028 on the performance and reliability of new types of offshore infrastructure. It will establish suitable channels for sharing knowledge with relevant organisations, such as infrastructure companies with experience constructing in extreme weather regions.
</t>
    </r>
    <r>
      <rPr>
        <b/>
        <sz val="10"/>
        <color theme="1"/>
        <rFont val="Calibri"/>
        <family val="2"/>
      </rPr>
      <t xml:space="preserve">NAP3 Chapter 2: </t>
    </r>
    <r>
      <rPr>
        <sz val="10"/>
        <color theme="1"/>
        <rFont val="Calibri"/>
        <family val="2"/>
      </rPr>
      <t>does not address this action.</t>
    </r>
  </si>
  <si>
    <t xml:space="preserve">RBRA actions largely meet the action from the CCRA for further investigation. </t>
  </si>
  <si>
    <t xml:space="preserve">DESNZ </t>
  </si>
  <si>
    <t>I12.1</t>
  </si>
  <si>
    <t>Enhanced weather incident reporting and asset condition monitoring and revised standards for the railway industry (for instance, increasing the stress-free temperature of steel rail in line with future climate projections). Improved weather and climate services, including early warning systems, for extreme risks for transport.</t>
  </si>
  <si>
    <r>
      <rPr>
        <b/>
        <sz val="10"/>
        <color theme="1"/>
        <rFont val="Calibri"/>
        <family val="2"/>
      </rPr>
      <t xml:space="preserve">RBRA I12 action 11: </t>
    </r>
    <r>
      <rPr>
        <sz val="10"/>
        <color theme="1"/>
        <rFont val="Calibri"/>
        <family val="2"/>
      </rPr>
      <t xml:space="preserve">Network Rail will conduct a mapping exercise by the end of 2024 to improve understanding of vulnerabilities and criticality of the transport network and to inform risk assessments that guide future investment plans.
</t>
    </r>
    <r>
      <rPr>
        <b/>
        <sz val="10"/>
        <color theme="1"/>
        <rFont val="Calibri"/>
        <family val="2"/>
      </rPr>
      <t xml:space="preserve">NAP3 Chapter 2: </t>
    </r>
    <r>
      <rPr>
        <sz val="10"/>
        <color theme="1"/>
        <rFont val="Calibri"/>
        <family val="2"/>
      </rPr>
      <t>does not address this action.</t>
    </r>
  </si>
  <si>
    <t>Meets the broad aim of the CCRA ask. No actions that demonstrate revised standards for rail or weather incident reporting or asset condition monitoring.</t>
  </si>
  <si>
    <t>I12.2</t>
  </si>
  <si>
    <t>It is recommended that better indicators of climate resilience for roads are developed.</t>
  </si>
  <si>
    <r>
      <rPr>
        <b/>
        <sz val="10"/>
        <color theme="1"/>
        <rFont val="Calibri"/>
        <family val="2"/>
      </rPr>
      <t xml:space="preserve">RBRA I12 action 9: </t>
    </r>
    <r>
      <rPr>
        <sz val="10"/>
        <color theme="1"/>
        <rFont val="Calibri"/>
        <family val="2"/>
      </rPr>
      <t>Network Rail will review asset policies and approaches in 2023, including relevant national, regional and operational standards, and will update them where necessary over the NAP3 period from 2023 to 2028 to embed and standardise management of climate change risk.</t>
    </r>
    <r>
      <rPr>
        <b/>
        <sz val="10"/>
        <color theme="1"/>
        <rFont val="Calibri"/>
        <family val="2"/>
      </rPr>
      <t xml:space="preserve">
RBRA I12 action 12:</t>
    </r>
    <r>
      <rPr>
        <sz val="10"/>
        <color theme="1"/>
        <rFont val="Calibri"/>
        <family val="2"/>
      </rPr>
      <t xml:space="preserve"> DfT will work with the UK Roads Leadership Group to devise a framework for local authorities to implement the extreme weather recommendations from recent incident reports by the end of 2024.
</t>
    </r>
    <r>
      <rPr>
        <b/>
        <sz val="10"/>
        <color theme="1"/>
        <rFont val="Calibri"/>
        <family val="2"/>
      </rPr>
      <t>RBRA I12 action 13:</t>
    </r>
    <r>
      <rPr>
        <sz val="10"/>
        <color theme="1"/>
        <rFont val="Calibri"/>
        <family val="2"/>
      </rPr>
      <t xml:space="preserve"> DfT will publish expectations on adaptation in the forthcoming consultation on the local transport plan guidance refresh. The guidance will set out the need to adapt and improve the climate resilience of transport networks and to reflect this in local transport plans and alongside its programme of interventions.
</t>
    </r>
    <r>
      <rPr>
        <b/>
        <sz val="10"/>
        <color theme="1"/>
        <rFont val="Calibri"/>
        <family val="2"/>
      </rPr>
      <t xml:space="preserve">NAP3 p.39: </t>
    </r>
    <r>
      <rPr>
        <sz val="10"/>
        <color theme="1"/>
        <rFont val="Calibri"/>
        <family val="2"/>
      </rPr>
      <t>National Highways is monitored and held to account by the ORR for their performance, in delivering better environmental outcomes and having a well maintained and resilient network. This is done through a set of key performance indicators, including susceptibility to flooding of the carriageway. The ORR will use its monitoring and enforcement activity to ensure National Highways delivers its functions under the terms of its licence as set out in RIS2 and RIS3. This includes overseeing weather resilience and climate change adaptation.</t>
    </r>
    <r>
      <rPr>
        <b/>
        <sz val="10"/>
        <color theme="1"/>
        <rFont val="Calibri"/>
        <family val="2"/>
      </rPr>
      <t xml:space="preserve">
GRPR Recommendation 48:</t>
    </r>
    <r>
      <rPr>
        <sz val="10"/>
        <color theme="1"/>
        <rFont val="Calibri"/>
        <family val="2"/>
      </rPr>
      <t xml:space="preserve"> The transport sector will continue to develop indicators to evaluate progress in adapting to climate change, in line with commitments on monitoring and evaluation set out in NAP3. National Highways will continue to ensure that technical guidance encourages appropriate consideration of climate change, including by updating the drainage metric they use so that it more accurately reflects climate risk and relevant guidance. UK airports and NATS undertake regular monitoring programmes, that include reviewing maintenance schedules of infrastructure, contingency and response plans with current and emerging climate risks. Network Rail is seeking to develop metrics and targets to measure and direct its adaptation action. DfT will be taking the work of the transport sector into account when developing its adaptation strategy.</t>
    </r>
  </si>
  <si>
    <t>Recognition in NAP3 of procedures to monitor road resilience, but no direct action to improve indicators of climate resilience. Actions from the RBRA that work to meet the broad CCRA ask.</t>
  </si>
  <si>
    <t>Network Rail &amp; DfT</t>
  </si>
  <si>
    <t>I12.3</t>
  </si>
  <si>
    <t>Make the Adaptation Reporting Power mandatory (for ports and airports).</t>
  </si>
  <si>
    <r>
      <rPr>
        <b/>
        <sz val="10"/>
        <color theme="1"/>
        <rFont val="Calibri"/>
        <family val="2"/>
      </rPr>
      <t>RBRA I12:</t>
    </r>
    <r>
      <rPr>
        <sz val="10"/>
        <color theme="1"/>
        <rFont val="Calibri"/>
        <family val="2"/>
      </rPr>
      <t xml:space="preserve"> does not address this action.
</t>
    </r>
    <r>
      <rPr>
        <b/>
        <sz val="10"/>
        <color theme="1"/>
        <rFont val="Calibri"/>
        <family val="2"/>
      </rPr>
      <t xml:space="preserve">NAP3 p.28: </t>
    </r>
    <r>
      <rPr>
        <sz val="10"/>
        <color theme="1"/>
        <rFont val="Calibri"/>
        <family val="2"/>
      </rPr>
      <t xml:space="preserve">Adaptation Reporting Power (ARP) The government will invite infrastructure operators to provide up-to-date information on the climate risks that affect them, and how they are managing them, through a fourth round of climate adaptation reporting under ARP. This will include how they collaborate to manage cross-cutting hazards that affect whole systems.
</t>
    </r>
    <r>
      <rPr>
        <b/>
        <sz val="10"/>
        <color theme="1"/>
        <rFont val="Calibri"/>
        <family val="2"/>
      </rPr>
      <t xml:space="preserve">GRPR Recommendation 7: </t>
    </r>
    <r>
      <rPr>
        <sz val="10"/>
        <color theme="1"/>
        <rFont val="Calibri"/>
        <family val="2"/>
      </rPr>
      <t xml:space="preserve">Our strategy for ARP4 also includes working with the relevant authorities and industry associations to increase reporting by ports and the aviation sector. Major ports and airports will be invited to report individually. </t>
    </r>
  </si>
  <si>
    <t>Major ports and airports will be invited to report under ARP4. Not clear if this will be mandatory or voluntary however.</t>
  </si>
  <si>
    <t>I12.4</t>
  </si>
  <si>
    <t>Improved data on disruption to ports and airports would assist in assessing current and potential future risk.</t>
  </si>
  <si>
    <r>
      <rPr>
        <b/>
        <sz val="10"/>
        <color theme="1"/>
        <rFont val="Calibri"/>
        <family val="2"/>
      </rPr>
      <t xml:space="preserve">RBRA I12 action 14: </t>
    </r>
    <r>
      <rPr>
        <sz val="10"/>
        <color theme="1"/>
        <rFont val="Calibri"/>
        <family val="2"/>
      </rPr>
      <t>Commercial airports will undertake regular monitoring programmes throughout the NAP period to 2028 and beyond. These include regular maintenance schedules of infrastructure and assets and regular review of contingency and response plans to ensure the sector is resilient.</t>
    </r>
    <r>
      <rPr>
        <b/>
        <sz val="10"/>
        <color theme="1"/>
        <rFont val="Calibri"/>
        <family val="2"/>
      </rPr>
      <t xml:space="preserve">
RBRA I12 action 15: </t>
    </r>
    <r>
      <rPr>
        <sz val="10"/>
        <color theme="1"/>
        <rFont val="Calibri"/>
        <family val="2"/>
      </rPr>
      <t>DfT will work with the maritime, ports and aviation sectors, including with industry organisations, to enhance climate impact risk assessments and to embed their findings into business planning and operating procedures ahead of ARP4 reporting in 2024.</t>
    </r>
    <r>
      <rPr>
        <b/>
        <sz val="10"/>
        <color theme="1"/>
        <rFont val="Calibri"/>
        <family val="2"/>
      </rPr>
      <t xml:space="preserve">
RBRA I12 action 17:</t>
    </r>
    <r>
      <rPr>
        <sz val="10"/>
        <color theme="1"/>
        <rFont val="Calibri"/>
        <family val="2"/>
      </rPr>
      <t xml:space="preserve"> DfT will trial a regular monitoring survey for the ports sector over the NAP3 period from 2023 to 2028 to gather information on the frequency of disruption to port operations from extreme weather.
</t>
    </r>
    <r>
      <rPr>
        <b/>
        <sz val="10"/>
        <color theme="1"/>
        <rFont val="Calibri"/>
        <family val="2"/>
      </rPr>
      <t xml:space="preserve">NAP3 p.41: </t>
    </r>
    <r>
      <rPr>
        <sz val="10"/>
        <color theme="1"/>
        <rFont val="Calibri"/>
        <family val="2"/>
      </rPr>
      <t xml:space="preserve">(Ports) DfT will: work with the ports sector to develop a regular monitoring survey to gather information on the frequency of disruption to port operations from weather, trialling this over the NAP3 implementation period; work with the ports sector including the British Ports Association, UK Major Ports Group and the UK Harbour Masters Association, to support their members to undertake the climate impact risk assessments and to embed their findings into business planning and operating procedures ahead of the fourth round of adaptation reporting.
</t>
    </r>
    <r>
      <rPr>
        <b/>
        <sz val="10"/>
        <color theme="1"/>
        <rFont val="Calibri"/>
        <family val="2"/>
      </rPr>
      <t xml:space="preserve">NAP3 p.42: </t>
    </r>
    <r>
      <rPr>
        <sz val="10"/>
        <color theme="1"/>
        <rFont val="Calibri"/>
        <family val="2"/>
      </rPr>
      <t>(Aviation) DfT will: work closely with the aviation sector including airports and National Air Traffic Services (NATS) (who provide en-route air traffic control services within the UK) to encourage them to undertake climate impact risk assessments and to embed
their findings into business planning and operating procedures ahead of the fourth round of adaptation reporting in 2024 Commercial airports and NATS will: undertake regular monitoring programmes, which includes regular maintenance schedules of infrastructure and assets, and regular reviews of contingency and response plans to ensure the sector is resilient, continuing throughout the NAP3 period.</t>
    </r>
  </si>
  <si>
    <t>Actions appear to be sufficient for improving data on disruption.</t>
  </si>
  <si>
    <t>Commercial airports &amp; DfT</t>
  </si>
  <si>
    <t>I13.1</t>
  </si>
  <si>
    <t>Incorporating digital infrastructure into existing infrastructure climate adaptation plans recognising the criticality of ICT provision for wider infrastructure and society.</t>
  </si>
  <si>
    <r>
      <rPr>
        <b/>
        <sz val="10"/>
        <color theme="1"/>
        <rFont val="Calibri"/>
        <family val="2"/>
      </rPr>
      <t>RBRA I13 action 1:</t>
    </r>
    <r>
      <rPr>
        <sz val="10"/>
        <color theme="1"/>
        <rFont val="Calibri"/>
        <family val="2"/>
      </rPr>
      <t xml:space="preserve"> DSIT will continue to engage industry throughout the NAP3 implementation period to 2028 and beyond to promote effective resilience and contingency planning to climate change impacts. (How we will do it: Industry engagement: TechUK, Data Centres Council, Data Centre Alliance and SEGRO (Action 1)).
</t>
    </r>
    <r>
      <rPr>
        <b/>
        <sz val="10"/>
        <color theme="1"/>
        <rFont val="Calibri"/>
        <family val="2"/>
      </rPr>
      <t>RBRA I13 (telecoms):</t>
    </r>
    <r>
      <rPr>
        <sz val="10"/>
        <color theme="1"/>
        <rFont val="Calibri"/>
        <family val="2"/>
      </rPr>
      <t xml:space="preserve"> does not address this action.
</t>
    </r>
    <r>
      <rPr>
        <b/>
        <sz val="10"/>
        <color theme="1"/>
        <rFont val="Calibri"/>
        <family val="2"/>
      </rPr>
      <t>NAP3 p.43:</t>
    </r>
    <r>
      <rPr>
        <sz val="10"/>
        <color theme="1"/>
        <rFont val="Calibri"/>
        <family val="2"/>
      </rPr>
      <t xml:space="preserve"> The Department for Science, Innovation and Technology (DSIT) will develop a stronger risk management framework for the sector and will consult industry on this before the end of 2023, including consideration of the potential adverse effects from a range of hazards. DSIT will contribute to implementing commitments in the UK Government Resilience Framework, including the role of regulation and resilience standards.
</t>
    </r>
    <r>
      <rPr>
        <b/>
        <sz val="10"/>
        <color theme="1"/>
        <rFont val="Calibri"/>
        <family val="2"/>
      </rPr>
      <t>GRPR Recommendation 43:</t>
    </r>
    <r>
      <rPr>
        <sz val="10"/>
        <color theme="1"/>
        <rFont val="Calibri"/>
        <family val="2"/>
      </rPr>
      <t xml:space="preserve"> NAP3 was published in July 2023 and includes actions to support the resilience of telecoms and ICT sectors.
</t>
    </r>
    <r>
      <rPr>
        <b/>
        <sz val="10"/>
        <color theme="1"/>
        <rFont val="Calibri"/>
        <family val="2"/>
      </rPr>
      <t xml:space="preserve">GRPR Recommendation 44: </t>
    </r>
    <r>
      <rPr>
        <sz val="10"/>
        <color theme="1"/>
        <rFont val="Calibri"/>
        <family val="2"/>
      </rPr>
      <t xml:space="preserve">As set out in the 2022 UK Government Resilience Framework, government departments, including DSIT, will work with regulators and infrastructure operators to: ensure existing regulatory regimes on resilience are fit for purpose; expand the scope and use of standards and assurance in the public sector to support better contingency planning and risk management; and introduce standards on resilience and develop an action plan to deliver these across the private sector where they do not currently exist - the government recognises the need for standards to also account for unique sector landscapes, priorities, needs, and interlinkages between sectors. </t>
    </r>
  </si>
  <si>
    <t>Notable actions outlined to meet the CCRA ask to consider climate resilience of digital infrastructure.</t>
  </si>
  <si>
    <t>DSIT (Data Infrastructure)
DSIT (Telecoms)</t>
  </si>
  <si>
    <t>DSIT (data infrastructure)
N/A (telecoms)</t>
  </si>
  <si>
    <t>I13.2</t>
  </si>
  <si>
    <t>Further information is also needed to identify and protect assets at risk of flooding and wildfires together with a better understanding of future impacts on radio communication VHF/UHF systems.</t>
  </si>
  <si>
    <r>
      <rPr>
        <b/>
        <sz val="10"/>
        <color theme="1"/>
        <rFont val="Calibri"/>
        <family val="2"/>
      </rPr>
      <t>RBRA I13 action 2 (data infrastructure):</t>
    </r>
    <r>
      <rPr>
        <sz val="10"/>
        <color theme="1"/>
        <rFont val="Calibri"/>
        <family val="2"/>
      </rPr>
      <t xml:space="preserve"> DSIT will continue to work with the Cabinet Office, National Cyber Security Centre, and the National Protective Security Authority throughout the NAP3 implementation period from 2023 to 2028 on data infrastructure asset mapping to identify critically important systems and support more effective industry-led risk assessment.
</t>
    </r>
    <r>
      <rPr>
        <b/>
        <sz val="10"/>
        <color theme="1"/>
        <rFont val="Calibri"/>
        <family val="2"/>
      </rPr>
      <t>RBRA I13 action 3 (data infrastructure):</t>
    </r>
    <r>
      <rPr>
        <sz val="10"/>
        <color theme="1"/>
        <rFont val="Calibri"/>
        <family val="2"/>
      </rPr>
      <t xml:space="preserve"> DSIT will implement the commitment in the National Data Strategy to review the underlying risk management policy framework for data infrastructure within the NAP3 implementation period from 2023 to 2028 to strengthen the sector’s approach to climate risk management and long-term, reasonable, worst case scenario risk assessment. 
</t>
    </r>
    <r>
      <rPr>
        <b/>
        <sz val="10"/>
        <color theme="1"/>
        <rFont val="Calibri"/>
        <family val="2"/>
      </rPr>
      <t>RBRA I13 action 6 (telecoms):</t>
    </r>
    <r>
      <rPr>
        <sz val="10"/>
        <color theme="1"/>
        <rFont val="Calibri"/>
        <family val="2"/>
      </rPr>
      <t xml:space="preserve"> DSIT will work with Ofcom and the industry to explore the potential to collect specific data for climate change adaptation reporting, including whether climate change drivers can be identified as a reason for outages, by end of 2023 to include in reporting from 2024.
</t>
    </r>
    <r>
      <rPr>
        <b/>
        <sz val="10"/>
        <color theme="1"/>
        <rFont val="Calibri"/>
        <family val="2"/>
      </rPr>
      <t xml:space="preserve">NAP3 p.34: </t>
    </r>
    <r>
      <rPr>
        <sz val="10"/>
        <color theme="1"/>
        <rFont val="Calibri"/>
        <family val="2"/>
      </rPr>
      <t xml:space="preserve">On research and evidence, DESNZ will: fund research through the CS-N0W programme through to 2025 to improve understanding of how climate change is affecting weather hazards that can impact the energy system and on the most appropriate approaches or metrics for gas and electricity network companies to measure their climate resilience and monitor progress in adaptation.
</t>
    </r>
    <r>
      <rPr>
        <b/>
        <sz val="10"/>
        <color theme="1"/>
        <rFont val="Calibri"/>
        <family val="2"/>
      </rPr>
      <t xml:space="preserve">NAP3 p.47: </t>
    </r>
    <r>
      <rPr>
        <sz val="10"/>
        <color theme="1"/>
        <rFont val="Calibri"/>
        <family val="2"/>
      </rPr>
      <t>Defra and the Cabinet Office will improve the ability of infrastructure owners and operators to access and use relevant climate information by: working collaboratively with government agencies and infrastructure operators to better understand the potential impacts of climate change and inform resilience measures. ... The government will use the CNI Knowledge Base, a bespoke CNI mapping tool, to identify risks and interdependencies across and within sectors, working with infrastructure owners and operators. When used with other analytical and data modelling tools, it will help to identify areas of acute risk, as well as the impacts of cascading risks, including from climate change. It will also ensure data driven risk analysis is used to inform policy decisions within government and by infrastructure operators.</t>
    </r>
  </si>
  <si>
    <t>CCRA ask largely met. Absence of direct action addressing the risks from flooding and wildfires together, or impacts on radio communication systems. This information may be present within documents referred to in the RBRA and NAP3, but evaluation of these documents is outside the scope of this assessment.</t>
  </si>
  <si>
    <t>DSIT (data infrastructure)
DSIT (telecoms)</t>
  </si>
  <si>
    <t>I13.3</t>
  </si>
  <si>
    <t>More focused adaptation strategies to key vulnerabilities, enhancing network redundancy and introducing back-ups (to address heat extremes) and early warning and emergency planning.</t>
  </si>
  <si>
    <r>
      <rPr>
        <b/>
        <sz val="10"/>
        <color theme="1"/>
        <rFont val="Calibri"/>
        <family val="2"/>
      </rPr>
      <t>RBRA I13 (data infrastructure):</t>
    </r>
    <r>
      <rPr>
        <sz val="10"/>
        <color theme="1"/>
        <rFont val="Calibri"/>
        <family val="2"/>
      </rPr>
      <t xml:space="preserve"> does not address this action.
</t>
    </r>
    <r>
      <rPr>
        <b/>
        <sz val="10"/>
        <color theme="1"/>
        <rFont val="Calibri"/>
        <family val="2"/>
      </rPr>
      <t xml:space="preserve">RBRA I13 action 2 (telecoms): </t>
    </r>
    <r>
      <rPr>
        <sz val="10"/>
        <color theme="1"/>
        <rFont val="Calibri"/>
        <family val="2"/>
      </rPr>
      <t xml:space="preserve">DSIT will work with the telecoms industry to continue the replacement programme of the fixed-line public switched telephone network with voice over internet protocol technology, which carries voice calls over an internet connection by 2025. This will reduce the risk of outages on the fixed-line network caused by severe weather by decreasing the network infrastructure footprint and exposure to climate hazards.
</t>
    </r>
    <r>
      <rPr>
        <b/>
        <sz val="10"/>
        <color theme="1"/>
        <rFont val="Calibri"/>
        <family val="2"/>
      </rPr>
      <t xml:space="preserve">RBRA I13 action 3 (telecoms): </t>
    </r>
    <r>
      <rPr>
        <sz val="10"/>
        <color theme="1"/>
        <rFont val="Calibri"/>
        <family val="2"/>
      </rPr>
      <t xml:space="preserve">DSIT will support the industry through the EC-RRG throughout the NAP3 implementation period from 2023 to 2028 to increase cooperation with the power sector. This will improve cross-sector communications during severe weather incidents, accelerate recovery processes, and identify opportunities to make the mobile network more resilient to power outages.
</t>
    </r>
    <r>
      <rPr>
        <b/>
        <sz val="10"/>
        <color theme="1"/>
        <rFont val="Calibri"/>
        <family val="2"/>
      </rPr>
      <t>RBRA I13 action 6 (telecoms):</t>
    </r>
    <r>
      <rPr>
        <sz val="10"/>
        <color theme="1"/>
        <rFont val="Calibri"/>
        <family val="2"/>
      </rPr>
      <t xml:space="preserve"> DSIT will work with Ofcom and the industry to explore the potential to collect specific data for climate change adaptation reporting, including whether climate change drivers can be identified as a reason for outages, by end of 2023 to include in reporting from 2024.
</t>
    </r>
    <r>
      <rPr>
        <b/>
        <sz val="10"/>
        <color theme="1"/>
        <rFont val="Calibri"/>
        <family val="2"/>
      </rPr>
      <t>RBRA I13 action 7 (telecoms):</t>
    </r>
    <r>
      <rPr>
        <sz val="10"/>
        <color theme="1"/>
        <rFont val="Calibri"/>
        <family val="2"/>
      </rPr>
      <t xml:space="preserve"> Building Digital UK (BDUK) will publish guidance for telecoms operators so there is a single reference point for environmental requirements and resources, including climate adaptation, relative to telecoms infrastructure delivery by the end of 2023.
</t>
    </r>
  </si>
  <si>
    <t>Actions suggest improved consideration of and adaptation to key vulnerabilities.</t>
  </si>
  <si>
    <t>N/A (data infrastructure)
DSIT &amp; BDUK (telecoms)</t>
  </si>
  <si>
    <t>ID01.1</t>
  </si>
  <si>
    <t xml:space="preserve">Free Trade Agreements to include consideration of environmental governance and exposure to climate risks to avoid FTAs undermining the resilience of the UK food system to increasing climate risks. </t>
  </si>
  <si>
    <r>
      <rPr>
        <b/>
        <sz val="10"/>
        <color theme="1"/>
        <rFont val="Calibri"/>
        <family val="2"/>
      </rPr>
      <t>RBRA ID1 action 3:</t>
    </r>
    <r>
      <rPr>
        <sz val="10"/>
        <color theme="1"/>
        <rFont val="Calibri"/>
        <family val="2"/>
      </rPr>
      <t xml:space="preserve"> The government will incorporate the risk of climate-related disruptions into food supply contingency planning and risk and assurance processes. This will increase the robustness of risk assessment processes and enhance the resilience of our agri-food system to maintain UK food security. Assurance documents are updated on a yearly basis.
</t>
    </r>
    <r>
      <rPr>
        <b/>
        <sz val="10"/>
        <color theme="1"/>
        <rFont val="Calibri"/>
        <family val="2"/>
      </rPr>
      <t>NAP3 p.103:</t>
    </r>
    <r>
      <rPr>
        <sz val="10"/>
        <color theme="1"/>
        <rFont val="Calibri"/>
        <family val="2"/>
      </rPr>
      <t xml:space="preserve"> Defra will continue to identify and address research and evidence gaps related to food security, accessibility, and access. This will provide government with an improved understanding of where to focus action and includes: incorporating climate scenario analysis into trade models by 2025.
</t>
    </r>
    <r>
      <rPr>
        <b/>
        <sz val="10"/>
        <color theme="1"/>
        <rFont val="Calibri"/>
        <family val="2"/>
      </rPr>
      <t xml:space="preserve">GRPR Recommendation 29: </t>
    </r>
    <r>
      <rPr>
        <sz val="10"/>
        <color theme="1"/>
        <rFont val="Calibri"/>
        <family val="2"/>
      </rPr>
      <t xml:space="preserve">The government is committed to upholding high environment and climate standards in trade. This includes continuing to work to increase the resilience of the food system and meeting our legal commitment to reach net zero greenhouse gas emissions by 2050. Trade contributes to resilience by providing a diverse number of supply sources, improved business and consumer choice and healthy competition. Trade can also help to lower costs for environmental goods and services, supporting the global green transition. We agree that regulations and standards relating to domestic production and imports also have an important role to play. For example, we committed to world-leading due diligence legislation for forest risk commodities through the Environment Act to help tackle illegal deforestation in the United Kingdom’s supply chains.
</t>
    </r>
    <r>
      <rPr>
        <b/>
        <sz val="10"/>
        <color theme="1"/>
        <rFont val="Calibri"/>
        <family val="2"/>
      </rPr>
      <t>GRPR Recommendation 30:</t>
    </r>
    <r>
      <rPr>
        <sz val="10"/>
        <color theme="1"/>
        <rFont val="Calibri"/>
        <family val="2"/>
      </rPr>
      <t xml:space="preserve"> The 2030 Strategic Framework, published 30 March 2023, recognises the challenge of shifting trade and investment rules and patterns to support our climate and environment goals. The framework: makes clear that the UK will advocate for a rules-based international trade and investment system which supports efforts to decarbonise the global economy; boosts resilience and halts and reverses biodiversity loss; and maintains a level playing field which can diversify and strengthen global supply chains, without undermining our collective transition to net zero. It sets out the specific actions that the UK will take to tackle this challenge. This includes strengthening the UK’s position as a major market for environmental goods and services and using trade agreements to progress our climate and nature commitments. </t>
    </r>
  </si>
  <si>
    <t>Incorporation of climate scenario analysis into trade models is an example of how climate risks exposure is to be considered within UK food trade. However, FTAs are not mentioned anywhere in NAP3.</t>
  </si>
  <si>
    <t>ID01.2</t>
  </si>
  <si>
    <t xml:space="preserve">Adoption of a multi-national regulatory structure in the food commodity markets, which are most vulnerable to climate-related supply-side shocks, could play a beneficial role. </t>
  </si>
  <si>
    <r>
      <rPr>
        <b/>
        <sz val="10"/>
        <color theme="1"/>
        <rFont val="Calibri"/>
        <family val="2"/>
      </rPr>
      <t>RBRA ID1:</t>
    </r>
    <r>
      <rPr>
        <sz val="10"/>
        <color theme="1"/>
        <rFont val="Calibri"/>
        <family val="2"/>
      </rPr>
      <t xml:space="preserve"> does not address this action.
</t>
    </r>
    <r>
      <rPr>
        <b/>
        <sz val="10"/>
        <color theme="1"/>
        <rFont val="Calibri"/>
        <family val="2"/>
      </rPr>
      <t>NAP3 p.103:</t>
    </r>
    <r>
      <rPr>
        <sz val="10"/>
        <color theme="1"/>
        <rFont val="Calibri"/>
        <family val="2"/>
      </rPr>
      <t xml:space="preserve"> The risks impacting the food sector require close and ongoing engagement with partners outside of government. Defra will: continue to collaborate with other government departments to enhance food sector security and resilience plans. Market data will support industry-led preparedness and inform government contingency planning, and risk and assurance processes.</t>
    </r>
  </si>
  <si>
    <t>Recognition of the importance of interaction and collaboration across government and industry. No direct mention of international collaborations or the adoption of a multi-national regulatory structure.</t>
  </si>
  <si>
    <t>ID01.3</t>
  </si>
  <si>
    <t>Further development and uptake of insurance instruments that protect both domestic and international actors in food supply chains would also contribute to adaptation. For example, identifying regions/countries which already show vulnerability to weather events, food production, and transport disruptions, and understanding how these vulnerabilities might change under different climate scenarios. This would help to understand the scale of the future vulnerability of the UK market and provide a stronger rationale for action.</t>
  </si>
  <si>
    <r>
      <rPr>
        <b/>
        <sz val="10"/>
        <color theme="1"/>
        <rFont val="Calibri"/>
        <family val="2"/>
      </rPr>
      <t>RBRA ID1 action 1:</t>
    </r>
    <r>
      <rPr>
        <sz val="10"/>
        <color theme="1"/>
        <rFont val="Calibri"/>
        <family val="2"/>
      </rPr>
      <t xml:space="preserve"> Defra will continue to improve our understanding of how climate change is impacting food supply in the UK Food Security Report, due for publication in 2024, to improve the measurement and monitoring of UK food security.
</t>
    </r>
    <r>
      <rPr>
        <b/>
        <sz val="10"/>
        <color theme="1"/>
        <rFont val="Calibri"/>
        <family val="2"/>
      </rPr>
      <t>NAP3 p.103:</t>
    </r>
    <r>
      <rPr>
        <sz val="10"/>
        <color theme="1"/>
        <rFont val="Calibri"/>
        <family val="2"/>
      </rPr>
      <t xml:space="preserve"> Defra will continue to identify and address research and evidence gaps related to food security, accessibility, and access. This will provide government with an improved understanding of where to focus action and includes: publishing the next triannual food security report in 2024, which will cover 5 key themes and shape future policy recommendations on areas including global food availability, UK food sources, UK food chains, household food security, and consumer safety and confidence; Defra’s commitment to continue supporting research on food supply resilience in relation to climate change and adaptation measures through the work of the Met Office’s Climate Service and Hadley Centre, and the Group on Earth Observations Global Agricultural Monitoring Initiative (GEOGLAM) until March 2025; incorporating climate scenario analysis into trade models by 2025.</t>
    </r>
  </si>
  <si>
    <t xml:space="preserve">No direct mention of research into or development of insurance instruments to protect actors in food supply chains. </t>
  </si>
  <si>
    <t>ID01.4</t>
  </si>
  <si>
    <t>Address food access inequality, access to fresh produce, and informed dietary choices, this will likely have the co-benefit of reducing vulnerability to the risk of decreasing nutritional quality of food produced due to climate change.</t>
  </si>
  <si>
    <r>
      <rPr>
        <b/>
        <sz val="10"/>
        <color theme="1"/>
        <rFont val="Calibri"/>
        <family val="2"/>
      </rPr>
      <t>RBRA ID1:</t>
    </r>
    <r>
      <rPr>
        <sz val="10"/>
        <color theme="1"/>
        <rFont val="Calibri"/>
        <family val="2"/>
      </rPr>
      <t xml:space="preserve"> does not address this action.
</t>
    </r>
    <r>
      <rPr>
        <b/>
        <sz val="10"/>
        <color theme="1"/>
        <rFont val="Calibri"/>
        <family val="2"/>
      </rPr>
      <t>NAP3 p.103:</t>
    </r>
    <r>
      <rPr>
        <sz val="10"/>
        <color theme="1"/>
        <rFont val="Calibri"/>
        <family val="2"/>
      </rPr>
      <t xml:space="preserve"> Defra will continue to identify and address research and evidence gaps related to food security, accessibility, and access. This will provide government with an improved understanding of where to focus action and includes: publishing the next triannual food security report in 2024, which will cover 5 key themes and shape future policy recommendations on areas including global food availability, UK food sources, UK food chains, household food security, and consumer safety and confidence.</t>
    </r>
  </si>
  <si>
    <t>Some recognition of the need to better understand food access, but no actions to address food access inequality, access to fresh produce, and informed dietary choices.</t>
  </si>
  <si>
    <t>ID02.1</t>
  </si>
  <si>
    <t>Ensuring access to a broad range of international markets would capitalise on any opportunities associated with climate impacts overseas.</t>
  </si>
  <si>
    <r>
      <rPr>
        <b/>
        <sz val="10"/>
        <color theme="1"/>
        <rFont val="Calibri"/>
        <family val="2"/>
      </rPr>
      <t>RBRA ID2:</t>
    </r>
    <r>
      <rPr>
        <sz val="10"/>
        <color theme="1"/>
        <rFont val="Calibri"/>
        <family val="2"/>
      </rPr>
      <t xml:space="preserve"> does not address this action
</t>
    </r>
    <r>
      <rPr>
        <b/>
        <sz val="10"/>
        <color theme="1"/>
        <rFont val="Calibri"/>
        <family val="2"/>
      </rPr>
      <t>NAP3 Chapter 6:</t>
    </r>
    <r>
      <rPr>
        <sz val="10"/>
        <color theme="1"/>
        <rFont val="Calibri"/>
        <family val="2"/>
      </rPr>
      <t xml:space="preserve"> does not address this action</t>
    </r>
  </si>
  <si>
    <t>No mention of policies or means to ensure access to a broad range of international markets to capitalise on opportunities.</t>
  </si>
  <si>
    <t>ID03.1</t>
  </si>
  <si>
    <t>Protect the human security of people on the move, and those in low-income receiving areas in the Global South. Opportunities lie in recognising the agency of migration and the novel forms of organisation and cooperation that emerge within migrant groups that have the potential to benefit the UK and its overseas interests.</t>
  </si>
  <si>
    <r>
      <rPr>
        <b/>
        <sz val="10"/>
        <color theme="1"/>
        <rFont val="Calibri"/>
        <family val="2"/>
      </rPr>
      <t>RBRA ID3 action 3:</t>
    </r>
    <r>
      <rPr>
        <sz val="10"/>
        <color theme="1"/>
        <rFont val="Calibri"/>
        <family val="2"/>
      </rPr>
      <t xml:space="preserve"> FCDO and the Home Office will support safe and legal routes along climate mobility corridors and build the capacity for countries receiving migrants between 2023 and 2025. 
</t>
    </r>
    <r>
      <rPr>
        <b/>
        <sz val="10"/>
        <color theme="1"/>
        <rFont val="Calibri"/>
        <family val="2"/>
      </rPr>
      <t>NAP3 p.105:</t>
    </r>
    <r>
      <rPr>
        <sz val="10"/>
        <color theme="1"/>
        <rFont val="Calibri"/>
        <family val="2"/>
      </rPr>
      <t xml:space="preserve"> The FCDO will donate to the UN’s Migration Multi-Partner Trust Fund which supports the implementation of the Global Compact for Safe, Orderly and Regular Migration and support the development of policies throughout 2023 and 2024 for safe, orderly, and regular climate-related migration.</t>
    </r>
  </si>
  <si>
    <t>Some indirect actions noted but limited specific context and little on opportunities.</t>
  </si>
  <si>
    <t>FCDO</t>
  </si>
  <si>
    <t>FCDO
Home Office</t>
  </si>
  <si>
    <t>ID03.2</t>
  </si>
  <si>
    <t>UK to set up procedures to ensure that any increases in migration are beneficial to the nation.</t>
  </si>
  <si>
    <r>
      <rPr>
        <b/>
        <sz val="10"/>
        <color theme="1"/>
        <rFont val="Calibri"/>
        <family val="2"/>
      </rPr>
      <t>RBRA ID3 action 2:</t>
    </r>
    <r>
      <rPr>
        <sz val="10"/>
        <color theme="1"/>
        <rFont val="Calibri"/>
        <family val="2"/>
      </rPr>
      <t xml:space="preserve"> FCDO and DESNZ will support the implementation of the Global Compact for Safe, Orderly and Regular Migration and influence multilateral organisations to develop policies for dealing with climate-related migration throughout 2023 and 2024 to ensure safe, orderly and regular movements of people where possible. 
</t>
    </r>
    <r>
      <rPr>
        <b/>
        <sz val="10"/>
        <color theme="1"/>
        <rFont val="Calibri"/>
        <family val="2"/>
      </rPr>
      <t>RBRA ID3 action 4:</t>
    </r>
    <r>
      <rPr>
        <sz val="10"/>
        <color theme="1"/>
        <rFont val="Calibri"/>
        <family val="2"/>
      </rPr>
      <t xml:space="preserve"> FCDO will provide disaster risk support and early warning systems during the current ICF spending period to reduce the impact of sudden onset events and the potential for major movements of people. 
</t>
    </r>
    <r>
      <rPr>
        <b/>
        <sz val="10"/>
        <color theme="1"/>
        <rFont val="Calibri"/>
        <family val="2"/>
      </rPr>
      <t xml:space="preserve">NAP3 p. 105: </t>
    </r>
    <r>
      <rPr>
        <sz val="10"/>
        <color theme="1"/>
        <rFont val="Calibri"/>
        <family val="2"/>
      </rPr>
      <t>The FCDO will donate to the UN’s Migration Multi-Partner Trust Fund which supports the implementation of the Global Compact for Safe, Orderly and Regular Migration and support the development of policies throughout 2023 and 2024 for safe, orderly, and regular climate-related migration.</t>
    </r>
    <r>
      <rPr>
        <b/>
        <sz val="10"/>
        <color theme="1"/>
        <rFont val="Calibri"/>
        <family val="2"/>
      </rPr>
      <t xml:space="preserve">
NAP3 p.106:</t>
    </r>
    <r>
      <rPr>
        <sz val="10"/>
        <color theme="1"/>
        <rFont val="Calibri"/>
        <family val="2"/>
      </rPr>
      <t xml:space="preserve"> FCDO is also providing direct disaster risk support and funding for early warning systems. This will enable at-risk countries to act ahead of predicted climate disasters and crises, for example through £4 million of funding for the Risk-informed Early Action Partnership between 2023 and 2025.</t>
    </r>
  </si>
  <si>
    <t>Actions outlined focus on reduction of the numbers of migrants entering the UK. These actions don't address how the government will ensure migrants benefit the nation.</t>
  </si>
  <si>
    <t>FCDO
DESNZ</t>
  </si>
  <si>
    <t>1D3.3</t>
  </si>
  <si>
    <t>Create greater cohesion between the Government departments that are dedicated to considering both domestic and international issues, so that the membership of some of these committees is more strategically focussed to tackle the linkages between climate and migration.</t>
  </si>
  <si>
    <r>
      <rPr>
        <b/>
        <sz val="10"/>
        <color theme="1"/>
        <rFont val="Calibri"/>
        <family val="2"/>
      </rPr>
      <t xml:space="preserve">RBRA ID3: </t>
    </r>
    <r>
      <rPr>
        <sz val="10"/>
        <color theme="1"/>
        <rFont val="Calibri"/>
        <family val="2"/>
      </rPr>
      <t>does not address this action</t>
    </r>
    <r>
      <rPr>
        <b/>
        <sz val="10"/>
        <color theme="1"/>
        <rFont val="Calibri"/>
        <family val="2"/>
      </rPr>
      <t xml:space="preserve">
NAP3 p.105: </t>
    </r>
    <r>
      <rPr>
        <sz val="10"/>
        <color theme="1"/>
        <rFont val="Calibri"/>
        <family val="2"/>
      </rPr>
      <t xml:space="preserve">FCDO and the Home Office will also continue to: work with nation-states that receive migrants from 2023 to 2025 by, for example, continuing to improve labour migration governance in the East and Horn of Africa through programmes such as Better Regional Migration Management phase 2, from July 2022 to March 2025. FCDO and the Cabinet Office will also continue to: work globally with partners to integrate climate issues into wider co-operation on international security, embedding issues within key national security documents such as the Strategic Framework for International Climate and Nature Action. This includes consideration of climate, conflict and vulnerability. </t>
    </r>
  </si>
  <si>
    <t xml:space="preserve">Some evidence of cross government collaboration on this topic, but limited to the Home Office and Cabinet Office. </t>
  </si>
  <si>
    <t>FCDO 
Home Office
Cabinet Office</t>
  </si>
  <si>
    <t>ID03.4</t>
  </si>
  <si>
    <t>Development of more deliberate climate and migration policies, following the merge of DFIF and the FCO as FCDO.</t>
  </si>
  <si>
    <r>
      <rPr>
        <b/>
        <sz val="10"/>
        <color theme="1"/>
        <rFont val="Calibri"/>
        <family val="2"/>
      </rPr>
      <t>RBRA ID3 action 1:</t>
    </r>
    <r>
      <rPr>
        <sz val="10"/>
        <color theme="1"/>
        <rFont val="Calibri"/>
        <family val="2"/>
      </rPr>
      <t xml:space="preserve"> FCDO will provide policy advice and Official Development Assistance support during the International Climate Finance (ICF) spending period from 2021 to 2026. This will help countries most affected by climate change to adapt to the impacts, which should reduce impact of climate change as a driver of migration. 
</t>
    </r>
    <r>
      <rPr>
        <b/>
        <sz val="10"/>
        <color theme="1"/>
        <rFont val="Calibri"/>
        <family val="2"/>
      </rPr>
      <t>NAP3 p106:</t>
    </r>
    <r>
      <rPr>
        <sz val="10"/>
        <color theme="1"/>
        <rFont val="Calibri"/>
        <family val="2"/>
      </rPr>
      <t xml:space="preserve"> FCDO is also providing direct disaster risk support and funding for early warning systems. This will enable at-risk countries to act ahead of predicted climate disasters and crises, for example through £4 million of funding for the Risk-informed Early Action Partnership between 2023 and 2025. FCDO will continue to influence multilateral peacebuilding agendas through UN peacebuilding work to address drivers of conflict, including climate change. FCDO will continue to work with non-governmental organisations to revitalise global efforts on conflict prevention and drive long-term environment and climate resilience thinking into humanitarian, peacebuilding and conflict programmes which also align with the Paris Agreement.</t>
    </r>
  </si>
  <si>
    <t>FCDO responsible for multiple actions related to climate and migration but no specific relevant policies referred to.</t>
  </si>
  <si>
    <t>ID04.1</t>
  </si>
  <si>
    <t>International agreements to reduce current tensions on shared resources including access to water.</t>
  </si>
  <si>
    <r>
      <rPr>
        <b/>
        <sz val="10"/>
        <color theme="1"/>
        <rFont val="Calibri"/>
        <family val="2"/>
      </rPr>
      <t>RBRA ID4 action 1:</t>
    </r>
    <r>
      <rPr>
        <sz val="10"/>
        <color theme="1"/>
        <rFont val="Calibri"/>
        <family val="2"/>
      </rPr>
      <t xml:space="preserve"> FCDO will continue to work with the UN, throughout 2023 to 2024, to better understand the impact of climate security on peacebuilding and on integrating this into multilateral peacebuilding.
</t>
    </r>
    <r>
      <rPr>
        <b/>
        <sz val="10"/>
        <color theme="1"/>
        <rFont val="Calibri"/>
        <family val="2"/>
      </rPr>
      <t>RBRA ID4 action 2:</t>
    </r>
    <r>
      <rPr>
        <sz val="10"/>
        <color theme="1"/>
        <rFont val="Calibri"/>
        <family val="2"/>
      </rPr>
      <t xml:space="preserve"> FCDO will explore, throughout 2023, how to integrate climate-related drivers into conflict and instability risk assessments at global and country level.
</t>
    </r>
    <r>
      <rPr>
        <b/>
        <sz val="10"/>
        <color theme="1"/>
        <rFont val="Calibri"/>
        <family val="2"/>
      </rPr>
      <t>RBRA ID4 action 3:</t>
    </r>
    <r>
      <rPr>
        <sz val="10"/>
        <color theme="1"/>
        <rFont val="Calibri"/>
        <family val="2"/>
      </rPr>
      <t xml:space="preserve"> FCDO will strengthen methods for integration of a conflict lens into climate interventions during 2023 to 2024 to achieve increased capability to tackle conflict drivers early.
</t>
    </r>
    <r>
      <rPr>
        <b/>
        <sz val="10"/>
        <color theme="1"/>
        <rFont val="Calibri"/>
        <family val="2"/>
      </rPr>
      <t>RBRA ID4 action 4:</t>
    </r>
    <r>
      <rPr>
        <sz val="10"/>
        <color theme="1"/>
        <rFont val="Calibri"/>
        <family val="2"/>
      </rPr>
      <t xml:space="preserve"> FCDO and the Ministry of Defence (MOD) will assess and strengthen the evidence base on links between climate, vulnerability and stability during 2023 to 2025 to achieve an informed approach to adaptation actions. 
</t>
    </r>
    <r>
      <rPr>
        <b/>
        <sz val="10"/>
        <color theme="1"/>
        <rFont val="Calibri"/>
        <family val="2"/>
      </rPr>
      <t xml:space="preserve">NAP3 p.106: </t>
    </r>
    <r>
      <rPr>
        <sz val="10"/>
        <color theme="1"/>
        <rFont val="Calibri"/>
        <family val="2"/>
      </rPr>
      <t>FCDO will continue to influence multilateral peacebuilding agendas through UN peacebuilding work to address drivers of conflict, including climate change. FCDO will continue to work with non-governmental organisations to revitalise global efforts on conflict prevention and drive long-term environment and climate resilience thinking into humanitarian, peacebuilding and conflict programmes which also align with the Paris Agreement.</t>
    </r>
  </si>
  <si>
    <t>No specific agreements referred to, but several actions for FCDO to work with UN and internally to investigate and better understand the drivers of climate driven tensions over resources.</t>
  </si>
  <si>
    <t>FCDO
MOD</t>
  </si>
  <si>
    <t>ID04.2</t>
  </si>
  <si>
    <t xml:space="preserve">A more strategic and systems approach to investing international aid aligned to climate change adaptation associated with conflict prevention. </t>
  </si>
  <si>
    <r>
      <rPr>
        <b/>
        <sz val="10"/>
        <color theme="1"/>
        <rFont val="Calibri"/>
        <family val="2"/>
      </rPr>
      <t>RBRA ID4 action 5:</t>
    </r>
    <r>
      <rPr>
        <sz val="10"/>
        <color theme="1"/>
        <rFont val="Calibri"/>
        <family val="2"/>
      </rPr>
      <t xml:space="preserve"> FCDO, DESNZ and Defra will ensure UK Official Development Official Development Assistance includes adaptation for climate-vulnerable countries between 2023 and 2026 to help build their resilience and reduce the chances of conflict.
</t>
    </r>
    <r>
      <rPr>
        <b/>
        <sz val="10"/>
        <color theme="1"/>
        <rFont val="Calibri"/>
        <family val="2"/>
      </rPr>
      <t>RBRA ID4 action 6:</t>
    </r>
    <r>
      <rPr>
        <sz val="10"/>
        <color theme="1"/>
        <rFont val="Calibri"/>
        <family val="2"/>
      </rPr>
      <t xml:space="preserve"> FCDO will fund almost £1 billion in projects that tackle complex security challenges abroad to keep the UK safe from global sources of volatility and insecurity through the new UK Integrated Security Fund.
</t>
    </r>
    <r>
      <rPr>
        <b/>
        <sz val="10"/>
        <color theme="1"/>
        <rFont val="Calibri"/>
        <family val="2"/>
      </rPr>
      <t xml:space="preserve">NAP3 p.99: </t>
    </r>
    <r>
      <rPr>
        <sz val="10"/>
        <color theme="1"/>
        <rFont val="Calibri"/>
        <family val="2"/>
      </rPr>
      <t>International Climate Finance Strategy: This outlines how the UK will spend and deliver on its £11.6 billion International Climate Finance commitment, including by targeting priority regions and sectors to enhance locally led adaptation, and supporting governments overseas to be resilient to climate change.</t>
    </r>
    <r>
      <rPr>
        <b/>
        <sz val="10"/>
        <color theme="1"/>
        <rFont val="Calibri"/>
        <family val="2"/>
      </rPr>
      <t xml:space="preserve">
NAP3 p.105:</t>
    </r>
    <r>
      <rPr>
        <sz val="10"/>
        <color theme="1"/>
        <rFont val="Calibri"/>
        <family val="2"/>
      </rPr>
      <t xml:space="preserve"> The FCDO will continue to: provide official development assistance funding to support communities in climate vulnerable and fragile countries to adapt and build resilience to the current and future impacts of climate change to reduce the risk of conflict; foster security in fragile states through the new UK Integrated Security Fund which will combine the existing Conflict, Stability, and Security Fund and additional funding from other programming to channel almost £1 billion in 2022 to 2023, to projects that tackle complex security challenges abroad. The fund is designed to integrate into our evolving national security architecture that takes into consideration risks from climate change.</t>
    </r>
  </si>
  <si>
    <t>International Climate Finance Strategy</t>
  </si>
  <si>
    <t>Actions in NAP3p.105 reflect a continuation of existing relevant actions, not additional or new commitments.</t>
  </si>
  <si>
    <t>FCDO
DESNZ
Defra</t>
  </si>
  <si>
    <t>ID05.1</t>
  </si>
  <si>
    <t>Further engagement with multilateral processes and institutions to ensure the UK preserves its interests and strengthens its image as a respected multilateral player e.g. engaging constructively with a multiplicity of processes and initiatives in the context of climate change, such as the inter alia by supporting the work of the International Law Commission on sea-level rise in relation to international law started in 2019, the work of the UNFCCC on loss and damage (including its Task Force on Displacement) and the on-going modernisation of the Energy Charter Treaty.</t>
  </si>
  <si>
    <r>
      <rPr>
        <b/>
        <sz val="10"/>
        <color theme="1"/>
        <rFont val="Calibri"/>
        <family val="2"/>
      </rPr>
      <t>RBRA ID5 action 1:</t>
    </r>
    <r>
      <rPr>
        <sz val="10"/>
        <color theme="1"/>
        <rFont val="Calibri"/>
        <family val="2"/>
      </rPr>
      <t xml:space="preserve"> FCDO and DESNZ will seek to reduce the risk of successful legal challenges to climate change policies and provide adaptation and resilience support to the most vulnerable between 2023 and 2025. They will engage early and often in multilateral fora such as the UN Framework Convention on Climate Change and the UN Security Council, to ensure policies are defensible to challenge and widely supported internationally.
</t>
    </r>
    <r>
      <rPr>
        <b/>
        <sz val="10"/>
        <color theme="1"/>
        <rFont val="Calibri"/>
        <family val="2"/>
      </rPr>
      <t>RBRA ID5 action 2:</t>
    </r>
    <r>
      <rPr>
        <sz val="10"/>
        <color theme="1"/>
        <rFont val="Calibri"/>
        <family val="2"/>
      </rPr>
      <t xml:space="preserve"> FCDO and DESNZ will lead on climate diplomacy internationally between 2023 and 2025 to progress climate actions under the UN Framework Convention on Climate Change.
</t>
    </r>
    <r>
      <rPr>
        <b/>
        <sz val="10"/>
        <color theme="1"/>
        <rFont val="Calibri"/>
        <family val="2"/>
      </rPr>
      <t>RBRA ID5 action 3:</t>
    </r>
    <r>
      <rPr>
        <sz val="10"/>
        <color theme="1"/>
        <rFont val="Calibri"/>
        <family val="2"/>
      </rPr>
      <t xml:space="preserve"> FCDO will contribute to multilateral fora – for example, the International Court of Justice and the UN General Assembly – to ensure the rights of people impacted by climate change are considered. 
</t>
    </r>
    <r>
      <rPr>
        <b/>
        <sz val="10"/>
        <color theme="1"/>
        <rFont val="Calibri"/>
        <family val="2"/>
      </rPr>
      <t>NAP3 p.106:</t>
    </r>
    <r>
      <rPr>
        <sz val="10"/>
        <color theme="1"/>
        <rFont val="Calibri"/>
        <family val="2"/>
      </rPr>
      <t xml:space="preserve"> FCDO will continue to influence multilateral peacebuilding agendas through UN peacebuilding work to address drivers of conflict, including climate change. FCDO will continue to work with non-governmental organisations to revitalise global efforts on conflict prevention and drive long-term environment and climate resilience thinking into humanitarian, peacebuilding and conflict programmes which also align with the Paris Agreement.
</t>
    </r>
    <r>
      <rPr>
        <b/>
        <sz val="10"/>
        <color theme="1"/>
        <rFont val="Calibri"/>
        <family val="2"/>
      </rPr>
      <t>NAP3 p.107:</t>
    </r>
    <r>
      <rPr>
        <sz val="10"/>
        <color theme="1"/>
        <rFont val="Calibri"/>
        <family val="2"/>
      </rPr>
      <t xml:space="preserve"> The government will continue to seek international consensus on climate change policies. ... The FCDO will continue to: lead the UK’s international engagement on climate change issues, including those that may impact on human rights; lobby and support UN negotiations through climate attachés and negotiators and drive consensus that leads to positive climate change action and outcomes; support agreements such as the Glasgow Climate Pact established at COP26 in 2021. This established the 2-year Glasgow and Sharm el-Sheikh work programme on the Global Goal on Adaptation, which aims to reduce vulnerability, strengthen resilience and increase capacity to adapt to climate impacts.</t>
    </r>
  </si>
  <si>
    <t>Multiple examples of how the government will continue and increase active engagement in multilateral processes and international discussions relating to climate change.</t>
  </si>
  <si>
    <t>ID05.2</t>
  </si>
  <si>
    <t>A clear plan to meet the challenges posed by a shift in UK relationships with traditional allies and changing dynamics at the UN, to coordinate its activities with the EU, and to build new partnerships with inter alia the Commonwealth.</t>
  </si>
  <si>
    <r>
      <rPr>
        <b/>
        <sz val="10"/>
        <color theme="1"/>
        <rFont val="Calibri"/>
        <family val="2"/>
      </rPr>
      <t xml:space="preserve">RBRA ID5: </t>
    </r>
    <r>
      <rPr>
        <sz val="10"/>
        <color theme="1"/>
        <rFont val="Calibri"/>
        <family val="2"/>
      </rPr>
      <t xml:space="preserve">does not address this action.
</t>
    </r>
    <r>
      <rPr>
        <b/>
        <sz val="10"/>
        <color theme="1"/>
        <rFont val="Calibri"/>
        <family val="2"/>
      </rPr>
      <t>NAP3 Chapter 6:</t>
    </r>
    <r>
      <rPr>
        <sz val="10"/>
        <color theme="1"/>
        <rFont val="Calibri"/>
        <family val="2"/>
      </rPr>
      <t xml:space="preserve"> does not address this action.</t>
    </r>
  </si>
  <si>
    <t>No mention of a plan to adapt to changing relationships or dynamics, or the building or maintaining of partnerships in either document.</t>
  </si>
  <si>
    <t>ID06.1</t>
  </si>
  <si>
    <t>Enabling actions from the Government to realise economic benefits and opportunities from climate change impacts on international trade routes and potentially tourism, which would likely have low costs.</t>
  </si>
  <si>
    <r>
      <rPr>
        <b/>
        <sz val="10"/>
        <color theme="1"/>
        <rFont val="Calibri"/>
        <family val="2"/>
      </rPr>
      <t xml:space="preserve">RBRA ID6: </t>
    </r>
    <r>
      <rPr>
        <sz val="10"/>
        <color theme="1"/>
        <rFont val="Calibri"/>
        <family val="2"/>
      </rPr>
      <t xml:space="preserve">does not address this action.
</t>
    </r>
    <r>
      <rPr>
        <b/>
        <sz val="10"/>
        <color theme="1"/>
        <rFont val="Calibri"/>
        <family val="2"/>
      </rPr>
      <t xml:space="preserve">NAP3 p.100: </t>
    </r>
    <r>
      <rPr>
        <sz val="10"/>
        <color theme="1"/>
        <rFont val="Calibri"/>
        <family val="2"/>
      </rPr>
      <t xml:space="preserve">DBT has: developed the Supply Chains Resilience Framework which guides businesses on options to reduce dependencies in supply chains, including diversification, working with international partners, stockpiling and surge capacity, onshoring, and demand management.
</t>
    </r>
    <r>
      <rPr>
        <b/>
        <sz val="10"/>
        <color theme="1"/>
        <rFont val="Calibri"/>
        <family val="2"/>
      </rPr>
      <t xml:space="preserve">NAP3 p.101: </t>
    </r>
    <r>
      <rPr>
        <sz val="10"/>
        <color theme="1"/>
        <rFont val="Calibri"/>
        <family val="2"/>
      </rPr>
      <t>DBT is working to develop a better, shared understanding of trade related climate risks by: producing and sharing insights and analysis through bespoke analytical frameworks. This will identify vulnerabilities and opportunities in supply chains underpinned by a robust evidence base, improving government and business understanding of climate risks to critical supply chains throughout and beyond 2023. For example, the Global Supply Chains Intelligence Programme will support policy and operational priorities by improving visibility of supply chain risk.</t>
    </r>
  </si>
  <si>
    <t>Addressed within NAP3 in terms of impacts on trade, not specifically trade routes. No mention of benefiting from opportunities from tourism.</t>
  </si>
  <si>
    <t>ID07.1</t>
  </si>
  <si>
    <t>Policies that focus on building further resilience as a 'design feature' for trade.</t>
  </si>
  <si>
    <r>
      <rPr>
        <b/>
        <sz val="10"/>
        <color theme="1"/>
        <rFont val="Calibri"/>
        <family val="2"/>
      </rPr>
      <t>RBRA ID7 action 1:</t>
    </r>
    <r>
      <rPr>
        <sz val="10"/>
        <color theme="1"/>
        <rFont val="Calibri"/>
        <family val="2"/>
      </rPr>
      <t xml:space="preserve"> DBT will publish a new strategy on supply chains and imports in autumn 2023 to provide a coherent overview of the UK’s priorities and drive specific action by government and business in response to any threats and hazards, including climate change, to the critical imports for the UK’s national security and economic growth.
</t>
    </r>
    <r>
      <rPr>
        <b/>
        <sz val="10"/>
        <color theme="1"/>
        <rFont val="Calibri"/>
        <family val="2"/>
      </rPr>
      <t>RBRA ID7 action 2:</t>
    </r>
    <r>
      <rPr>
        <sz val="10"/>
        <color theme="1"/>
        <rFont val="Calibri"/>
        <family val="2"/>
      </rPr>
      <t xml:space="preserve"> DBT will continue to develop and share analysis, including through mapping climate vulnerabilities and monitoring disruptive events, to drive evidence based decision making throughout and beyond 2023. This will help government and businesses respond to climate change risks posed to critical supply chains in line with government priorities.
</t>
    </r>
    <r>
      <rPr>
        <b/>
        <sz val="10"/>
        <color theme="1"/>
        <rFont val="Calibri"/>
        <family val="2"/>
      </rPr>
      <t xml:space="preserve">RBRA ID7 action 3: </t>
    </r>
    <r>
      <rPr>
        <sz val="10"/>
        <color theme="1"/>
        <rFont val="Calibri"/>
        <family val="2"/>
      </rPr>
      <t xml:space="preserve">DBT will support and advise relevant teams within government and businesses to develop policies and interventions to guide both public and private sector organisations actions to mitigate climate change risks and vulnerabilities in supply chains. The success of this will be monitored through quarterly internal reviews from 2023.
</t>
    </r>
    <r>
      <rPr>
        <b/>
        <sz val="10"/>
        <color theme="1"/>
        <rFont val="Calibri"/>
        <family val="2"/>
      </rPr>
      <t>RBRA ID7 action 4:</t>
    </r>
    <r>
      <rPr>
        <sz val="10"/>
        <color theme="1"/>
        <rFont val="Calibri"/>
        <family val="2"/>
      </rPr>
      <t xml:space="preserve"> DBT will engage with business, seeking industry views on a new supply chains and imports strategy in summer 2023, to enable information sharing on how climate-related disruption affects supply chains between government and industry.
</t>
    </r>
    <r>
      <rPr>
        <b/>
        <sz val="10"/>
        <color theme="1"/>
        <rFont val="Calibri"/>
        <family val="2"/>
      </rPr>
      <t>RBRA ID7 action 5:</t>
    </r>
    <r>
      <rPr>
        <sz val="10"/>
        <color theme="1"/>
        <rFont val="Calibri"/>
        <family val="2"/>
      </rPr>
      <t xml:space="preserve"> DBT will incorporate climate considerations in relevant critical supply chain stress tests by the end of 2024, including with international partners, to understand the resilience of critical supply chains to climate-related disruptions.
</t>
    </r>
    <r>
      <rPr>
        <b/>
        <sz val="10"/>
        <color theme="1"/>
        <rFont val="Calibri"/>
        <family val="2"/>
      </rPr>
      <t>RBRA ID7 action 6:</t>
    </r>
    <r>
      <rPr>
        <sz val="10"/>
        <color theme="1"/>
        <rFont val="Calibri"/>
        <family val="2"/>
      </rPr>
      <t xml:space="preserve"> DBT will support UK companies to target sustainable infrastructure solutions and systems in vulnerable countries throughout 2022 to 2024 to enhance industry awareness of financing and promote delivery of critical infrastructure projects.
</t>
    </r>
    <r>
      <rPr>
        <b/>
        <sz val="10"/>
        <color theme="1"/>
        <rFont val="Calibri"/>
        <family val="2"/>
      </rPr>
      <t>RBRA ID7 action 7:</t>
    </r>
    <r>
      <rPr>
        <sz val="10"/>
        <color theme="1"/>
        <rFont val="Calibri"/>
        <family val="2"/>
      </rPr>
      <t xml:space="preserve"> DBT will encourage insurance solutions and improve climate forecasting and infrastructure investment from 2022 to 2024 to minimise the risk of uninsured losses to the UK finance sector from climate change and protect supply chains.
</t>
    </r>
    <r>
      <rPr>
        <b/>
        <sz val="10"/>
        <color theme="1"/>
        <rFont val="Calibri"/>
        <family val="2"/>
      </rPr>
      <t xml:space="preserve">NAP3 p.101: </t>
    </r>
    <r>
      <rPr>
        <sz val="10"/>
        <color theme="1"/>
        <rFont val="Calibri"/>
        <family val="2"/>
      </rPr>
      <t>Government will work closely with industry partners to manage potential disruption to supply chains due to climate impacts. To enable this integrated approach, DBT will: partner with industry and the UK knowledge sector to understand best practices in building supply chain resilience. This will include incorporating climate change into relevant critical supply chain stress tests by the end of 2024, and supporting remedial action.</t>
    </r>
  </si>
  <si>
    <t>Multiple policies mentioned that collectively will build further resilience particularly in supply chains.</t>
  </si>
  <si>
    <t>ID08.1</t>
  </si>
  <si>
    <t>Address global green finance gap and uncertainty over national and international climate policy as a key factor in this gap.</t>
  </si>
  <si>
    <r>
      <rPr>
        <b/>
        <sz val="10"/>
        <color theme="1"/>
        <rFont val="Calibri"/>
        <family val="2"/>
      </rPr>
      <t xml:space="preserve">RBRA ID8 action 1: </t>
    </r>
    <r>
      <rPr>
        <sz val="10"/>
        <color theme="1"/>
        <rFont val="Calibri"/>
        <family val="2"/>
      </rPr>
      <t>The government will use the UK’s influence to continue to push for the global adoption of the International Sustainability Standards Board’s standards following the release of the final standards (expected in summer 2023) to ensure the system discloses and responds to climate risks.</t>
    </r>
    <r>
      <rPr>
        <b/>
        <sz val="10"/>
        <color theme="1"/>
        <rFont val="Calibri"/>
        <family val="2"/>
      </rPr>
      <t xml:space="preserve">
RBRA ID8 action 5: </t>
    </r>
    <r>
      <rPr>
        <sz val="10"/>
        <color theme="1"/>
        <rFont val="Calibri"/>
        <family val="2"/>
      </rPr>
      <t xml:space="preserve">HMT will support transition plan disclosure requirements on financial market participants through the NAP3 implementation period to 2028 and beyond to address systemic climate-related financial risk across the financial system. HMT established the Transition Plan Taskforce (TPT) to develop a standard for transition plans, including how wider financial risks arising from adaptation should be reported within an overall risk management disclosure.
</t>
    </r>
    <r>
      <rPr>
        <b/>
        <sz val="10"/>
        <color theme="1"/>
        <rFont val="Calibri"/>
        <family val="2"/>
      </rPr>
      <t>RBRA ID8 action 6:</t>
    </r>
    <r>
      <rPr>
        <sz val="10"/>
        <color theme="1"/>
        <rFont val="Calibri"/>
        <family val="2"/>
      </rPr>
      <t xml:space="preserve"> HMT will work with international partners to support the interoperability and standardisation of financial market participants’ plans to adapt to climate risks and to a low-carbon economy throughout the NAP3 implementation period to 2028 and beyond. HMT will seek international agreements which enhance and expand transition planning across the global economy and international financial sector.
</t>
    </r>
    <r>
      <rPr>
        <b/>
        <sz val="10"/>
        <color theme="1"/>
        <rFont val="Calibri"/>
        <family val="2"/>
      </rPr>
      <t>NAP3. p.99:</t>
    </r>
    <r>
      <rPr>
        <sz val="10"/>
        <color theme="1"/>
        <rFont val="Calibri"/>
        <family val="2"/>
      </rPr>
      <t xml:space="preserve"> Green Finance Strategy: The 2023 update to the UK's Green Finance Strategy sets out how the UK will continue to lead on green finance and mobilise the investment needed to meet climate and nature targets. Within the strategy, government lays out a framework to help the financial sector to manage risks from climate change.</t>
    </r>
  </si>
  <si>
    <t>Meets part of the CCRA ask to address green finance but does not specifically mention the 'global green finance gap' in NAP3 or the RBRA.</t>
  </si>
  <si>
    <t>ID09.1</t>
  </si>
  <si>
    <t>More real-time monitoring of air travel routes, transmission pathways of movement of people and goods. Investments in surveillance.</t>
  </si>
  <si>
    <r>
      <rPr>
        <b/>
        <sz val="10"/>
        <color theme="1"/>
        <rFont val="Calibri"/>
        <family val="2"/>
      </rPr>
      <t>RBRA ID9 action 3:</t>
    </r>
    <r>
      <rPr>
        <sz val="10"/>
        <color theme="1"/>
        <rFont val="Calibri"/>
        <family val="2"/>
      </rPr>
      <t xml:space="preserve"> DHSC and UKHSA will complete a suite of government contingency plans for specific VBDs to ensure rapid, coordinated responses to detections of invasive mosquitoes or VBDs such as dengue or West Nile virus through the NAP3 implementation period from 2023 to 2028. This action will be reviewed annually.
</t>
    </r>
    <r>
      <rPr>
        <b/>
        <sz val="10"/>
        <color theme="1"/>
        <rFont val="Calibri"/>
        <family val="2"/>
      </rPr>
      <t>RBRA ID9 action 4:</t>
    </r>
    <r>
      <rPr>
        <sz val="10"/>
        <color theme="1"/>
        <rFont val="Calibri"/>
        <family val="2"/>
      </rPr>
      <t xml:space="preserve"> UKHSA (funded by FCDO) will build capacity in British Overseas Territories for VBD resilience to achieve increased uptake of new and innovative vector surveillance methods to maximise control measure impacts through the NAP3 implementation period from 2023 to 2028. This action will be reviewed annually.
</t>
    </r>
    <r>
      <rPr>
        <b/>
        <sz val="10"/>
        <color theme="1"/>
        <rFont val="Calibri"/>
        <family val="2"/>
      </rPr>
      <t>NAP3 p.110:</t>
    </r>
    <r>
      <rPr>
        <sz val="10"/>
        <color theme="1"/>
        <rFont val="Calibri"/>
        <family val="2"/>
      </rPr>
      <t xml:space="preserve"> UKHSA and DHSC will: enhance the surveillance and monitoring of overseas health risks from 2023 to 2028 through UKHSA’s epidemic intelligence reports.
</t>
    </r>
    <r>
      <rPr>
        <b/>
        <sz val="10"/>
        <color theme="1"/>
        <rFont val="Calibri"/>
        <family val="2"/>
      </rPr>
      <t>NAP3 p.111:</t>
    </r>
    <r>
      <rPr>
        <sz val="10"/>
        <color theme="1"/>
        <rFont val="Calibri"/>
        <family val="2"/>
      </rPr>
      <t xml:space="preserve"> The government will improve the surveillance of vector-borne diseases which can be exacerbated by climate change. We will achieve this by enabling collaboration with NHS specialist tropical disease centres in Liverpool and London through joint medical staff appointments, the imported fever service and the sharing of official data.</t>
    </r>
  </si>
  <si>
    <t>Evidence of actions to increase monitoring in the UK and overseas, but no actions specifically referring to the monitoring of air travel routes etc.</t>
  </si>
  <si>
    <t>DHSC
UKHSA
FCDO</t>
  </si>
  <si>
    <t>ID09.2</t>
  </si>
  <si>
    <t>Communicate outdoor risks if a vector-borne disease is introduced.</t>
  </si>
  <si>
    <r>
      <rPr>
        <b/>
        <sz val="10"/>
        <color theme="1"/>
        <rFont val="Calibri"/>
        <family val="2"/>
      </rPr>
      <t xml:space="preserve">RBRA ID9 action 2: </t>
    </r>
    <r>
      <rPr>
        <sz val="10"/>
        <color theme="1"/>
        <rFont val="Calibri"/>
        <family val="2"/>
      </rPr>
      <t xml:space="preserve">DHSC and UKHSA will raise awareness of VBD risks and preventative steps to enable the public to make informed decisions about measures to protect themselves against VBDs through the NAP3 implementation period from 2023 to 2028. This action will be reviewed annually.
</t>
    </r>
    <r>
      <rPr>
        <b/>
        <sz val="10"/>
        <color theme="1"/>
        <rFont val="Calibri"/>
        <family val="2"/>
      </rPr>
      <t xml:space="preserve">NAP3 p.111: </t>
    </r>
    <r>
      <rPr>
        <sz val="10"/>
        <color theme="1"/>
        <rFont val="Calibri"/>
        <family val="2"/>
      </rPr>
      <t>UKHSA and DHSC will: continue to raise awareness for travellers of the need to prevent new diseases to the UK from climate change overseas through the National Travel Health Network and Centre and country-specific travel advice on GOV.UK from 2023 to 2028.</t>
    </r>
  </si>
  <si>
    <t>Specific actions in RBRA and NAP3 to raise awareness of risks from VBDs to the public and overseas travellers. No specific mention of 'outdoor risks if a VBD is introduced'.</t>
  </si>
  <si>
    <t>DHSC
UKHSA</t>
  </si>
  <si>
    <t>ID09.3</t>
  </si>
  <si>
    <t>Improve training and awareness of primary health care practitioners.</t>
  </si>
  <si>
    <r>
      <rPr>
        <b/>
        <sz val="10"/>
        <color theme="1"/>
        <rFont val="Calibri"/>
        <family val="2"/>
      </rPr>
      <t>RBRA ID9 action 5:</t>
    </r>
    <r>
      <rPr>
        <sz val="10"/>
        <color theme="1"/>
        <rFont val="Calibri"/>
        <family val="2"/>
      </rPr>
      <t xml:space="preserve"> DHSC and UKHSA will continually raise awareness and train healthcare professionals to recognise potential cases of non-endemic VBDs to increase referrals for testing and the detection of more cases through the NAP3 implementation period from 2023 to 2028.
</t>
    </r>
    <r>
      <rPr>
        <b/>
        <sz val="10"/>
        <color theme="1"/>
        <rFont val="Calibri"/>
        <family val="2"/>
      </rPr>
      <t>NAP3 p.111:</t>
    </r>
    <r>
      <rPr>
        <sz val="10"/>
        <color theme="1"/>
        <rFont val="Calibri"/>
        <family val="2"/>
      </rPr>
      <t xml:space="preserve"> UKSHA and DHSC will: train healthcare professionals to recognise cases of suspected VBDs to increase detection of cases, limit spread and improve patient outcomes from 2023 to 2028.</t>
    </r>
  </si>
  <si>
    <t>Specific actions included in the RBRA and NAP3 to train healthcare professionals and raise awareness.</t>
  </si>
  <si>
    <t>ID09.4</t>
  </si>
  <si>
    <t>Raise the levels of surveillance programmes and some random screening (for example, part of blood donation screening for antibodies).</t>
  </si>
  <si>
    <r>
      <rPr>
        <b/>
        <sz val="10"/>
        <color theme="1"/>
        <rFont val="Calibri"/>
        <family val="2"/>
      </rPr>
      <t>RBRA ID9 action 4:</t>
    </r>
    <r>
      <rPr>
        <sz val="10"/>
        <color theme="1"/>
        <rFont val="Calibri"/>
        <family val="2"/>
      </rPr>
      <t xml:space="preserve"> UKHSA (funded by FCDO) will build capacity in British Overseas Territories for VBD resilience to achieve increased uptake of new and innovative vector surveillance methods to maximise control measure impacts through the NAP3 implementation period from 2023 to 2028. This action will be reviewed annually.
</t>
    </r>
    <r>
      <rPr>
        <b/>
        <sz val="10"/>
        <color theme="1"/>
        <rFont val="Calibri"/>
        <family val="2"/>
      </rPr>
      <t>RBRA ID9 action 6:</t>
    </r>
    <r>
      <rPr>
        <sz val="10"/>
        <color theme="1"/>
        <rFont val="Calibri"/>
        <family val="2"/>
      </rPr>
      <t xml:space="preserve"> UKHSA will seek to enhance their laboratory testing capability to support early detection of a wider range of imported disease threats to the UK through the NAP3 implementation period from 2023 to 2028, with annual reviews of changes.
</t>
    </r>
    <r>
      <rPr>
        <b/>
        <sz val="10"/>
        <color theme="1"/>
        <rFont val="Calibri"/>
        <family val="2"/>
      </rPr>
      <t>RBRA ID9 action 7:</t>
    </r>
    <r>
      <rPr>
        <sz val="10"/>
        <color theme="1"/>
        <rFont val="Calibri"/>
        <family val="2"/>
      </rPr>
      <t xml:space="preserve"> UKHSA will strengthen links with NHS tropical disease centres. It will pilot approaches to improve surveillance and detection of imported VBDs and diagnostics research and evaluation through the NAP3 implementation period from 2023 to 2028, with annual reviews on progress of the action.
</t>
    </r>
    <r>
      <rPr>
        <b/>
        <sz val="10"/>
        <color theme="1"/>
        <rFont val="Calibri"/>
        <family val="2"/>
      </rPr>
      <t xml:space="preserve">NAP3 p.110: </t>
    </r>
    <r>
      <rPr>
        <sz val="10"/>
        <color theme="1"/>
        <rFont val="Calibri"/>
        <family val="2"/>
      </rPr>
      <t xml:space="preserve">UKHSA and DHSC will: enhance the surveillance and monitoring of overseas health risks from 2023 to 2028 through UKHSA’s epidemic intelligence reports; undertake horizon-scanning and conduct research to identify changes in the distribution of VBDs in the UK and worldwide from 2023 to 2028. This action will be reviewed as required.
</t>
    </r>
    <r>
      <rPr>
        <b/>
        <sz val="10"/>
        <color theme="1"/>
        <rFont val="Calibri"/>
        <family val="2"/>
      </rPr>
      <t xml:space="preserve">NAP3 p.111: </t>
    </r>
    <r>
      <rPr>
        <sz val="10"/>
        <color theme="1"/>
        <rFont val="Calibri"/>
        <family val="2"/>
      </rPr>
      <t>The government will improve the surveillance of vector-borne diseases which can be exacerbated by climate change. We will achieve this by enabling collaboration with NHS specialist tropical disease centres in Liverpool and London through joint medical staff appointments, the imported fever service and the sharing of official data.</t>
    </r>
  </si>
  <si>
    <t>Actions to increase surveillance levels in the RBRA and NAP3. No action refers to random screening in relation to VBDs.</t>
  </si>
  <si>
    <t>UKHSA 
FCDO
NHS</t>
  </si>
  <si>
    <t>ID09.5</t>
  </si>
  <si>
    <t>Improvement of public and professional level information, transmission pathway IT/information.</t>
  </si>
  <si>
    <r>
      <rPr>
        <b/>
        <sz val="10"/>
        <color theme="1"/>
        <rFont val="Calibri"/>
        <family val="2"/>
      </rPr>
      <t xml:space="preserve">RBRA ID9 action 2: </t>
    </r>
    <r>
      <rPr>
        <sz val="10"/>
        <color theme="1"/>
        <rFont val="Calibri"/>
        <family val="2"/>
      </rPr>
      <t xml:space="preserve">DHSC and UKHSA will raise awareness of VBD risks and preventative steps to enable the public to make informed decisions about measures to protect themselves against VBDs through the NAP3 implementation period from 2023 to 2028. This action will be reviewed annually.
</t>
    </r>
    <r>
      <rPr>
        <b/>
        <sz val="10"/>
        <color theme="1"/>
        <rFont val="Calibri"/>
        <family val="2"/>
      </rPr>
      <t xml:space="preserve">NAP3 Chapter 6: </t>
    </r>
    <r>
      <rPr>
        <sz val="10"/>
        <color theme="1"/>
        <rFont val="Calibri"/>
        <family val="2"/>
      </rPr>
      <t>does not address this action.</t>
    </r>
  </si>
  <si>
    <t>Raising of awareness of VBD risks goes part way to addressing the CCRA ask to improve public and professional information on transmission etc.</t>
  </si>
  <si>
    <t>ID09.6</t>
  </si>
  <si>
    <t>Support collaborative research and monitoring to help avoid imported health risks, new funding sources required post Brexit.</t>
  </si>
  <si>
    <r>
      <rPr>
        <b/>
        <sz val="10"/>
        <color theme="1"/>
        <rFont val="Calibri"/>
        <family val="2"/>
      </rPr>
      <t xml:space="preserve">RBRA ID9 action 4: </t>
    </r>
    <r>
      <rPr>
        <sz val="10"/>
        <color theme="1"/>
        <rFont val="Calibri"/>
        <family val="2"/>
      </rPr>
      <t xml:space="preserve">UKHSA (funded by FCDO) will build capacity in British Overseas Territories for VBD resilience to achieve increased uptake of new and innovative vector surveillance methods to maximise control measure impacts through the NAP3 implementation period from 2023 to 2028. This action will be reviewed annually.
</t>
    </r>
    <r>
      <rPr>
        <b/>
        <sz val="10"/>
        <color theme="1"/>
        <rFont val="Calibri"/>
        <family val="2"/>
      </rPr>
      <t xml:space="preserve">RBRA ID9 action 6: </t>
    </r>
    <r>
      <rPr>
        <sz val="10"/>
        <color theme="1"/>
        <rFont val="Calibri"/>
        <family val="2"/>
      </rPr>
      <t>UKHSA will seek to enhance their laboratory testing capability to support early detection of a wider range of imported disease threats to the UK through the NAP3 implementation period from 2023 to 2028, with annual reviews of changes.</t>
    </r>
    <r>
      <rPr>
        <b/>
        <sz val="10"/>
        <color theme="1"/>
        <rFont val="Calibri"/>
        <family val="2"/>
      </rPr>
      <t xml:space="preserve">
RBRA ID9 action 7:</t>
    </r>
    <r>
      <rPr>
        <sz val="10"/>
        <color theme="1"/>
        <rFont val="Calibri"/>
        <family val="2"/>
      </rPr>
      <t xml:space="preserve"> UKHSA will strengthen links with NHS tropical disease centres. It will pilot approaches to improve surveillance and detection of imported VBDs and diagnostics research and evaluation through the NAP3 implementation period from 2023 to 2028, with annual reviews on progress of the action.
</t>
    </r>
    <r>
      <rPr>
        <b/>
        <sz val="10"/>
        <color theme="1"/>
        <rFont val="Calibri"/>
        <family val="2"/>
      </rPr>
      <t>NAP3 p.110:</t>
    </r>
    <r>
      <rPr>
        <sz val="10"/>
        <color theme="1"/>
        <rFont val="Calibri"/>
        <family val="2"/>
      </rPr>
      <t xml:space="preserve"> UKHSA and DHSC will: enhance the surveillance and monitoring of overseas health risks from 2023 to 2028 through UKHSA’s epidemic intelligence reports; undertake horizon-scanning and conduct research to identify changes in the distribution of VBDs in the UK and worldwide from 2023 to 2028. This action will be reviewed as required.
</t>
    </r>
    <r>
      <rPr>
        <b/>
        <sz val="10"/>
        <color theme="1"/>
        <rFont val="Calibri"/>
        <family val="2"/>
      </rPr>
      <t xml:space="preserve">NAP3 p.111: </t>
    </r>
    <r>
      <rPr>
        <sz val="10"/>
        <color theme="1"/>
        <rFont val="Calibri"/>
        <family val="2"/>
      </rPr>
      <t>The government will improve the surveillance of vector-borne diseases which can be exacerbated by climate change. We will achieve this by enabling collaboration with NHS specialist tropical disease centres in Liverpool and London through joint medical staff appointments, the imported fever service and the sharing of official data.</t>
    </r>
  </si>
  <si>
    <t>Actions in the RBRA and NAP3 that refer to new surveillance methods and relate to collaboration between research/medical centres largely meet the CCRA ask.</t>
  </si>
  <si>
    <t>UKHSA
FCDO
NHS</t>
  </si>
  <si>
    <t>ID10.1</t>
  </si>
  <si>
    <t>Further investigation of economic evidence of transformational adaptation is needed.</t>
  </si>
  <si>
    <r>
      <rPr>
        <b/>
        <sz val="10"/>
        <color theme="1"/>
        <rFont val="Calibri"/>
        <family val="2"/>
      </rPr>
      <t>RBRA ID10 action 7:</t>
    </r>
    <r>
      <rPr>
        <sz val="10"/>
        <color theme="1"/>
        <rFont val="Calibri"/>
        <family val="2"/>
      </rPr>
      <t xml:space="preserve"> FCDO will continue to co-chair the Adaptation Research Alliance funded through to 2026. This is a coalition of researchers, funders, policymakers and community-based organisations that seek to increase investment and opportunities to develop better adaptation solutions.
</t>
    </r>
    <r>
      <rPr>
        <b/>
        <sz val="10"/>
        <color theme="1"/>
        <rFont val="Calibri"/>
        <family val="2"/>
      </rPr>
      <t>NAP3 p.112:</t>
    </r>
    <r>
      <rPr>
        <sz val="10"/>
        <color theme="1"/>
        <rFont val="Calibri"/>
        <family val="2"/>
      </rPr>
      <t xml:space="preserve"> Defra is: engaging in research with international partners on adaptation such as the Organisation for Economic Co-operation and Development, including in their work on the measurement of progress on adaptation.
</t>
    </r>
    <r>
      <rPr>
        <b/>
        <sz val="10"/>
        <color theme="1"/>
        <rFont val="Calibri"/>
        <family val="2"/>
      </rPr>
      <t>NAP3 p.113:</t>
    </r>
    <r>
      <rPr>
        <sz val="10"/>
        <color theme="1"/>
        <rFont val="Calibri"/>
        <family val="2"/>
      </rPr>
      <t xml:space="preserve"> In addition to the new Climate Resilience Steering Board driving further government action to increase UK resilience to climate change, the FCDO and the Cabinet Office will: continue to co-chair the Adaptation Research Alliance, a coalition of researchers, funders, policymakers and community-based organisation, that seek to increase investment and opportunities to develop better adaptation solutions.</t>
    </r>
  </si>
  <si>
    <t xml:space="preserve">The actions in the RBRA and NAP3 appear to recognise the need for more activity to discuss and support the economics of adaptation, but do not state that further research will be conducted. Transformational adaptation is not mentioned specifically in either document. </t>
  </si>
  <si>
    <t>FCDO
Defra
Cabinet Office</t>
  </si>
  <si>
    <t>N01.1</t>
  </si>
  <si>
    <t>Take more flexible and integrated approaches to managing natural capital, including further realignment of the coast, catchment-scale management strategies, and landscape- scale initiatives to increase habitat extent and improve habitat condition and connectivity.</t>
  </si>
  <si>
    <r>
      <rPr>
        <b/>
        <sz val="10"/>
        <color theme="1"/>
        <rFont val="Calibri"/>
        <family val="2"/>
      </rPr>
      <t xml:space="preserve">RBRA N1 action 1: </t>
    </r>
    <r>
      <rPr>
        <sz val="10"/>
        <color theme="1"/>
        <rFont val="Calibri"/>
        <family val="2"/>
      </rPr>
      <t xml:space="preserve">Defra will work with stakeholders to create and restore habitats and ecosystem functions, including those most at risk from climate change. This includes restoring and creating over 500,000 hectares of wildlife-rich habitat outside of Protected Sites by 2042, including 140,000 hectares by 2028, and restoring 75% of Protected Sites to favourable condition by 2042 – all in a manner that is suitable in the context of climate change. This will provide the conditions and functions such as connectivity and buffering to increase the resilience of terrestrial habitats and species to climate change risks.
</t>
    </r>
    <r>
      <rPr>
        <b/>
        <sz val="10"/>
        <color theme="1"/>
        <rFont val="Calibri"/>
        <family val="2"/>
      </rPr>
      <t>NAP3 p.53:</t>
    </r>
    <r>
      <rPr>
        <sz val="10"/>
        <color theme="1"/>
        <rFont val="Calibri"/>
        <family val="2"/>
      </rPr>
      <t xml:space="preserve"> Natural Capital and Ecosystem Assessment This will collect data on the extent, condition and change over time of England’s ecosystems and natural capital. This will help to integrate data, address critical evidence gaps and improve decision-making. This will allow some impacts of climate change to be measured; for example, it could be used to support habitat restoration where pressures, including climate change, are causing deterioration and greater vulnerability to climate impacts.
</t>
    </r>
  </si>
  <si>
    <t>Gaps in the RBRA action that define how  the approach would be flexible and integrated. The Natural Capital and Ecosystem Assessment may inform the approaches to restore and connect habitats, but does not directly achieve this action.</t>
  </si>
  <si>
    <t>N01.2</t>
  </si>
  <si>
    <t>Climate and environmental change should be more explicitly accounted for in conservation planning at the site level and more widely. This may include modifying conservation objectives and planning for and anticipating necessary changes in spatial distribution, for example by identifying and securing refugia. Site level conservation objectives and plans would benefit from being reviewed to assess whether management is appropriate for new or potential colonists and adapted accordingly.</t>
  </si>
  <si>
    <r>
      <rPr>
        <b/>
        <sz val="10"/>
        <color theme="1"/>
        <rFont val="Calibri"/>
        <family val="2"/>
      </rPr>
      <t>RBRA N1 action 3:</t>
    </r>
    <r>
      <rPr>
        <sz val="10"/>
        <color theme="1"/>
        <rFont val="Calibri"/>
        <family val="2"/>
      </rPr>
      <t xml:space="preserve"> Defra will continue to support stakeholders to use spatial prioritisation for habitat restoration and creation, informed by climate projections, such as projected hazard and land suitability mapping, through the NAP3 implementation period to 2028 and beyond. This will support the creation of the right habitat types and the right management approaches in the right place.
</t>
    </r>
    <r>
      <rPr>
        <b/>
        <sz val="10"/>
        <color theme="1"/>
        <rFont val="Calibri"/>
        <family val="2"/>
      </rPr>
      <t xml:space="preserve">RBRA N1 action 5: </t>
    </r>
    <r>
      <rPr>
        <sz val="10"/>
        <color theme="1"/>
        <rFont val="Calibri"/>
        <family val="2"/>
      </rPr>
      <t xml:space="preserve">Natural England will work with land managers to manage and improve the condition of Protected Sites. This includes a consideration of climate change pressure on site features by 31 January 2028, to support their resilience and adaptation to climate change.
</t>
    </r>
    <r>
      <rPr>
        <b/>
        <sz val="10"/>
        <color theme="1"/>
        <rFont val="Calibri"/>
        <family val="2"/>
      </rPr>
      <t>RBRA N1 action 7:</t>
    </r>
    <r>
      <rPr>
        <sz val="10"/>
        <color theme="1"/>
        <rFont val="Calibri"/>
        <family val="2"/>
      </rPr>
      <t xml:space="preserve"> The Home Office, supported by Defra, will scope out a Wildfire Strategy and Action Plan by mid-2024, reporting on the outcomes of the scoping exercise. Defra will develop ‘adaptation of land management to wildfire risk guidance’ by 2026. Defra will work with public and private sector land managers to develop wildfire management plans for 20,000 hectares of habitat by 2025. This will be supported by research programmes beginning from 2023. This action will reduce the risk of wildfires impacting on social, economic and environmental assets across the chapter themes of NAP3.
</t>
    </r>
    <r>
      <rPr>
        <b/>
        <sz val="10"/>
        <color theme="1"/>
        <rFont val="Calibri"/>
        <family val="2"/>
      </rPr>
      <t xml:space="preserve">NAP3 Chapter 3: </t>
    </r>
    <r>
      <rPr>
        <sz val="10"/>
        <color theme="1"/>
        <rFont val="Calibri"/>
        <family val="2"/>
      </rPr>
      <t>does not address this action.</t>
    </r>
  </si>
  <si>
    <t>RBRA actions refer to parts of the CCRA. No mention of accounting for climate change in conservation planning or planning in Chapter 3 of NAP3.</t>
  </si>
  <si>
    <t>Defra
Natural England
Home Office supported by Defra</t>
  </si>
  <si>
    <t>N01.3</t>
  </si>
  <si>
    <t>Nature-based solutions are seen as an important way of addressing climate change and biodiversity loss. Nature-based solutions will help deliver adaptation actions including: developing resilient ecological networks; increased canopy cover and well-located woodland for greater habitat availability and ecosystem service value; maintaining, enhancing and restoring floodplains and hydrogeological systems to reduce flood risk and improve water quality and quantity; restoration of uplands and managing them for multiple benefits.</t>
  </si>
  <si>
    <r>
      <rPr>
        <b/>
        <sz val="10"/>
        <color theme="1"/>
        <rFont val="Calibri"/>
        <family val="2"/>
      </rPr>
      <t>RBRA N1 action 8:</t>
    </r>
    <r>
      <rPr>
        <sz val="10"/>
        <color theme="1"/>
        <rFont val="Calibri"/>
        <family val="2"/>
      </rPr>
      <t xml:space="preserve"> The Environment Agency will produce new long-term investment scenarios by the end of 2025 to quantify the benefits of natural flood management for the next 50 to 100 years in England. This will provide evidence to leverage funding and action to support the resilience of terrestrial, freshwater and coastal habitats and species under a changing climate.
</t>
    </r>
    <r>
      <rPr>
        <b/>
        <sz val="10"/>
        <color theme="1"/>
        <rFont val="Calibri"/>
        <family val="2"/>
      </rPr>
      <t>NAP3 p.55:</t>
    </r>
    <r>
      <rPr>
        <sz val="10"/>
        <color theme="1"/>
        <rFont val="Calibri"/>
        <family val="2"/>
      </rPr>
      <t xml:space="preserve"> keeping our freshwater habitats cool in the face of climate change, such as by investing £2 million through Defra’s 4-year Woodlands for Water Programme. Encouraging tree planting along rivers through the England Woodland Creation Offer and enabling private investment for woodland creation through developing the Woodland Water Code.
</t>
    </r>
    <r>
      <rPr>
        <b/>
        <sz val="10"/>
        <color theme="1"/>
        <rFont val="Calibri"/>
        <family val="2"/>
      </rPr>
      <t>NAP3 p.60:</t>
    </r>
    <r>
      <rPr>
        <sz val="10"/>
        <color theme="1"/>
        <rFont val="Calibri"/>
        <family val="2"/>
      </rPr>
      <t xml:space="preserve"> The government will provide the guidance, platforms and opportunities to coordinate and align actions for an integrated approach to coastal, marine and fisheries management. This includes: working with local authorities to facilitate natural processes and prioritise nature-based solutions where possible through flood and coastal erosion risk management strategies and plans. For example, through updates to SMPs and the National Coastal Erosion Risk Map, which will better inform local authority approaches to managing the coast.
</t>
    </r>
    <r>
      <rPr>
        <b/>
        <sz val="10"/>
        <color theme="1"/>
        <rFont val="Calibri"/>
        <family val="2"/>
      </rPr>
      <t xml:space="preserve">GRPR Recommendation 1: </t>
    </r>
    <r>
      <rPr>
        <sz val="10"/>
        <color theme="1"/>
        <rFont val="Calibri"/>
        <family val="2"/>
      </rPr>
      <t xml:space="preserve">The government has set interim targets to help deliver our long-term biodiversity targets. These interim targets, for 2028, are: to restore or create 140,000 hectares of wildlife-rich habitats outside protected sites, compared to 2022 levels; to have an up-to date condition assessment for all Sites of Special Scientific Interest (SSSIs); 50% of SSSIs to have actions on track to achieve favourable condition In addition, our target to halt the decline in species abundance by 2030, will drive early, wide-ranging action. This action will increase resilience to climate change and provide more robust species populations. </t>
    </r>
  </si>
  <si>
    <t>Several mentions of NbS across NAP3 and RBRA. None of the actions selected mention NbS specifically in relation to addressing biodiversity loss. Focus on use for flood risk reduction.</t>
  </si>
  <si>
    <t>EA
Defra</t>
  </si>
  <si>
    <t>N02.1</t>
  </si>
  <si>
    <t>Further adaptation actions focusing on enhanced prevention (e.g., pathway management), monitoring, surveillance and early response - greater Government intervention in research.</t>
  </si>
  <si>
    <r>
      <rPr>
        <b/>
        <sz val="10"/>
        <color theme="1"/>
        <rFont val="Calibri"/>
        <family val="2"/>
      </rPr>
      <t>RBRA N2 action 1:</t>
    </r>
    <r>
      <rPr>
        <sz val="10"/>
        <color theme="1"/>
        <rFont val="Calibri"/>
        <family val="2"/>
      </rPr>
      <t xml:space="preserve"> Defra will continue to identify and prioritise INNS for prevention, eradication and long-term management, taking climate change into account, through to 2030 in line with the GB INNS Strategy. This includes INNS that are likely to i) establish, ii) spread or iii) increase in impact as a result of climate change; iv) damage carbon rich habitats; or v) exacerbate climate-related pressures.
</t>
    </r>
    <r>
      <rPr>
        <b/>
        <sz val="10"/>
        <color theme="1"/>
        <rFont val="Calibri"/>
        <family val="2"/>
      </rPr>
      <t>RBRA N2 action 2:</t>
    </r>
    <r>
      <rPr>
        <sz val="10"/>
        <color theme="1"/>
        <rFont val="Calibri"/>
        <family val="2"/>
      </rPr>
      <t xml:space="preserve"> Defra will implement priority pathway action plans and contingency plans and keep them up to date with changes in evidence, governance and legislation by 2030 to prevent the introduction or spread of INNS described in Action 1.
</t>
    </r>
    <r>
      <rPr>
        <b/>
        <sz val="10"/>
        <color theme="1"/>
        <rFont val="Calibri"/>
        <family val="2"/>
      </rPr>
      <t xml:space="preserve">RBRA N2 action 3: </t>
    </r>
    <r>
      <rPr>
        <sz val="10"/>
        <color theme="1"/>
        <rFont val="Calibri"/>
        <family val="2"/>
      </rPr>
      <t xml:space="preserve">The INNS Inspectorate and Animal and Plant Health Agency will continue to inspect at the border and post-border, to prevent the introduction and establishment of new INNS identified in Action 1, through to 2030 in line with the GB INNS Strategy.
</t>
    </r>
    <r>
      <rPr>
        <b/>
        <sz val="10"/>
        <color theme="1"/>
        <rFont val="Calibri"/>
        <family val="2"/>
      </rPr>
      <t>RBRA N2 action 4:</t>
    </r>
    <r>
      <rPr>
        <sz val="10"/>
        <color theme="1"/>
        <rFont val="Calibri"/>
        <family val="2"/>
      </rPr>
      <t xml:space="preserve"> Defra will continue to develop and maintain an effective INNS surveillance, early detection and monitoring mechanism through the NAP3 implementation period and beyond, to prevent the introduction, establishment or minimise the impacts of INNS identified in Action 1.
</t>
    </r>
    <r>
      <rPr>
        <b/>
        <sz val="10"/>
        <color theme="1"/>
        <rFont val="Calibri"/>
        <family val="2"/>
      </rPr>
      <t xml:space="preserve">NAP3 p.57: </t>
    </r>
    <r>
      <rPr>
        <sz val="10"/>
        <color theme="1"/>
        <rFont val="Calibri"/>
        <family val="2"/>
      </rPr>
      <t>Monitoring and surveillance of species populations is also essential to inform adaptive action. For example, it can help to inform a proactive approach to managing pests, pathogens and invasive non-native species. Defra, the Animal and Plant Health Agency, and the Centre for Environment, Fisheries and Aquaculture Science will: identify aquatic pathogens and INNS which are likely to establish self sustaining populations or increase in distribution and/or impact due to climate change or are likely to exacerbate climate-related pressures; continue to develop biosecurity, contingency and rapid response plans to support the prevention, rapid eradication, management and control of priority pathogens and INNS, such as actions under the Great Britain INNS Strategy 2023-2030 on monitoring, surveillance and horizon scanning; develop and use Pathway Action Plans for priority pathways to guide actions with stakeholders and user groups to limit the spread of INNS. Pathways are the routes and mechanisms for the introduction and spread of INNS. Some pathways are ranked as higher risk as they have the potential to introduce greater numbers of high-impact INNS.
This will inform: the continued improvement of biosecurity, contingency and rapid response plans for priority climate-assisted aquatic pests, pathogens and INNS; the regular updating of the list of species of special concern established by the retained Invasive Alien Species Regulation, keeping strict regulations and restrictions on their breeding, transport, sale, use or exchange up to date.</t>
    </r>
  </si>
  <si>
    <t xml:space="preserve">A number of actions that demonstrate intent to increase monitoring etc. which meet the CCRA ask. </t>
  </si>
  <si>
    <t>Defra 
INNS Inspectorate &amp; Animal and Plant Health Agency
Centre for Environment, Fisheries and Aquaculture Science</t>
  </si>
  <si>
    <t>N02.2</t>
  </si>
  <si>
    <t>Increased horizon scanning for INNS and improved coordination with international pest risk surveillance organisations would help the UK to manage risks associated with changes in the post EU-exit trade portfolio and projected climate changes - Government investment in information on pests and pathogens.</t>
  </si>
  <si>
    <r>
      <rPr>
        <b/>
        <sz val="10"/>
        <color theme="1"/>
        <rFont val="Calibri"/>
        <family val="2"/>
      </rPr>
      <t xml:space="preserve">RBRA N2 action 5: </t>
    </r>
    <r>
      <rPr>
        <sz val="10"/>
        <color theme="1"/>
        <rFont val="Calibri"/>
        <family val="2"/>
      </rPr>
      <t xml:space="preserve">Defra will continue to regulate, where appropriate, the keeping, breeding, transportation, selling, use or exchange, reproduction, growth, cultivation, or release of INNS that pose the most significant risk through to 2030. The list of species of special concern will be reviewed every 6 years. This will minimise the risk of establishment and spread of INNS identified in Action 1.
</t>
    </r>
    <r>
      <rPr>
        <b/>
        <sz val="10"/>
        <color theme="1"/>
        <rFont val="Calibri"/>
        <family val="2"/>
      </rPr>
      <t xml:space="preserve">NAP3 p.57: </t>
    </r>
    <r>
      <rPr>
        <sz val="10"/>
        <color theme="1"/>
        <rFont val="Calibri"/>
        <family val="2"/>
      </rPr>
      <t>Monitoring and surveillance of species populations is also essential to inform adaptive action. For example, it can help to inform a proactive approach to managing pests, pathogens and invasive non-native species. Defra, the Animal and Plant Health Agency, and the Centre for Environment, Fisheries and Aquaculture Science will: identify aquatic pathogens and INNS which are likely to establish self sustaining populations or increase in distribution and/or impact due to climate change or are likely to exacerbate climate-related pressures; continue to develop biosecurity, contingency and rapid response plans to support the prevention, rapid eradication, management and control of priority pathogens and INNS, such as actions under the Great Britain INNS Strategy 2023-2030 on monitoring, surveillance and horizon scanning; develop and use Pathway Action Plans for priority pathways to guide actions with stakeholders and user groups to limit the spread of INNS. Pathways are the routes and mechanisms for the introduction and spread of INNS. Some pathways are ranked as higher risk as they have the potential to introduce greater numbers of high-impact INNS.
This will inform: the continued improvement of biosecurity, contingency and rapid response plans for priority climate-assisted aquatic pests, pathogens and INNS; the regular updating of the list of species of special concern established by the retained Invasive Alien Species Regulation, keeping strict regulations and restrictions on their breeding, transport, sale, use or exchange up to date.</t>
    </r>
  </si>
  <si>
    <t>Actions consider the UK context but limited reference to international cooperation or horizon scanning.</t>
  </si>
  <si>
    <t>N02.3</t>
  </si>
  <si>
    <t>Further research on the likely responses and resilience of native species and habitats to pest and pathogen risks, and adaptation options to manage these risks, will help inform suitable adaptation decisions.</t>
  </si>
  <si>
    <r>
      <rPr>
        <b/>
        <sz val="10"/>
        <color theme="1"/>
        <rFont val="Calibri"/>
        <family val="2"/>
      </rPr>
      <t>RBRA N2 action 6:</t>
    </r>
    <r>
      <rPr>
        <sz val="10"/>
        <color theme="1"/>
        <rFont val="Calibri"/>
        <family val="2"/>
      </rPr>
      <t xml:space="preserve"> Defra will continue to instigate and carry out eradications of GB priority INNS, using risk analysis methods (including risk assessment and risk management criteria that consider, for example, the potential impact of species and the feasibility of management) to identify and prioritise species. This will be supported by actions in the GB INNS Strategy through to 2030.
</t>
    </r>
    <r>
      <rPr>
        <b/>
        <sz val="10"/>
        <color theme="1"/>
        <rFont val="Calibri"/>
        <family val="2"/>
      </rPr>
      <t xml:space="preserve">NAP3 Chapter 3: </t>
    </r>
    <r>
      <rPr>
        <sz val="10"/>
        <color theme="1"/>
        <rFont val="Calibri"/>
        <family val="2"/>
      </rPr>
      <t>does not address this action.</t>
    </r>
  </si>
  <si>
    <t>Recognition of the impacts on native species and habitats but the actions do not meet the CCRA ask.</t>
  </si>
  <si>
    <t>N02.4</t>
  </si>
  <si>
    <t>Further research on the implications of projected climate changes within the context of potential changes in trade and other drivers would help understand the primary drivers of future change and plan adaptations appropriately.</t>
  </si>
  <si>
    <r>
      <rPr>
        <b/>
        <sz val="10"/>
        <color theme="1"/>
        <rFont val="Calibri"/>
        <family val="2"/>
      </rPr>
      <t xml:space="preserve">RBRA N2 action 9: </t>
    </r>
    <r>
      <rPr>
        <sz val="10"/>
        <color theme="1"/>
        <rFont val="Calibri"/>
        <family val="2"/>
      </rPr>
      <t xml:space="preserve">Defra will continue to improve and incorporate climate change scenarios in species risk assessments and other evidence bases up to 2030 to improve our understanding of the impacts of INNS under different climate change scenarios.
</t>
    </r>
    <r>
      <rPr>
        <b/>
        <sz val="10"/>
        <color theme="1"/>
        <rFont val="Calibri"/>
        <family val="2"/>
      </rPr>
      <t xml:space="preserve">NAP3 Chapter 3: </t>
    </r>
    <r>
      <rPr>
        <sz val="10"/>
        <color theme="1"/>
        <rFont val="Calibri"/>
        <family val="2"/>
      </rPr>
      <t>does not address this action.</t>
    </r>
  </si>
  <si>
    <t>No actions in NAP3 were identified that fulfilled this ask.</t>
  </si>
  <si>
    <t>N02.5</t>
  </si>
  <si>
    <t>More integrated cross sector policy initiatives, e.g., across agriculture, forestry, natural environment and human health, to implement good practices and share tools and resources.</t>
  </si>
  <si>
    <r>
      <rPr>
        <b/>
        <sz val="10"/>
        <color theme="1"/>
        <rFont val="Calibri"/>
        <family val="2"/>
      </rPr>
      <t xml:space="preserve">RBRA N2: </t>
    </r>
    <r>
      <rPr>
        <sz val="10"/>
        <color theme="1"/>
        <rFont val="Calibri"/>
        <family val="2"/>
      </rPr>
      <t xml:space="preserve">does not address this action.
</t>
    </r>
    <r>
      <rPr>
        <b/>
        <sz val="10"/>
        <color theme="1"/>
        <rFont val="Calibri"/>
        <family val="2"/>
      </rPr>
      <t>NAP3 Chapter 3:</t>
    </r>
    <r>
      <rPr>
        <sz val="10"/>
        <color theme="1"/>
        <rFont val="Calibri"/>
        <family val="2"/>
      </rPr>
      <t xml:space="preserve"> does not address this action.</t>
    </r>
  </si>
  <si>
    <t>No clear mention of specific cross sector policies in either the RBRA or NAP3.</t>
  </si>
  <si>
    <t>N03.1</t>
  </si>
  <si>
    <t>Ensure join up of adaptation actions/policies with Net Zero mitigation policies.</t>
  </si>
  <si>
    <r>
      <rPr>
        <b/>
        <sz val="10"/>
        <color theme="1"/>
        <rFont val="Calibri"/>
        <family val="2"/>
      </rPr>
      <t>RBRA N3:</t>
    </r>
    <r>
      <rPr>
        <sz val="10"/>
        <color theme="1"/>
        <rFont val="Calibri"/>
        <family val="2"/>
      </rPr>
      <t xml:space="preserve"> does not address this action.
</t>
    </r>
    <r>
      <rPr>
        <b/>
        <sz val="10"/>
        <color theme="1"/>
        <rFont val="Calibri"/>
        <family val="2"/>
      </rPr>
      <t>NAP3 p.50:</t>
    </r>
    <r>
      <rPr>
        <sz val="10"/>
        <color theme="1"/>
        <rFont val="Calibri"/>
        <family val="2"/>
      </rPr>
      <t xml:space="preserve"> Agriculture Act (2020) – provides the powers for the new Environmental Land Management schemes (ELMs), which support farmers to deliver ‘public goods’ such as clean water and biodiversity-rich habitats. These in turn support the foundations of food production in the long term, as set out in the Food Strategy, which describes our ambition to maintain production at current levels, where we produce domestically 60% by value of all the food we need. The government backs British farmers and has committed to maintain the farming budget at an average £2.4 billion per year (in England) over the life of this Parliament. Through support, including ELM schemes and the Water Management Grant under the Farming Investment Fund, Defra will support adaptation actions such as: incentivising farmers to use sustainable agriculture methods; supporting agroforestry and integrated pest management; and managing risks to agriculture such as drought through infarm water storage.
Fisheries Act (2020) – includes aims for sustainable fisheries, precautionary harvesting of fish stocks, and reducing the impacts of, and adapt to, climate change to ensure a productive and resilient fisheries sector for the future. The first six fisheries management plans cover species such as crab, lobster, and seabass. The Joint Fisheries Statement commits the government to publish five of the plans by the end of 2023, and a sixth in 2024.
Environment Act (2021) – provides a framework for the development of long-term, legally binding environmental targets, including those set out in the government’s Environmental Improvement Plan (EIP) 2023.</t>
    </r>
  </si>
  <si>
    <t xml:space="preserve">Several examples in NAP3 of policies that aim to address both adapting to climate and reduce impacts of climate (mitigation) but limited evidence to demonstrate the assurance of policies joining up to consider both aspects of climate change. No specific actions within the RBRA. </t>
  </si>
  <si>
    <t>N03.2</t>
  </si>
  <si>
    <t xml:space="preserve">Investigate the potential adaptation opportunities, the potential size of which not well characterised, and consider what steps might be needed to help realise the most important opportunities.  </t>
  </si>
  <si>
    <r>
      <rPr>
        <b/>
        <sz val="10"/>
        <color theme="1"/>
        <rFont val="Calibri"/>
        <family val="2"/>
      </rPr>
      <t>RBRA N3 action 2:</t>
    </r>
    <r>
      <rPr>
        <sz val="10"/>
        <color theme="1"/>
        <rFont val="Calibri"/>
        <family val="2"/>
      </rPr>
      <t xml:space="preserve"> Defra will continue to increase opportunities for the persistence and expansion of native threatened species, including those identified as vulnerable to climate change, through the NAP3 implementation period to 2028 and beyond.
</t>
    </r>
    <r>
      <rPr>
        <b/>
        <sz val="10"/>
        <color theme="1"/>
        <rFont val="Calibri"/>
        <family val="2"/>
      </rPr>
      <t xml:space="preserve">NAP3 p.60: </t>
    </r>
    <r>
      <rPr>
        <sz val="10"/>
        <color theme="1"/>
        <rFont val="Calibri"/>
        <family val="2"/>
      </rPr>
      <t xml:space="preserve">Defra will: develop an approach for marine net gain which, when implemented with work to maximise the opportunities from the Offshore Wind Environmental Improvement Package, will result in improved and expanded marine habitats.
</t>
    </r>
    <r>
      <rPr>
        <b/>
        <sz val="10"/>
        <color theme="1"/>
        <rFont val="Calibri"/>
        <family val="2"/>
      </rPr>
      <t>NAP3 p.61:</t>
    </r>
    <r>
      <rPr>
        <sz val="10"/>
        <color theme="1"/>
        <rFont val="Calibri"/>
        <family val="2"/>
      </rPr>
      <t xml:space="preserve"> Monitoring and surveillance activities are important for not only filling evidence gaps, but also informing an effective adaptive management, or dynamic, approach to managing marine and coastal habitats. This will improve our understanding of how
climate change is impacting marine ecosystems, helping to mitigate risks, but also support migrating species to maximise new opportunities. Defra will: continue actions under the Great Britain INNS Strategy 2023 to 2030 on monitoring, surveillance and horizon scanning to facilitate prevention, rapid eradication and management of priority INNS; gather evidence to support the development of climate specific targets and actions and consider them for inclusion in the next update to UK Marine Strategy, due at the end of 2024; improve our understanding of climate change impacts through the marine Natural Capital and Ecosystem Assessment programme (2022 to 2025), and the Marine Climate Change Impacts Partnership’s evidence reports that will be published by the end of 2023.
</t>
    </r>
    <r>
      <rPr>
        <b/>
        <sz val="10"/>
        <color theme="1"/>
        <rFont val="Calibri"/>
        <family val="2"/>
      </rPr>
      <t>NAP3 p.64:</t>
    </r>
    <r>
      <rPr>
        <sz val="10"/>
        <color theme="1"/>
        <rFont val="Calibri"/>
        <family val="2"/>
      </rPr>
      <t xml:space="preserve"> The government will provide the guidance, platforms and opportunities to coordinate and align actions for an integrated approach to coastal, marine and fisheries management. This includes: supporting investment in skills, equipment and data collection which will help commercial fisheries and aquaculture to take advantage of opportunities created by climate change, such as warm-water species moving into UK waters, through the UK Seafood Scheme and England’s Fisheries and Seafood Scheme. Funding for this scheme, is available to March 2025.</t>
    </r>
  </si>
  <si>
    <t>The actions go some way to meeting the CCRA ask, but do not all demonstrate a full investigation into the potential opportunities from adaptation, or consideration of next steps.</t>
  </si>
  <si>
    <t>N04.1</t>
  </si>
  <si>
    <t>An integrated land use policy linking agricultural and forestry productivity with measures that improve soil health and resilience based upon good knowledge of the potential of different soil types and their key functions. The basis for such a response can be recognised in current developments such as ELM in England, the Land Use Strategy for Scotland, the SPEP and CSCP initiatives in Wales, and the Sustainable Land Management Strategy for Northern Ireland. However, the evidence also indicates that having a primary objective to bring soils into sustainable condition in the next decade requires that these policy developments should be also expanded to include further integration of adaptation and mitigation strategies based upon long-term planning, including for ambitious land use policies such as woodland expansion and new bioenergy crops, based upon local soil properties.</t>
  </si>
  <si>
    <r>
      <rPr>
        <b/>
        <sz val="10"/>
        <color theme="1"/>
        <rFont val="Calibri"/>
        <family val="2"/>
      </rPr>
      <t>RBRA N4 action 1:</t>
    </r>
    <r>
      <rPr>
        <sz val="10"/>
        <color theme="1"/>
        <rFont val="Calibri"/>
        <family val="2"/>
      </rPr>
      <t xml:space="preserve"> Defra will establish soil monitoring schemes by spring 2024, collect robust baseline data of soil health across all land use types in England to measure and monitor soil health and inform targeted interventions and land management practices by 2028.
</t>
    </r>
    <r>
      <rPr>
        <b/>
        <sz val="10"/>
        <color theme="1"/>
        <rFont val="Calibri"/>
        <family val="2"/>
      </rPr>
      <t>RBRA N4 action 2:</t>
    </r>
    <r>
      <rPr>
        <sz val="10"/>
        <color theme="1"/>
        <rFont val="Calibri"/>
        <family val="2"/>
      </rPr>
      <t xml:space="preserve"> Defra will begin a regulatory baseline review on existing domestic legislation for soil health in 2023 to understand the scope and impact of existing regulations and where further regulatory cover may be required.
</t>
    </r>
    <r>
      <rPr>
        <b/>
        <sz val="10"/>
        <color theme="1"/>
        <rFont val="Calibri"/>
        <family val="2"/>
      </rPr>
      <t xml:space="preserve">RBRA N4 action 6: </t>
    </r>
    <r>
      <rPr>
        <sz val="10"/>
        <color theme="1"/>
        <rFont val="Calibri"/>
        <family val="2"/>
      </rPr>
      <t xml:space="preserve">Defra will continue to conduct additional research on new technologies and innovations that could help improve the resilience of all soil and land use types from climate change impacts and prevent future soil contamination through the NAP3 implementation period and beyond.
</t>
    </r>
    <r>
      <rPr>
        <b/>
        <sz val="10"/>
        <color theme="1"/>
        <rFont val="Calibri"/>
        <family val="2"/>
      </rPr>
      <t xml:space="preserve">GRPR Recommendation 2: </t>
    </r>
    <r>
      <rPr>
        <sz val="10"/>
        <color theme="1"/>
        <rFont val="Calibri"/>
        <family val="2"/>
      </rPr>
      <t xml:space="preserve">The planned Land Use Framework will consider how multifunctional, resilient, and productive landscapes can support multiple outcomes, recognising the importance of natural capital.  The Framework document will be supported by spatial evidence and analysis to help make the most of our diverse natural capital across the landscapes of England.
</t>
    </r>
    <r>
      <rPr>
        <b/>
        <sz val="10"/>
        <color theme="1"/>
        <rFont val="Calibri"/>
        <family val="2"/>
      </rPr>
      <t>GRPR Recommendation 18:</t>
    </r>
    <r>
      <rPr>
        <sz val="10"/>
        <color theme="1"/>
        <rFont val="Calibri"/>
        <family val="2"/>
      </rPr>
      <t xml:space="preserve"> The third National Adaptation Programme reiterated that climate adaptation is a priority for the new farming schemes. The government is building adaptation into the policy design of the Environment Land Management (ELM) schemes.
</t>
    </r>
    <r>
      <rPr>
        <b/>
        <sz val="10"/>
        <color theme="1"/>
        <rFont val="Calibri"/>
        <family val="2"/>
      </rPr>
      <t xml:space="preserve">GRPR Recommendation 27: </t>
    </r>
    <r>
      <rPr>
        <sz val="10"/>
        <color theme="1"/>
        <rFont val="Calibri"/>
        <family val="2"/>
      </rPr>
      <t xml:space="preserve">Under the EIP, Defra has committed to bring at least 40% of agricultural soils into sustainable management through our farming schemes by 2028. Healthy soil is vital for food production, water regulation, biodiversity, and carbon storage, 
whilst being resilient to disturbances including flooding and drought. By linking to our farming schemes, we can tangibly measure against the uptake of actions that improve soil health. 
</t>
    </r>
    <r>
      <rPr>
        <b/>
        <sz val="10"/>
        <color theme="1"/>
        <rFont val="Calibri"/>
        <family val="2"/>
      </rPr>
      <t>NAP3 p.68:</t>
    </r>
    <r>
      <rPr>
        <sz val="10"/>
        <color theme="1"/>
        <rFont val="Calibri"/>
        <family val="2"/>
      </rPr>
      <t xml:space="preserve"> provide a methodology and tools to collect consistent information about the health of the soil under all land uses and continue to research new technologies and innovations that could help improve the climate resilience of all soil and prevent future soil contamination.</t>
    </r>
  </si>
  <si>
    <t>Actions largely meet the ask through the planned Land Use Framework and other monitoring schemes.</t>
  </si>
  <si>
    <t>N04.2</t>
  </si>
  <si>
    <t xml:space="preserve">Improved support for land managers in terms of access to benchmarking data and advice on how to improve soil health outcomes consistent with improved use of public payments to soil health tracking and outcomes. This could result in an improved connection of land managers back to their soil and therefore encourage more bottom-up adaptation initiatives based on different local contexts. </t>
  </si>
  <si>
    <r>
      <rPr>
        <b/>
        <sz val="10"/>
        <color theme="1"/>
        <rFont val="Calibri"/>
        <family val="2"/>
      </rPr>
      <t xml:space="preserve">RBRA N4: </t>
    </r>
    <r>
      <rPr>
        <sz val="10"/>
        <color theme="1"/>
        <rFont val="Calibri"/>
        <family val="2"/>
      </rPr>
      <t xml:space="preserve">does not address this action.
</t>
    </r>
    <r>
      <rPr>
        <b/>
        <sz val="10"/>
        <color theme="1"/>
        <rFont val="Calibri"/>
        <family val="2"/>
      </rPr>
      <t xml:space="preserve">NAP3 p.67: </t>
    </r>
    <r>
      <rPr>
        <sz val="10"/>
        <color theme="1"/>
        <rFont val="Calibri"/>
        <family val="2"/>
      </rPr>
      <t xml:space="preserve">Having effective policy responses that are an efficient use of resources will depend on understanding the way climate change will affect soil health and agricultural productivity in the future. Defra will: establish a healthy soil indicator under the 25 Year Environment Plan Outcome Indicator Framework, which will be used to build a robust baseline and inform land management actions that increase climate resilience.
</t>
    </r>
    <r>
      <rPr>
        <b/>
        <sz val="10"/>
        <color theme="1"/>
        <rFont val="Calibri"/>
        <family val="2"/>
      </rPr>
      <t>GRPR Recommendation 27:</t>
    </r>
    <r>
      <rPr>
        <sz val="10"/>
        <color theme="1"/>
        <rFont val="Calibri"/>
        <family val="2"/>
      </rPr>
      <t xml:space="preserve"> Under the EIP, Defra has committed to bring at least 40% of agricultural soils into sustainable management through our farming schemes by 2028. Healthy soil is vital for food production, water regulation, biodiversity, and carbon storage, 
whilst being resilient to disturbances including flooding and drought. By linking to our farming schemes, we can tangibly measure against the uptake of actions that improve soil health. </t>
    </r>
  </si>
  <si>
    <t>ELMs</t>
  </si>
  <si>
    <t>Action provides some increased support in terms of soil health indicators, but does not meet the full ask to support use of benchmarking etc. Further information may be present within ELMs but that is outside the scope of this assessment.</t>
  </si>
  <si>
    <t>N04.3</t>
  </si>
  <si>
    <t>Need for more comprehensive soil monitoring to help better understand spatial and temporal variability in soil properties and process in the context of both climate and non-climate drivers.</t>
  </si>
  <si>
    <r>
      <rPr>
        <b/>
        <sz val="10"/>
        <color theme="1"/>
        <rFont val="Calibri"/>
        <family val="2"/>
      </rPr>
      <t>RBRA N4 action 1:</t>
    </r>
    <r>
      <rPr>
        <sz val="10"/>
        <color theme="1"/>
        <rFont val="Calibri"/>
        <family val="2"/>
      </rPr>
      <t xml:space="preserve"> Defra will establish soil monitoring schemes by spring 2024, collect robust baseline data of soil health across all land use types in England to measure and monitor soil health and inform targeted interventions and land management practices by 2028.
</t>
    </r>
    <r>
      <rPr>
        <b/>
        <sz val="10"/>
        <color theme="1"/>
        <rFont val="Calibri"/>
        <family val="2"/>
      </rPr>
      <t xml:space="preserve">NAP3 p.66: </t>
    </r>
    <r>
      <rPr>
        <sz val="10"/>
        <color theme="1"/>
        <rFont val="Calibri"/>
        <family val="2"/>
      </rPr>
      <t>We will support farmers and land managers in establishing their own soil health baseline so they can best manage the health of their soil. [In reference to ELMs].</t>
    </r>
  </si>
  <si>
    <t>Action largely meets the CCRA ask. Further information may be present within ELMs but that is outside the scope of this assessment.</t>
  </si>
  <si>
    <t>N04.4</t>
  </si>
  <si>
    <t>Further development of appropriate indicator metrics based upon monitoring data to measure progress and inform policy, define regulatory requirements and engage with land managers and other stakeholders. Although soil quality indicators are often proposed to assess the delivery of soil ecosystem services, more research is required to better understand the most appropriate suite of indicators and to identify baseline and target levels for use in regulation. Indicators also need to be able to be measured regularly and efficiently in the field without recourse to more detailed lab analysis, but this can be difficult because of the need for standardisation and consistency of procedures.</t>
  </si>
  <si>
    <r>
      <rPr>
        <b/>
        <sz val="10"/>
        <color theme="1"/>
        <rFont val="Calibri"/>
        <family val="2"/>
      </rPr>
      <t xml:space="preserve">RBRA N4: </t>
    </r>
    <r>
      <rPr>
        <sz val="10"/>
        <color theme="1"/>
        <rFont val="Calibri"/>
        <family val="2"/>
      </rPr>
      <t xml:space="preserve">does not address this action.
</t>
    </r>
    <r>
      <rPr>
        <b/>
        <sz val="10"/>
        <color theme="1"/>
        <rFont val="Calibri"/>
        <family val="2"/>
      </rPr>
      <t>NAP3 p.67:</t>
    </r>
    <r>
      <rPr>
        <sz val="10"/>
        <color theme="1"/>
        <rFont val="Calibri"/>
        <family val="2"/>
      </rPr>
      <t xml:space="preserve"> Having effective policy responses that are an efficient use of resources will depend on understanding the way climate change will affect soil health and agricultural productivity in the future. Defra will: establish a healthy soil indicator under the 25 Year Environment Plan Outcome Indicator Framework, which will be used to build a robust baseline and inform land management actions that increase climate resilience.</t>
    </r>
  </si>
  <si>
    <t>25 Year Environment Plan</t>
  </si>
  <si>
    <t>Action will support in development of an indicator but does not indicate further investigation to address the specific ask within CCRA3.</t>
  </si>
  <si>
    <t>N04.5</t>
  </si>
  <si>
    <t>Development and increased uptake of precision farming technology, which can also link climate-smart adaptation actions on the ground with the Net Zero agenda. Support for such strategies may require additional spatial targeting to be consistent with local variations in soil properties, hence the added value of integrating with improved soil monitoring.</t>
  </si>
  <si>
    <r>
      <rPr>
        <b/>
        <sz val="10"/>
        <color theme="1"/>
        <rFont val="Calibri"/>
        <family val="2"/>
      </rPr>
      <t xml:space="preserve">RBRA N4: </t>
    </r>
    <r>
      <rPr>
        <sz val="10"/>
        <color theme="1"/>
        <rFont val="Calibri"/>
        <family val="2"/>
      </rPr>
      <t xml:space="preserve">does not address this action.
</t>
    </r>
    <r>
      <rPr>
        <b/>
        <sz val="10"/>
        <color theme="1"/>
        <rFont val="Calibri"/>
        <family val="2"/>
      </rPr>
      <t>NAP3 Chapter 3:</t>
    </r>
    <r>
      <rPr>
        <sz val="10"/>
        <color theme="1"/>
        <rFont val="Calibri"/>
        <family val="2"/>
      </rPr>
      <t xml:space="preserve"> does not address this action.
</t>
    </r>
  </si>
  <si>
    <t>No reference to precision farming in either the RBRA or NAP3.</t>
  </si>
  <si>
    <t>N04.6</t>
  </si>
  <si>
    <t xml:space="preserve">Improved risk management for spoil tips and contaminated land, and this issue requires further emphasis. A variety of engineering solutions may be applied (e.g., improved drainage of spoil heaps to avoid soil saturation) but there is also further scope for use of nature-based solutions such as phytoremediation and tree-planting to enhance slope stability, although these will take time and they require a more proactive rather than reactive approach. </t>
  </si>
  <si>
    <r>
      <rPr>
        <b/>
        <sz val="10"/>
        <color theme="1"/>
        <rFont val="Calibri"/>
        <family val="2"/>
      </rPr>
      <t>RBRA N4 action 6:</t>
    </r>
    <r>
      <rPr>
        <sz val="10"/>
        <color theme="1"/>
        <rFont val="Calibri"/>
        <family val="2"/>
      </rPr>
      <t xml:space="preserve"> Defra will continue to conduct additional research on new technologies and innovations that could help improve the resilience of all soil and land use types from climate change impacts and prevent future soil contamination through the NAP3 implementation period and beyond.</t>
    </r>
    <r>
      <rPr>
        <b/>
        <sz val="10"/>
        <color theme="1"/>
        <rFont val="Calibri"/>
        <family val="2"/>
      </rPr>
      <t xml:space="preserve">
RBRA N4 action 7: </t>
    </r>
    <r>
      <rPr>
        <sz val="10"/>
        <color theme="1"/>
        <rFont val="Calibri"/>
        <family val="2"/>
      </rPr>
      <t xml:space="preserve">Defra will begin developing a Soil Re-Use and Storage Depot scheme to help prevent soil that would otherwise be classified as waste going to landfill and encourage remediation and re-use of soil. Piloting will start by 2026.
</t>
    </r>
    <r>
      <rPr>
        <b/>
        <sz val="10"/>
        <color theme="1"/>
        <rFont val="Calibri"/>
        <family val="2"/>
      </rPr>
      <t>NAP3 p.68:</t>
    </r>
    <r>
      <rPr>
        <sz val="10"/>
        <color theme="1"/>
        <rFont val="Calibri"/>
        <family val="2"/>
      </rPr>
      <t xml:space="preserve"> provide a methodology and tools to collect consistent information about the health of the soil under all land uses and continue to research new technologies and innovations that could help improve the climate resilience of all soil and prevent future soil contamination.</t>
    </r>
  </si>
  <si>
    <t>Recognition of contaminated soils as an issue and action to prevent further contamination, but no direct actions to improve risk management for current contaminations.</t>
  </si>
  <si>
    <t>N05.1</t>
  </si>
  <si>
    <t>A more spatially-targeted strategy for land use change initiatives is highly likely to deliver greater benefits for net GHG balance than an untargeted approach. For example, peatland restoration in areas that will continue to have a cooler, wetter climate and avoiding afforestation with exotic conifers on wetter organic soils (which will require artificial drainage) or afforestation on drier drought-prone soils would help to maximise carbon gains in the required timeframe.</t>
  </si>
  <si>
    <r>
      <rPr>
        <b/>
        <sz val="10"/>
        <color theme="1"/>
        <rFont val="Calibri"/>
        <family val="2"/>
      </rPr>
      <t>(Blue carbon) RBRA N5:</t>
    </r>
    <r>
      <rPr>
        <sz val="10"/>
        <color theme="1"/>
        <rFont val="Calibri"/>
        <family val="2"/>
      </rPr>
      <t xml:space="preserve"> does not address this action.
</t>
    </r>
    <r>
      <rPr>
        <b/>
        <sz val="10"/>
        <color theme="1"/>
        <rFont val="Calibri"/>
        <family val="2"/>
      </rPr>
      <t>(Forestry) RBRA N5 action 9:</t>
    </r>
    <r>
      <rPr>
        <sz val="10"/>
        <color theme="1"/>
        <rFont val="Calibri"/>
        <family val="2"/>
      </rPr>
      <t xml:space="preserve"> Defra and the FC will improve inter-annual monitoring of tree growth rates and consider more frequent reporting of woodland condition and tree mortality. With this information on impacts and further analysis, data for woodland wildfire, wind damage and inter-annual variation in growth rates could directly measure the impacts of climate change on our natural carbon stores. Defra will review the monitoring programmes in March 2025 to determine how to develop them further.
</t>
    </r>
    <r>
      <rPr>
        <b/>
        <sz val="10"/>
        <color theme="1"/>
        <rFont val="Calibri"/>
        <family val="2"/>
      </rPr>
      <t>(Peatlands) RBRA N5 action 3:</t>
    </r>
    <r>
      <rPr>
        <sz val="10"/>
        <color theme="1"/>
        <rFont val="Calibri"/>
        <family val="2"/>
      </rPr>
      <t xml:space="preserve"> Defra will enable the responsible management of lowland peatlands and explore the feasibility of better water management for the purposes of carbon abatement. The programme will be developed through the NAP3 implementation period.
NAP3 p.65: The information gathered through research and monitoring will be used to develop products and plans, build capacity, and help stakeholders and government make better informed decisions. These include: the new England Peat Map, which will be published by 2024, and the Peat Restoration Register, will mean our actions are based on up-to-date data.
</t>
    </r>
    <r>
      <rPr>
        <b/>
        <sz val="10"/>
        <color theme="1"/>
        <rFont val="Calibri"/>
        <family val="2"/>
      </rPr>
      <t xml:space="preserve">GRPR Recommendation 2: </t>
    </r>
    <r>
      <rPr>
        <sz val="10"/>
        <color theme="1"/>
        <rFont val="Calibri"/>
        <family val="2"/>
      </rPr>
      <t>The planned Land Use Framework will consider how multifunctional, resilient, and productive landscapes can support multiple outcomes, recognising the importance of natural capital. The Framework document will be supported by spatial evidence and analysis to help make the most of our diverse natural capital across the landscapes of England.</t>
    </r>
  </si>
  <si>
    <t>Some actions provided in NAP3 to address the ask. Potential that the Land Use Framework may cover aspects also.</t>
  </si>
  <si>
    <t>Defra (blue carbon, forestry &amp; peatlands)</t>
  </si>
  <si>
    <t>N/A (blue carbon)
Defra &amp; Forestry Commission (forestry)
Defra (peatlands)</t>
  </si>
  <si>
    <t>N05.2</t>
  </si>
  <si>
    <t>Improved targeting of appropriate land management schemes based upon their applicability across the wider range of soil types and climate parameters would seem to provide considerable advantages for soil carbon gains.</t>
  </si>
  <si>
    <r>
      <rPr>
        <b/>
        <sz val="10"/>
        <color theme="1"/>
        <rFont val="Calibri"/>
        <family val="2"/>
      </rPr>
      <t>(Blue carbon) RBRA N5:</t>
    </r>
    <r>
      <rPr>
        <sz val="10"/>
        <color theme="1"/>
        <rFont val="Calibri"/>
        <family val="2"/>
      </rPr>
      <t xml:space="preserve"> does not address this action.
</t>
    </r>
    <r>
      <rPr>
        <b/>
        <sz val="10"/>
        <color theme="1"/>
        <rFont val="Calibri"/>
        <family val="2"/>
      </rPr>
      <t xml:space="preserve">(Forestry) RBRA N5 action 3: </t>
    </r>
    <r>
      <rPr>
        <sz val="10"/>
        <color theme="1"/>
        <rFont val="Calibri"/>
        <family val="2"/>
      </rPr>
      <t>Defra and the FC will ensure new woodlands have current and future climate conditions considered in their design and species choice. Grant applications for new woodland will be evaluated by 2028 to assess progress against this action.</t>
    </r>
    <r>
      <rPr>
        <b/>
        <sz val="10"/>
        <color theme="1"/>
        <rFont val="Calibri"/>
        <family val="2"/>
      </rPr>
      <t xml:space="preserve">
(Forestry) RBRA N5 action 8: </t>
    </r>
    <r>
      <rPr>
        <sz val="10"/>
        <color theme="1"/>
        <rFont val="Calibri"/>
        <family val="2"/>
      </rPr>
      <t xml:space="preserve">Defra will use climate risk forecasts to inform net zero woodland creation policies, so that tree planting is spatially targeted to account for climate risk. This will be implemented in the post-Nature for Climate Fund forestry policies, including urban tree cover, by 2026.
</t>
    </r>
    <r>
      <rPr>
        <b/>
        <sz val="10"/>
        <color theme="1"/>
        <rFont val="Calibri"/>
        <family val="2"/>
      </rPr>
      <t>(Peatlands) RBRA N5 action 2:</t>
    </r>
    <r>
      <rPr>
        <sz val="10"/>
        <color theme="1"/>
        <rFont val="Calibri"/>
        <family val="2"/>
      </rPr>
      <t xml:space="preserve"> Defra will support the introduction and adoption of paludiculture to enable markets for products and convert farms to wetter farming, including exploring the possibilities of delivering this through Environmental Land Management schemes (ELMs). The implementation programme will be developed through the NAP3 implementation period.
</t>
    </r>
    <r>
      <rPr>
        <b/>
        <sz val="10"/>
        <color theme="1"/>
        <rFont val="Calibri"/>
        <family val="2"/>
      </rPr>
      <t xml:space="preserve">(Peatlands) RBRA N5 action 3: </t>
    </r>
    <r>
      <rPr>
        <sz val="10"/>
        <color theme="1"/>
        <rFont val="Calibri"/>
        <family val="2"/>
      </rPr>
      <t xml:space="preserve">Defra will enable the responsible management of lowland peatlands and explore the feasibility of better water management for the purposes of carbon abatement. The programme will be developed through the NAP3 implementation period.
</t>
    </r>
    <r>
      <rPr>
        <b/>
        <sz val="10"/>
        <color theme="1"/>
        <rFont val="Calibri"/>
        <family val="2"/>
      </rPr>
      <t xml:space="preserve">NAP3 p.67: </t>
    </r>
    <r>
      <rPr>
        <sz val="10"/>
        <color theme="1"/>
        <rFont val="Calibri"/>
        <family val="2"/>
      </rPr>
      <t>Having effective policy responses that are an efficient use of resources will depend on understanding the way climate change will affect soil health and agricultural productivity in the future. Defra will: establish a healthy soil indicator under the 25 Year Environment Plan Outcome Indicator Framework, which will be used to build a robust baseline and inform land management actions that increase climate resilience ...; provide a methodology and tools to collect consistent information about the health of the soil under all land uses and continue to research new technologies and innovations that could help improve the climate resilience of
all soil and prevent future soil contamination.</t>
    </r>
  </si>
  <si>
    <t>Largely meets the CCRA ask for agriculture and forestry.</t>
  </si>
  <si>
    <t>N05.3</t>
  </si>
  <si>
    <t>Improved data on changes in carbon stocks, especially in soils, as achieved through enhanced monitoring across diverse land use, management and climate combinations; carbon certification schemes may be valuable in providing some of these data as associated with the Woodland Carbon Code and Peatland Code.</t>
  </si>
  <si>
    <r>
      <rPr>
        <b/>
        <sz val="10"/>
        <color theme="1"/>
        <rFont val="Calibri"/>
        <family val="2"/>
      </rPr>
      <t xml:space="preserve">(Blue carbon) RBRA N5 action 3: </t>
    </r>
    <r>
      <rPr>
        <sz val="10"/>
        <color theme="1"/>
        <rFont val="Calibri"/>
        <family val="2"/>
      </rPr>
      <t xml:space="preserve">Defra will improve data gathering and monitoring to inform spatially targeted policy through the NAP3 implementation period, including through the marine Natural Capital and Ecosystem Assessment programme (2022 to 2025).
</t>
    </r>
    <r>
      <rPr>
        <b/>
        <sz val="10"/>
        <color theme="1"/>
        <rFont val="Calibri"/>
        <family val="2"/>
      </rPr>
      <t>(Forestry) RBRA N5 action 9:</t>
    </r>
    <r>
      <rPr>
        <sz val="10"/>
        <color theme="1"/>
        <rFont val="Calibri"/>
        <family val="2"/>
      </rPr>
      <t xml:space="preserve"> Defra and the FC will improve inter-annual monitoring of tree growth rates and consider more frequent reporting of woodland condition and tree mortality. With this information on impacts and further analysis, data for woodland wildfire, wind damage and inter-annual variation in growth rates could directly measure the impacts of climate change on our natural carbon stores. Defra will review the monitoring programmes in March 2025 to determine how to develop them further.
</t>
    </r>
    <r>
      <rPr>
        <b/>
        <sz val="10"/>
        <color theme="1"/>
        <rFont val="Calibri"/>
        <family val="2"/>
      </rPr>
      <t xml:space="preserve">(Peatlands) RBRA N5: </t>
    </r>
    <r>
      <rPr>
        <sz val="10"/>
        <color theme="1"/>
        <rFont val="Calibri"/>
        <family val="2"/>
      </rPr>
      <t xml:space="preserve">does not address this action.
</t>
    </r>
    <r>
      <rPr>
        <b/>
        <sz val="10"/>
        <color theme="1"/>
        <rFont val="Calibri"/>
        <family val="2"/>
      </rPr>
      <t>NAP3 p.63:</t>
    </r>
    <r>
      <rPr>
        <sz val="10"/>
        <color theme="1"/>
        <rFont val="Calibri"/>
        <family val="2"/>
      </rPr>
      <t xml:space="preserve"> The government also recognises the need to support the development of private finance markets to stimulate growth in this sector, through mechanisms such as the Peatland Code and Woodland Carbon Code. 
</t>
    </r>
    <r>
      <rPr>
        <b/>
        <sz val="10"/>
        <color theme="1"/>
        <rFont val="Calibri"/>
        <family val="2"/>
      </rPr>
      <t xml:space="preserve">NAP3 p.67: </t>
    </r>
    <r>
      <rPr>
        <sz val="10"/>
        <color theme="1"/>
        <rFont val="Calibri"/>
        <family val="2"/>
      </rPr>
      <t>Having effective policy responses that are an efficient use of resources will depend on understanding the way climate change will affect soil health and agricultural productivity in the future. Defra will: establish a healthy soil indicator under the 25 Year Environment Plan Outcome Indicator Framework, which will be used to build a robust baseline and inform land management actions that increase climate resilience ...; provide a methodology and tools to collect consistent information about the health of the soil under all land uses and continue to research new technologies and innovations that could help improve the climate resilience of
all soil and prevent future soil contamination.</t>
    </r>
  </si>
  <si>
    <t>Clear actions from Defra to support improved monitoring of soil health.</t>
  </si>
  <si>
    <t>Defra (blue carbon)
Defra &amp; Forestry Commission (forestry)
N/A (peatlands)</t>
  </si>
  <si>
    <t>N05.4</t>
  </si>
  <si>
    <t>Improved agricultural N-use efficiency and avoided air (N2O, NH3) and water pollution (NO3) as recently summarised through indicative analysis for the CCC (2020) Land Use Report.</t>
  </si>
  <si>
    <r>
      <rPr>
        <b/>
        <sz val="10"/>
        <color theme="1"/>
        <rFont val="Calibri"/>
        <family val="2"/>
      </rPr>
      <t>(Blue carbon) RBRA N5:</t>
    </r>
    <r>
      <rPr>
        <sz val="10"/>
        <color theme="1"/>
        <rFont val="Calibri"/>
        <family val="2"/>
      </rPr>
      <t xml:space="preserve"> does not address this action.
</t>
    </r>
    <r>
      <rPr>
        <b/>
        <sz val="10"/>
        <color theme="1"/>
        <rFont val="Calibri"/>
        <family val="2"/>
      </rPr>
      <t>(Forestry) RBRA N5:</t>
    </r>
    <r>
      <rPr>
        <sz val="10"/>
        <color theme="1"/>
        <rFont val="Calibri"/>
        <family val="2"/>
      </rPr>
      <t xml:space="preserve"> does not address this action.
</t>
    </r>
    <r>
      <rPr>
        <b/>
        <sz val="10"/>
        <color theme="1"/>
        <rFont val="Calibri"/>
        <family val="2"/>
      </rPr>
      <t>(Peatlands) RBRA N5 action 3:</t>
    </r>
    <r>
      <rPr>
        <sz val="10"/>
        <color theme="1"/>
        <rFont val="Calibri"/>
        <family val="2"/>
      </rPr>
      <t xml:space="preserve"> Defra will enable the responsible management of lowland peatlands and explore the feasibility of better water management for the purposes of carbon abatement. The programme will be developed through the NAP3 implementation period.
</t>
    </r>
    <r>
      <rPr>
        <b/>
        <sz val="10"/>
        <color theme="1"/>
        <rFont val="Calibri"/>
        <family val="2"/>
      </rPr>
      <t>NAP3 p.51:</t>
    </r>
    <r>
      <rPr>
        <sz val="10"/>
        <color theme="1"/>
        <rFont val="Calibri"/>
        <family val="2"/>
      </rPr>
      <t xml:space="preserve"> Environment Act (2021) – provides a framework for the development of long-term, legally binding environmental targets, including those set out in the government’s Environmental Improvement Plan (EIP) 2023, to: reduce nutrient and sediment pollution by 40% by 2038 and reduce phosphorus loadings from treated wastewater by 80% by 2038.</t>
    </r>
  </si>
  <si>
    <t>A broad reference to reducing nutrient and sediment pollution in NAP3. Expected to be addressed to an extent in other policies, such as ELMs, but evaluation of these was outside the scope of this assessment.</t>
  </si>
  <si>
    <t>N/A (blue carbon, forestry)
Defra (peatlands)</t>
  </si>
  <si>
    <t>N05.5</t>
  </si>
  <si>
    <t>Further development of integrated adaptation/mitigation initiatives will also require improved support and outreach for land managers in order to further encourage uptake and knowledge exchange on good management practice. Initiatives such as the Farm Advisory Services for each country and ‘Farming for a Better Climate’ in Scotland provide pathways to take forward this joint adaptation and mitigation approach.</t>
  </si>
  <si>
    <r>
      <rPr>
        <b/>
        <sz val="10"/>
        <color theme="1"/>
        <rFont val="Calibri"/>
        <family val="2"/>
      </rPr>
      <t>(Blue carbon) RBRA N5:</t>
    </r>
    <r>
      <rPr>
        <sz val="10"/>
        <color theme="1"/>
        <rFont val="Calibri"/>
        <family val="2"/>
      </rPr>
      <t xml:space="preserve"> does not address this action.
</t>
    </r>
    <r>
      <rPr>
        <b/>
        <sz val="10"/>
        <color theme="1"/>
        <rFont val="Calibri"/>
        <family val="2"/>
      </rPr>
      <t xml:space="preserve">(Forestry) RBRA N5 action 2: </t>
    </r>
    <r>
      <rPr>
        <sz val="10"/>
        <color theme="1"/>
        <rFont val="Calibri"/>
        <family val="2"/>
      </rPr>
      <t xml:space="preserve">Defra, the FC and Forestry Climate Change Partnership will continue upskilling the forestry sector’s understanding of climate change and measures to limit its impact through the NAP3 implementation period and beyond. This will ensure land managers have the information needed to implement adaptive measures, which will increase uptake of adaptation action, as evidenced by the British Woodland Survey.
</t>
    </r>
    <r>
      <rPr>
        <b/>
        <sz val="10"/>
        <color theme="1"/>
        <rFont val="Calibri"/>
        <family val="2"/>
      </rPr>
      <t xml:space="preserve">(Peatlands) RBRA N5 action 6: </t>
    </r>
    <r>
      <rPr>
        <sz val="10"/>
        <color theme="1"/>
        <rFont val="Calibri"/>
        <family val="2"/>
      </rPr>
      <t xml:space="preserve">The Home Office, supported by Defra, will scope out a Wildfire Strategy and Action Plan by mid-2024, reporting on the outcomes of the scoping exercise. Wildfire mitigation and risk management will be included in the heather and grass management code to be published in 2025. Defra will work with public and private sector land managers to develop wildfire management plans for 20,000 hectares of habitat by 2025. This will be supported by research programmes beginning from 2023. This action will reduce the risk of wildfires impacting on social, economic and environmental assets across the chapter themes of NAP3.
</t>
    </r>
    <r>
      <rPr>
        <b/>
        <sz val="10"/>
        <color theme="1"/>
        <rFont val="Calibri"/>
        <family val="2"/>
      </rPr>
      <t>NAP3 p.53:</t>
    </r>
    <r>
      <rPr>
        <sz val="10"/>
        <color theme="1"/>
        <rFont val="Calibri"/>
        <family val="2"/>
      </rPr>
      <t xml:space="preserve"> Environmental Land Management schemes Government support for farmers and land managers to take adaptation actions will come primarily through the ELMs. Climate adaptation is a priority and is being built into all Farming and Countryside Programme policy design.
</t>
    </r>
    <r>
      <rPr>
        <b/>
        <sz val="10"/>
        <color theme="1"/>
        <rFont val="Calibri"/>
        <family val="2"/>
      </rPr>
      <t>NAP3 p.68:</t>
    </r>
    <r>
      <rPr>
        <sz val="10"/>
        <color theme="1"/>
        <rFont val="Calibri"/>
        <family val="2"/>
      </rPr>
      <t xml:space="preserve"> Defra recognises that some groups will need support to adapt their business. Through various schemes such as the Future Farming Resilience Fund and the Adaptation Reporting Power (ARP), Defra will: provide free advice to help farmers to take adaptation actions for their businesses.</t>
    </r>
  </si>
  <si>
    <t>Farm Advisory Services</t>
  </si>
  <si>
    <t>Evidence of integration of mitigation and adaptation within policies, but not always alongside clear plans for support and outreach. Farm Advisory Services may fulfil some of the ask.</t>
  </si>
  <si>
    <t>N/A (blue carbon)
Defra, Forestry Commission &amp; Forestry Climate Change Partnership (forestry)
Home Office &amp; Defra (peatlands)</t>
  </si>
  <si>
    <t>N05.6</t>
  </si>
  <si>
    <t>Improved assessment and integration of Blue Carbon into initiatives for coasts and marine environments, notably for managed coastal realignment and restoration of intertidal areas and seagrass beds.</t>
  </si>
  <si>
    <r>
      <rPr>
        <b/>
        <sz val="10"/>
        <color theme="1"/>
        <rFont val="Calibri"/>
        <family val="2"/>
      </rPr>
      <t xml:space="preserve">(Blue carbon) RBRA N5 action 1: </t>
    </r>
    <r>
      <rPr>
        <sz val="10"/>
        <color theme="1"/>
        <rFont val="Calibri"/>
        <family val="2"/>
      </rPr>
      <t xml:space="preserve">Defra will continue to manage and, where appropriate, reduce non-climate pressures on blue carbon habitats, through the NAP3 implementation period to 2028 and beyond, to help protect them and build their resilience. Our target is that 70% of designated features in Marine Protected Areas (MPAs) will be in favourable condition by 2042, with the remainder in recovering condition. Defra also intends to explore more sites following the designation of the first 3 Highly Protected Marine Areas in English waters. We will begin the process of exploring further sites in 2023.
</t>
    </r>
    <r>
      <rPr>
        <b/>
        <sz val="10"/>
        <color theme="1"/>
        <rFont val="Calibri"/>
        <family val="2"/>
      </rPr>
      <t xml:space="preserve">(Blue carbon) RBRA N5 action 2: </t>
    </r>
    <r>
      <rPr>
        <sz val="10"/>
        <color theme="1"/>
        <rFont val="Calibri"/>
        <family val="2"/>
      </rPr>
      <t xml:space="preserve">Defra will restore and create new habitats, including through the cross-Defra Restoring Meadows, Marsh and Reef (ReMeMaRe) initiative. This initiative aims to restore at least 15% of the 3 priority habitats – seagrass meadows, saltmarsh and native oyster reefs – by 2043.
</t>
    </r>
    <r>
      <rPr>
        <b/>
        <sz val="10"/>
        <color theme="1"/>
        <rFont val="Calibri"/>
        <family val="2"/>
      </rPr>
      <t>(Blue carbon) RBRA N5 action 4:</t>
    </r>
    <r>
      <rPr>
        <sz val="10"/>
        <color theme="1"/>
        <rFont val="Calibri"/>
        <family val="2"/>
      </rPr>
      <t xml:space="preserve"> Defra has identified the priority areas for blue carbon research through the UK Blue Carbon Evidence Partnership's evidence needs statement, published in June 2023. Defra is funding the partnership until March 2024 to coordinate research to address these gaps.
</t>
    </r>
    <r>
      <rPr>
        <b/>
        <sz val="10"/>
        <color theme="1"/>
        <rFont val="Calibri"/>
        <family val="2"/>
      </rPr>
      <t xml:space="preserve">(Forestry) RBRA N5: </t>
    </r>
    <r>
      <rPr>
        <sz val="10"/>
        <color theme="1"/>
        <rFont val="Calibri"/>
        <family val="2"/>
      </rPr>
      <t xml:space="preserve">does not address this action.
</t>
    </r>
    <r>
      <rPr>
        <b/>
        <sz val="10"/>
        <color theme="1"/>
        <rFont val="Calibri"/>
        <family val="2"/>
      </rPr>
      <t xml:space="preserve">(Peatlands) RBRA N5: </t>
    </r>
    <r>
      <rPr>
        <sz val="10"/>
        <color theme="1"/>
        <rFont val="Calibri"/>
        <family val="2"/>
      </rPr>
      <t xml:space="preserve">does not address this action.
</t>
    </r>
    <r>
      <rPr>
        <b/>
        <sz val="10"/>
        <color theme="1"/>
        <rFont val="Calibri"/>
        <family val="2"/>
      </rPr>
      <t xml:space="preserve">NAP3 p.60: </t>
    </r>
    <r>
      <rPr>
        <sz val="10"/>
        <color theme="1"/>
        <rFont val="Calibri"/>
        <family val="2"/>
      </rPr>
      <t>Habitat restoration and management to reduce non-climate pressures will help coastal and marine habitats and species adapt to climate change. Defra will: support the creation, restoration and enhancement of estuarine, coastal and marine habitats through the ELMs, Dynamic Dunescapes, Shoreline Management Plans (SMP), the Habitat Compensation and Restoration Programme, and the Restoring Meadows Marsh and Reef initiative, which aims to restore at least 15% of the 3 priority habitats; seagrass meadows,
saltmarsh and native oyster reefs by 2043. ELMs will not only provide support directly to farms in coastal areas to restore coastal habitats, but also includes offers to support upstream improvements, such as water quality, which will also aid restoration in coastal regions.</t>
    </r>
    <r>
      <rPr>
        <b/>
        <sz val="10"/>
        <color theme="1"/>
        <rFont val="Calibri"/>
        <family val="2"/>
      </rPr>
      <t xml:space="preserve">
NAP3 p.61: </t>
    </r>
    <r>
      <rPr>
        <sz val="10"/>
        <color theme="1"/>
        <rFont val="Calibri"/>
        <family val="2"/>
      </rPr>
      <t>Defra will fund research to understand: how to address climate risks to blue carbon habitats.</t>
    </r>
  </si>
  <si>
    <t>Clear actions to restore marine habitats, and separately, to better understand blue carbon habitats.</t>
  </si>
  <si>
    <t>Defra (blue carbon)
N/A (forestry &amp; peatlands)</t>
  </si>
  <si>
    <t>N06.1</t>
  </si>
  <si>
    <t>Government should develop an effective strategy to address the historical productivity gap in UK agriculture including: skills, training and knowledge exchange; rural infrastructure and connectivity; and delivering R&amp;D at farm level. A major impetus for this strategy should be to better link adaptation and mitigation across the land use sector as a whole including combined pathway(s) to achieve the 2045/2050 Net Zero outcome whilst also delivering on sustainable production and environmental quality goals. There should also be considerable benefits from extending such a strategy across the land use sector as a whole, and especially in integrating developments in both agriculture and forestry together more effectively, both for production and wider environmental goals.</t>
  </si>
  <si>
    <r>
      <rPr>
        <b/>
        <sz val="10"/>
        <color theme="1"/>
        <rFont val="Calibri"/>
        <family val="2"/>
      </rPr>
      <t xml:space="preserve">(Agriculture) RBRA N6: </t>
    </r>
    <r>
      <rPr>
        <sz val="10"/>
        <color theme="1"/>
        <rFont val="Calibri"/>
        <family val="2"/>
      </rPr>
      <t xml:space="preserve">Defra will provide £270 million of funding for the Farming Innovation Programme throughout the Agricultural Transition Period to 2028 to fund projects that focus on helping the sector adapt to climate change and will drive up productivity in the sector, enhancing environmental sustainability. 
</t>
    </r>
    <r>
      <rPr>
        <b/>
        <sz val="10"/>
        <color theme="1"/>
        <rFont val="Calibri"/>
        <family val="2"/>
      </rPr>
      <t>(Forestry) RBRA N6:</t>
    </r>
    <r>
      <rPr>
        <sz val="10"/>
        <color theme="1"/>
        <rFont val="Calibri"/>
        <family val="2"/>
      </rPr>
      <t xml:space="preserve"> does not address this action.
</t>
    </r>
    <r>
      <rPr>
        <b/>
        <sz val="10"/>
        <color theme="1"/>
        <rFont val="Calibri"/>
        <family val="2"/>
      </rPr>
      <t xml:space="preserve">GRPR Recommendation 23: </t>
    </r>
    <r>
      <rPr>
        <sz val="10"/>
        <color theme="1"/>
        <rFont val="Calibri"/>
        <family val="2"/>
      </rPr>
      <t xml:space="preserve">In the government’s food strategy we committed to broadly maintain the current levels of food produced domestically, while exploring opportunities for growth. Defra is enabling this through its Agricultural Transition Plan (to be updated before the end of 2023), which sets out how we will support the adaptiveness, resilience and productivity of the agricultural sector to risks arising under a changing climate. The Environmental Land Management schemes are the primary delivery vehicles to support farmers and land managers to take adaptation actions. Defra is also providing funding for equipment and infrastructure to support farmers to adapt to climate change, addressing challenges such as heat stress in livestock, on-farm water storage and irrigation. Defra has passed legislation to reduce the regulatory barriers to precision breeding technology, which has the potential to deliver more resilient crops and livestock breeds. Defra is engaged with initiatives to better understand and respond to the effects of climate change on agriculture. This includes our partnership with the Met Office Hadley Centre’s Food, Farming and Natural Environment service, as well as significant investment in breeding research. 
</t>
    </r>
    <r>
      <rPr>
        <b/>
        <sz val="10"/>
        <color theme="1"/>
        <rFont val="Calibri"/>
        <family val="2"/>
      </rPr>
      <t>NAP3 p.50-51:</t>
    </r>
    <r>
      <rPr>
        <sz val="10"/>
        <color theme="1"/>
        <rFont val="Calibri"/>
        <family val="2"/>
      </rPr>
      <t xml:space="preserve"> Agriculture Act (2020) – provides the powers for the new Environmental Land Management schemes (ELMs), which support farmers to deliver ‘public goods’ such as clean water and biodiversity-rich habitats. These in turn support the foundations of food production in the long term, as set out in the Food Strategy, which describes our ambition to maintain production at current levels, where we produce domestically 60% by value of all the food we need. The government backs British farmers and has committed to maintain the farming budget at an average £2.4 billion per year (in England) over the life of this Parliament. Through support, including ELM schemes and the Water Management Grant under the Farming Investment Fund, Defra will support adaptation actions such as: incentivising farmers to use sustainable agriculture methods; supporting agroforestry and integrated pest management; and managing risks to agriculture such as drought through infarm water storage.
</t>
    </r>
    <r>
      <rPr>
        <b/>
        <sz val="10"/>
        <color theme="1"/>
        <rFont val="Calibri"/>
        <family val="2"/>
      </rPr>
      <t>GRPR Recommendation 25:</t>
    </r>
    <r>
      <rPr>
        <sz val="10"/>
        <color theme="1"/>
        <rFont val="Calibri"/>
        <family val="2"/>
      </rPr>
      <t xml:space="preserve"> Through our £270 million Farming Innovation Programme, we are working with farmers, growers and the research community to develop innovative methods and technologies. To date, work to build climate resilience includes carbon-capture cropping and innovation in livestock genetics. The recent £12.5 million Environmental Resilience competition aims to address the environmental challenges to plants, crops and farmed animals, with projects expected to start in early 2024. Defra is funding Forest Research and the Forestry Commission to develop a Woodland for Water Code, to attract private finance into woodland natural flood management projects and develop more resilient landscapes. The Fisheries and Seafood Scheme (FaSS) and the UK Seafood Fund (UKSF) supports the seafood sector to mitigate and adapt to climate change and contribute to net zero. The FaSS has funded activities such as energy efficiency audits and professional advice for businesses seeking to diversify into products that help to mitigate climate change or reduce emissions. The UKSF supports projects that will provide vital innovative research, improve infrastructure and replace or modernise engines to build a resilient and sustainable fishing industry that reduces emissions.</t>
    </r>
  </si>
  <si>
    <t>Multiple mechanisms aiming to improve farm productivity whilst mitigating and adapting to climate impacts.</t>
  </si>
  <si>
    <t>Defra (Agriculture &amp; Forestry)</t>
  </si>
  <si>
    <t>Defra (agriculture) 
N/A (forestry)</t>
  </si>
  <si>
    <t>N06.2</t>
  </si>
  <si>
    <t>Schemes that deliver improved use and management of land to deliver combined production and Net Zero goals whilst also aiming to avoid negative externalities (e.g., low carbon farming; improved N-use efficiency; enhanced soil quality measures; water resources and flood management). A notable example would be schemes to increase uptake of N-fixing crops and forages, both in arable crop rotations and in permanent pastures, as supported by knowledge exchange and guidance on the combined adaptation/mitigation benefits.</t>
  </si>
  <si>
    <r>
      <rPr>
        <b/>
        <sz val="10"/>
        <color theme="1"/>
        <rFont val="Calibri"/>
        <family val="2"/>
      </rPr>
      <t xml:space="preserve">(Agriculture) RBRA N6 action 1: </t>
    </r>
    <r>
      <rPr>
        <sz val="10"/>
        <color theme="1"/>
        <rFont val="Calibri"/>
        <family val="2"/>
      </rPr>
      <t xml:space="preserve">Defra will support farmers to adopt adaptive land management practices with an uptake target of 70% of farmers and farmland to be in their Environmental Land Management schemes (ELMs) by 2028. This will help improve soil health and water quality.
</t>
    </r>
    <r>
      <rPr>
        <b/>
        <sz val="10"/>
        <color theme="1"/>
        <rFont val="Calibri"/>
        <family val="2"/>
      </rPr>
      <t>(Agriculture) RBRA N6 action 2:</t>
    </r>
    <r>
      <rPr>
        <sz val="10"/>
        <color theme="1"/>
        <rFont val="Calibri"/>
        <family val="2"/>
      </rPr>
      <t xml:space="preserve"> Defra will pay for the establishment and maintenance of silvoarable and silvopastoral agroforestry systems in 2024 to encourage and support increased agroforestry, which will provide important shade for livestock, increase flood resilience, improve water quality and enhance food production potential. 
</t>
    </r>
    <r>
      <rPr>
        <b/>
        <sz val="10"/>
        <color theme="1"/>
        <rFont val="Calibri"/>
        <family val="2"/>
      </rPr>
      <t xml:space="preserve">(Forestry) RBRA N6 action 2: </t>
    </r>
    <r>
      <rPr>
        <sz val="10"/>
        <color theme="1"/>
        <rFont val="Calibri"/>
        <family val="2"/>
      </rPr>
      <t xml:space="preserve">Defra will encourage landowners to incorporate climate-smart actions into woodland creation and management plans, making forestry productivity more resilient. By 2028, there will be an increase in the uptake of woodland management support through grant schemes.
</t>
    </r>
    <r>
      <rPr>
        <b/>
        <sz val="10"/>
        <color theme="1"/>
        <rFont val="Calibri"/>
        <family val="2"/>
      </rPr>
      <t xml:space="preserve">NAP3 p.67: </t>
    </r>
    <r>
      <rPr>
        <sz val="10"/>
        <color theme="1"/>
        <rFont val="Calibri"/>
        <family val="2"/>
      </rPr>
      <t>Improving and protecting soil health requires sustainable management. The government has set a target for at least 70% of farmers and farmland to be in ELMs, and to have at least 40% of England’s agricultural soils under sustainable management through ELMs by 2028, increasing this to up to 60% by 2030. Through support, including ELMs and the Water Management Grant under the Farming Investment Fund, Defra will: incentivise farmers and landowners to use sustainable agricultural methods such as covering soil through multi-species cover crops to protect soil health; support increased agroforestry by paying for the establishment and maintenance of silvoarable and silvopastoral agroforestry systems in 2024 to protect crops and livestock from harsher weather conditions; introduce the integrated pest management standard, as part of the SFI 2023, to manage INNS in a way that reduces the need for expensive chemicals which can have detrimental consequences for soil health and water quality; support farmers and land managers to provide natural flood management through ELMs to protect themselves and other farm businesses in the catchment; improve existing ELMs actions where possible on creating inter-tidal and saline habitat on arable land or on intensive grassland, or by non-intervention, to protect farmland further inland from coastal erosion and flooding; invest £10 million in, and review planning barriers to, on-farm reservoirs and irrigation infrastructure to maintain food production when there is reduced access to water. Defra aims to increase water storage used by the agriculture and horticulture sectors by 66% by 2050 compared to 2024.</t>
    </r>
  </si>
  <si>
    <t>Actions infer that ELMs will address much of this CCRA3 ask.</t>
  </si>
  <si>
    <t>Defra (agriculture &amp; forestry)</t>
  </si>
  <si>
    <t>N06.3</t>
  </si>
  <si>
    <t>Investment in a much stronger evidence base to ensure the land use changes required to meet net zero take place on suitable land and do not introduce additional risks.</t>
  </si>
  <si>
    <r>
      <rPr>
        <b/>
        <sz val="10"/>
        <color theme="1"/>
        <rFont val="Calibri"/>
        <family val="2"/>
      </rPr>
      <t>(Agriculture) RBRA N6 action 3:</t>
    </r>
    <r>
      <rPr>
        <sz val="10"/>
        <color theme="1"/>
        <rFont val="Calibri"/>
        <family val="2"/>
      </rPr>
      <t xml:space="preserve"> Defra will improve modelling of agricultural risk by designing and implementing an agriculture model by early 2025 which will allow us to quantify a range of possible outcomes of future changes, and design policy interventions that mitigate the risk of extreme outcomes.
</t>
    </r>
    <r>
      <rPr>
        <b/>
        <sz val="10"/>
        <color theme="1"/>
        <rFont val="Calibri"/>
        <family val="2"/>
      </rPr>
      <t xml:space="preserve">(Forestry) RBRA N6 action 6: </t>
    </r>
    <r>
      <rPr>
        <sz val="10"/>
        <color theme="1"/>
        <rFont val="Calibri"/>
        <family val="2"/>
      </rPr>
      <t xml:space="preserve">Defra will use climate risk forecasts to develop post-England Trees Action Plan and post-Nature for Climate Fund policies from 2025, so that tree planting is spatially targeted to account for climate risk.
</t>
    </r>
    <r>
      <rPr>
        <b/>
        <sz val="10"/>
        <color theme="1"/>
        <rFont val="Calibri"/>
        <family val="2"/>
      </rPr>
      <t>NAP3 p.52:</t>
    </r>
    <r>
      <rPr>
        <sz val="10"/>
        <color theme="1"/>
        <rFont val="Calibri"/>
        <family val="2"/>
      </rPr>
      <t xml:space="preserve"> Land Use Framework: One of the key considerations in the development of the Land Use Framework, to be published in 2023, is that land use should be suitable for future climate conditions and should contribute to adaptation.
</t>
    </r>
    <r>
      <rPr>
        <b/>
        <sz val="10"/>
        <color theme="1"/>
        <rFont val="Calibri"/>
        <family val="2"/>
      </rPr>
      <t>GRPR Recommendation 2:</t>
    </r>
    <r>
      <rPr>
        <sz val="10"/>
        <color theme="1"/>
        <rFont val="Calibri"/>
        <family val="2"/>
      </rPr>
      <t xml:space="preserve"> The planned Land Use Framework will consider how multifunctional, resilient, and productive landscapes can support multiple outcomes, recognising the importance of natural capital.
The Framework document will be supported by spatial evidence and analysis to help make the most of our diverse natural capital across the landscapes of England.</t>
    </r>
  </si>
  <si>
    <t>Actions go some way to meeting the CCRA ask but unclear exactly how far the Land Use Strategy will go and how much evidence will be developed in the process.</t>
  </si>
  <si>
    <t>N06.4</t>
  </si>
  <si>
    <t>Policy reform should seek to avert the negative distorting effects that have occurred previously when goals have been defined in isolation without consideration of side-effects or local contexts. For example, the provision for local-scale and landscape-scale schemes in ELM can provide this framework, although presently details for their implementation remain to be established. In this context, a key component of policy reform will therefore be suitable indicators that provide a more holistic measure of desired land management outcomes as related to long-term sustainability.</t>
  </si>
  <si>
    <r>
      <rPr>
        <b/>
        <sz val="10"/>
        <color theme="1"/>
        <rFont val="Calibri"/>
        <family val="2"/>
      </rPr>
      <t>(Agriculture) RBRA N6:</t>
    </r>
    <r>
      <rPr>
        <sz val="10"/>
        <color theme="1"/>
        <rFont val="Calibri"/>
        <family val="2"/>
      </rPr>
      <t xml:space="preserve"> does not address this action. 
</t>
    </r>
    <r>
      <rPr>
        <b/>
        <sz val="10"/>
        <color theme="1"/>
        <rFont val="Calibri"/>
        <family val="2"/>
      </rPr>
      <t xml:space="preserve">(Forestry) RBRA N6: </t>
    </r>
    <r>
      <rPr>
        <sz val="10"/>
        <color theme="1"/>
        <rFont val="Calibri"/>
        <family val="2"/>
      </rPr>
      <t xml:space="preserve">does not address this action. 
</t>
    </r>
    <r>
      <rPr>
        <b/>
        <sz val="10"/>
        <color theme="1"/>
        <rFont val="Calibri"/>
        <family val="2"/>
      </rPr>
      <t xml:space="preserve">NAP3 p.57: </t>
    </r>
    <r>
      <rPr>
        <sz val="10"/>
        <color theme="1"/>
        <rFont val="Calibri"/>
        <family val="2"/>
      </rPr>
      <t>Defra will also integrate climate change data into spatial targeting to maximise the adaptive benefits delivered through our funded actions. It will: explore the potential to incorporate projected climate data and increased spatial targeting and prioritisation into ELMs, including through LNRS.</t>
    </r>
  </si>
  <si>
    <t>Some evidence in NAP3 of how ELMs aims to consider the local context of the actions it promotes.</t>
  </si>
  <si>
    <t>N/A (agriculture &amp; forestry)</t>
  </si>
  <si>
    <t>N06.5</t>
  </si>
  <si>
    <t>Reform of regulatory arrangements such as water sharing and water trading with reallocation of unused licenses, can have beneficial outcomes, as has been further developed in other countries.</t>
  </si>
  <si>
    <r>
      <rPr>
        <b/>
        <sz val="10"/>
        <color theme="1"/>
        <rFont val="Calibri"/>
        <family val="2"/>
      </rPr>
      <t>(Agriculture) RBRA N6:</t>
    </r>
    <r>
      <rPr>
        <sz val="10"/>
        <color theme="1"/>
        <rFont val="Calibri"/>
        <family val="2"/>
      </rPr>
      <t xml:space="preserve"> does not address this action. 
</t>
    </r>
    <r>
      <rPr>
        <b/>
        <sz val="10"/>
        <color theme="1"/>
        <rFont val="Calibri"/>
        <family val="2"/>
      </rPr>
      <t xml:space="preserve">(Forestry) RBRA N6: </t>
    </r>
    <r>
      <rPr>
        <sz val="10"/>
        <color theme="1"/>
        <rFont val="Calibri"/>
        <family val="2"/>
      </rPr>
      <t xml:space="preserve">does not address this action. 
</t>
    </r>
    <r>
      <rPr>
        <b/>
        <sz val="10"/>
        <color theme="1"/>
        <rFont val="Calibri"/>
        <family val="2"/>
      </rPr>
      <t xml:space="preserve">NAP3 Chapter 3: </t>
    </r>
    <r>
      <rPr>
        <sz val="10"/>
        <color theme="1"/>
        <rFont val="Calibri"/>
        <family val="2"/>
      </rPr>
      <t>does not address this action.</t>
    </r>
  </si>
  <si>
    <t>No reference to regulations for water sharing reforms or trading in either document.</t>
  </si>
  <si>
    <t>N06.6</t>
  </si>
  <si>
    <t>Further trialling and implementation of responses to address agricultural drought (i.e. shifting to earlier planting to avoid coincidence of high drought risk with most sensitive growth stages etc.) in drought-sensitive areas, including further refinement to match with local land use contexts.</t>
  </si>
  <si>
    <r>
      <rPr>
        <b/>
        <sz val="10"/>
        <color theme="1"/>
        <rFont val="Calibri"/>
        <family val="2"/>
      </rPr>
      <t>(Agriculture) RBRA N6:</t>
    </r>
    <r>
      <rPr>
        <sz val="10"/>
        <color theme="1"/>
        <rFont val="Calibri"/>
        <family val="2"/>
      </rPr>
      <t xml:space="preserve"> does not address this action. 
</t>
    </r>
    <r>
      <rPr>
        <b/>
        <sz val="10"/>
        <color theme="1"/>
        <rFont val="Calibri"/>
        <family val="2"/>
      </rPr>
      <t xml:space="preserve">(Forestry) RBRA N6: </t>
    </r>
    <r>
      <rPr>
        <sz val="10"/>
        <color theme="1"/>
        <rFont val="Calibri"/>
        <family val="2"/>
      </rPr>
      <t xml:space="preserve">does not address this action. 
</t>
    </r>
    <r>
      <rPr>
        <b/>
        <sz val="10"/>
        <color theme="1"/>
        <rFont val="Calibri"/>
        <family val="2"/>
      </rPr>
      <t>NAP3 p.68:</t>
    </r>
    <r>
      <rPr>
        <sz val="10"/>
        <color theme="1"/>
        <rFont val="Calibri"/>
        <family val="2"/>
      </rPr>
      <t xml:space="preserve"> The Genetic Technology (Precision Breeding) Act will enable greater research and innovation to help deliver drought and disease resistant crops, reductions in agricultural greenhouse gas emissions, and reduced agri-chemical use.</t>
    </r>
  </si>
  <si>
    <t>Recognition of the need to adapt to agricultural drought, but no direct actions specified to trial methods of adapting to the issue. Detail may be included within ELMs document, but evaluation of these was outside the scope of this assessment.</t>
  </si>
  <si>
    <t>N06.7</t>
  </si>
  <si>
    <t>Further consideration of schemes for forestry to enhance genetic adaptability of key species, in addition to species diversification (Whittet et al., 2019). This could include increased use of drought-resistant varieties (e.g., from warmer, more southerly locations) in the provenance of seed stock.</t>
  </si>
  <si>
    <r>
      <rPr>
        <b/>
        <sz val="10"/>
        <color theme="1"/>
        <rFont val="Calibri"/>
        <family val="2"/>
      </rPr>
      <t>(Agriculture) RBRA N6:</t>
    </r>
    <r>
      <rPr>
        <sz val="10"/>
        <color theme="1"/>
        <rFont val="Calibri"/>
        <family val="2"/>
      </rPr>
      <t xml:space="preserve"> does not address this action. 
</t>
    </r>
    <r>
      <rPr>
        <b/>
        <sz val="10"/>
        <color theme="1"/>
        <rFont val="Calibri"/>
        <family val="2"/>
      </rPr>
      <t>(Forestry) RBRA N6 action 1:</t>
    </r>
    <r>
      <rPr>
        <sz val="10"/>
        <color theme="1"/>
        <rFont val="Calibri"/>
        <family val="2"/>
      </rPr>
      <t xml:space="preserve"> Defra and the Forestry Commission will ensure new woodlands have current and future climate conditions considered in their design and species choice. Grant applications for new woodland will be evaluated by 2028 to assess progress against this action.
</t>
    </r>
    <r>
      <rPr>
        <b/>
        <sz val="10"/>
        <color theme="1"/>
        <rFont val="Calibri"/>
        <family val="2"/>
      </rPr>
      <t xml:space="preserve">NAP3 p.66: </t>
    </r>
    <r>
      <rPr>
        <sz val="10"/>
        <color theme="1"/>
        <rFont val="Calibri"/>
        <family val="2"/>
      </rPr>
      <t>The information gathered through research and monitoring will be used to develop products and plans, build capacity, and help stakeholders and government make better informed decisions. These include: ensuring woodland creation and management plans consider climate projections by 2028 based on recommended actions from Forest Research’s Climate Change Hub; using climate risk forecasts to inform tree planting policies and develop post England Tree Action Plan policies.</t>
    </r>
  </si>
  <si>
    <t>Actions broadly meet the CCRA ask but unclear if they will enhance genetic adaptability.</t>
  </si>
  <si>
    <t>N/A (agriculture)
Defra (forestry)</t>
  </si>
  <si>
    <t>N06.8</t>
  </si>
  <si>
    <t>Improved availability and communication of monitoring (especially taking advantage of latest developments in remote sensing). This is especially applicable to soil moisture monitoring as the key variable linking drought and wetness risk to plant growth, together with further research to develop indices and indicators that can communicate changing risk levels to land managers in a practical context.</t>
  </si>
  <si>
    <r>
      <rPr>
        <b/>
        <sz val="10"/>
        <color theme="1"/>
        <rFont val="Calibri"/>
        <family val="2"/>
      </rPr>
      <t>(Agriculture) RBRA N6 action 4:</t>
    </r>
    <r>
      <rPr>
        <sz val="10"/>
        <color theme="1"/>
        <rFont val="Calibri"/>
        <family val="2"/>
      </rPr>
      <t xml:space="preserve"> Defra will work to fill evidence gaps, with the aim of improving our understanding of climate change impacts on projected land use change outcomes. For example, Defra will review the impact of flooding and coastal erosion on agricultural land and businesses in England and Wales, by the end of 2024. 
</t>
    </r>
    <r>
      <rPr>
        <b/>
        <sz val="10"/>
        <color theme="1"/>
        <rFont val="Calibri"/>
        <family val="2"/>
      </rPr>
      <t xml:space="preserve">(Forestry) RBRA N6: </t>
    </r>
    <r>
      <rPr>
        <sz val="10"/>
        <color theme="1"/>
        <rFont val="Calibri"/>
        <family val="2"/>
      </rPr>
      <t xml:space="preserve">does not address this action. 
</t>
    </r>
    <r>
      <rPr>
        <b/>
        <sz val="10"/>
        <color theme="1"/>
        <rFont val="Calibri"/>
        <family val="2"/>
      </rPr>
      <t>NAP3 p.67-68:</t>
    </r>
    <r>
      <rPr>
        <sz val="10"/>
        <color theme="1"/>
        <rFont val="Calibri"/>
        <family val="2"/>
      </rPr>
      <t xml:space="preserve"> Having effective policy responses that are an efficient use of resources will depend on understanding the way climate change will affect soil health and agricultural productivity in the future. Defra will: provide a methodology and tools to collect consistent information about the health of the soil under all land uses and continue to research new technologies and innovations that could help improve the climate resilience of all soil and prevent future soil contamination.</t>
    </r>
  </si>
  <si>
    <t>Several actions to improve monitoring, particularly in relation to soil conditions but unclear how it might capture soil moisture. No clear action that then communicates the information to land managers.</t>
  </si>
  <si>
    <t>Defra (agriculture)
N/A (forestry)</t>
  </si>
  <si>
    <t>N06.9</t>
  </si>
  <si>
    <t>New approaches to risk sharing and further schemes to encourage innovation, including new enterprises and entrants.</t>
  </si>
  <si>
    <r>
      <rPr>
        <b/>
        <sz val="10"/>
        <color theme="1"/>
        <rFont val="Calibri"/>
        <family val="2"/>
      </rPr>
      <t>(Agriculture) RBRA N6 action 5:</t>
    </r>
    <r>
      <rPr>
        <sz val="10"/>
        <color theme="1"/>
        <rFont val="Calibri"/>
        <family val="2"/>
      </rPr>
      <t xml:space="preserve"> By 2027, Defra will double the number of government-funded projects which include nature-based solutions to reduce flood and coastal erosion risk and will support farmers and land managers to deliver natural flood management.
</t>
    </r>
    <r>
      <rPr>
        <b/>
        <sz val="10"/>
        <color theme="1"/>
        <rFont val="Calibri"/>
        <family val="2"/>
      </rPr>
      <t>(Forestry) RBRA N6 action 3:</t>
    </r>
    <r>
      <rPr>
        <sz val="10"/>
        <color theme="1"/>
        <rFont val="Calibri"/>
        <family val="2"/>
      </rPr>
      <t xml:space="preserve"> The Home Office, supported by Defra, will scope out a Wildfire Strategy and Action Plan by mid-2024, reporting on the outcomes of the scoping exercise. Defra will develop ‘adaptation of land management to wildfire risk’ guidance by 2026. Defra will work with public and private sector land managers to develop wildfire management plans for 20,000 hectares of habitat by 2025. This will be supported by research programmes beginning from 2023. This action will reduce the risk of wildfires impacting upon social, economic and environmental assets across the chapter themes of NAP3.
</t>
    </r>
    <r>
      <rPr>
        <b/>
        <sz val="10"/>
        <color theme="1"/>
        <rFont val="Calibri"/>
        <family val="2"/>
      </rPr>
      <t xml:space="preserve">(Forestry) RBRA N6 action 4: </t>
    </r>
    <r>
      <rPr>
        <sz val="10"/>
        <color theme="1"/>
        <rFont val="Calibri"/>
        <family val="2"/>
      </rPr>
      <t xml:space="preserve">Defra and the Forestry Commission will increase the number of woodlands within high-risk areas that have wildfire management plans within woodland management plans by 2030 to mitigate the risk of this increasing climatic hazard.
</t>
    </r>
    <r>
      <rPr>
        <b/>
        <sz val="10"/>
        <color theme="1"/>
        <rFont val="Calibri"/>
        <family val="2"/>
      </rPr>
      <t xml:space="preserve">NAP3 Chapter 3: </t>
    </r>
    <r>
      <rPr>
        <sz val="10"/>
        <color theme="1"/>
        <rFont val="Calibri"/>
        <family val="2"/>
      </rPr>
      <t>does not address this action.</t>
    </r>
  </si>
  <si>
    <t>No specific actions that demonstrate new approaches to risk sharing. Further actions may be detailed within policies referred to in NAP3 (e.g. ELMs), but evaluation of these documents was outside the scope of this assessment.</t>
  </si>
  <si>
    <t>Defra (agriculture)
Home Office, Defra &amp; Forestry Commission (forestry)</t>
  </si>
  <si>
    <t>N06.10</t>
  </si>
  <si>
    <t>Increased need to establish more resilient supply chains, and especially to maximise enhanced opportunities for local food production including potentially new or novel crops for specific locations (see also Risk N9).</t>
  </si>
  <si>
    <r>
      <rPr>
        <b/>
        <sz val="10"/>
        <color theme="1"/>
        <rFont val="Calibri"/>
        <family val="2"/>
      </rPr>
      <t>(Agriculture) RBRA N6:</t>
    </r>
    <r>
      <rPr>
        <sz val="10"/>
        <color theme="1"/>
        <rFont val="Calibri"/>
        <family val="2"/>
      </rPr>
      <t xml:space="preserve"> does not address this action. 
</t>
    </r>
    <r>
      <rPr>
        <b/>
        <sz val="10"/>
        <color theme="1"/>
        <rFont val="Calibri"/>
        <family val="2"/>
      </rPr>
      <t>(Forestry) RBRA N6:</t>
    </r>
    <r>
      <rPr>
        <sz val="10"/>
        <color theme="1"/>
        <rFont val="Calibri"/>
        <family val="2"/>
      </rPr>
      <t xml:space="preserve"> does not address this action. 
</t>
    </r>
    <r>
      <rPr>
        <b/>
        <sz val="10"/>
        <color theme="1"/>
        <rFont val="Calibri"/>
        <family val="2"/>
      </rPr>
      <t xml:space="preserve">NAP3 p.67-68: </t>
    </r>
    <r>
      <rPr>
        <sz val="10"/>
        <color theme="1"/>
        <rFont val="Calibri"/>
        <family val="2"/>
      </rPr>
      <t xml:space="preserve">Defra will: explore the potential for new or less used crops which may become easier to grow in the future as the UK’s climate continues to change; support farmer- and grower-led innovation projects that promote sustainable and resilient productivity – at the Farm to Fork Summit, Defra opened a specific call for research and development projects to incentivise sustainable and resilient farming as part of the £270 million Farming Innovation Programme spending over the Agricultural Transition to 2028/29.
</t>
    </r>
    <r>
      <rPr>
        <b/>
        <sz val="10"/>
        <color theme="1"/>
        <rFont val="Calibri"/>
        <family val="2"/>
      </rPr>
      <t>GRPR Recommendation 31:</t>
    </r>
    <r>
      <rPr>
        <sz val="10"/>
        <color theme="1"/>
        <rFont val="Calibri"/>
        <family val="2"/>
      </rPr>
      <t xml:space="preserve"> As set out in the Resilience Framework, government departments will work throughout the NAP3 period and beyond to ensure existing regulatory regimes on resilience are fit for purpose. The government has also committed in the Framework to expanding the scope and use of standards and assurance for resilience, in the public sector, by 2025 and to introduce standards on resilience across the private sector, where these do not already exist, by 2030.</t>
    </r>
  </si>
  <si>
    <t>Actions largely meet the CCRA ask within a UK context.</t>
  </si>
  <si>
    <t>N06.11</t>
  </si>
  <si>
    <t>For forestry, alternative diversification and prioritisation strategies to business as usual, including different species and silviculture systems. In some key locations, such as North Highland and Moray &amp; Aberdeen, changes in species selection and silvicultural management could improve biomass provision, timber production, and biodiversity whilst reducing Dothistroma risk, potentially providing a win-win outcome.</t>
  </si>
  <si>
    <r>
      <rPr>
        <b/>
        <sz val="10"/>
        <color theme="1"/>
        <rFont val="Calibri"/>
        <family val="2"/>
      </rPr>
      <t>(Agriculture) RBRA N6:</t>
    </r>
    <r>
      <rPr>
        <sz val="10"/>
        <color theme="1"/>
        <rFont val="Calibri"/>
        <family val="2"/>
      </rPr>
      <t xml:space="preserve"> does not address this action. 
</t>
    </r>
    <r>
      <rPr>
        <b/>
        <sz val="10"/>
        <color theme="1"/>
        <rFont val="Calibri"/>
        <family val="2"/>
      </rPr>
      <t xml:space="preserve">(Forestry) RBRA N6 action 5: </t>
    </r>
    <r>
      <rPr>
        <sz val="10"/>
        <color theme="1"/>
        <rFont val="Calibri"/>
        <family val="2"/>
      </rPr>
      <t xml:space="preserve">Defra and the FC will support the implementation of Continuous Forestry Cover more widely to support forestry productivity, allow for greater species diversity and maintain forestry habitats. There will be an increase in Continuous Forestry Cover management by 2050, as evidenced by a reduction in the proportion of clear-fell licences applied for.
</t>
    </r>
    <r>
      <rPr>
        <b/>
        <sz val="10"/>
        <color theme="1"/>
        <rFont val="Calibri"/>
        <family val="2"/>
      </rPr>
      <t>NAP3 p.65:</t>
    </r>
    <r>
      <rPr>
        <sz val="10"/>
        <color theme="1"/>
        <rFont val="Calibri"/>
        <family val="2"/>
      </rPr>
      <t xml:space="preserve"> For forestry, Defra will: invest up to £17.1 million by 2025 through the Nature for Climate Fund Sector Capacity Project to enhance quality, quantity and diversity of tree planting stock Defra will also explore the opportunity to increase forestry productivity and the use of sustainable home-grown timber through: a Timber in Construction Road Map in 2023 (in collaboration with DESNZ,
the Department for Business and Trade (DBT), DLUHC and DSIT); a consultation on Whole Life Carbon assessments in the construction sector in 2023 (DLUHC); a review of the Timber Procurement Policy in 2023.</t>
    </r>
  </si>
  <si>
    <t xml:space="preserve">Actions that recognise need for changes in procedures and refer to use of different species/new policies to improve productivity whilst adapting. </t>
  </si>
  <si>
    <t>N/A (agriculture)
Defra &amp; Forestry Commission (forestry)</t>
  </si>
  <si>
    <t>N06.12</t>
  </si>
  <si>
    <t>Policy support for diversification in agriculture and horticulture, including options based upon grants, tax breaks, legislative enablers, and mechanisms for collective action, in order to enhance adaptive capacity for this trajectory.</t>
  </si>
  <si>
    <r>
      <t xml:space="preserve">(Agriculture) RBRA N6: </t>
    </r>
    <r>
      <rPr>
        <sz val="10"/>
        <color theme="1"/>
        <rFont val="Calibri"/>
        <family val="2"/>
      </rPr>
      <t xml:space="preserve">does not address this action. </t>
    </r>
    <r>
      <rPr>
        <b/>
        <sz val="10"/>
        <color theme="1"/>
        <rFont val="Calibri"/>
        <family val="2"/>
      </rPr>
      <t xml:space="preserve">
(Forestry) RBRA N6: </t>
    </r>
    <r>
      <rPr>
        <sz val="10"/>
        <color theme="1"/>
        <rFont val="Calibri"/>
        <family val="2"/>
      </rPr>
      <t xml:space="preserve">does not address this action. </t>
    </r>
    <r>
      <rPr>
        <b/>
        <sz val="10"/>
        <color theme="1"/>
        <rFont val="Calibri"/>
        <family val="2"/>
      </rPr>
      <t xml:space="preserve">
NAP3 Chapter 3:</t>
    </r>
    <r>
      <rPr>
        <sz val="10"/>
        <color theme="1"/>
        <rFont val="Calibri"/>
        <family val="2"/>
      </rPr>
      <t xml:space="preserve"> does not address this action.</t>
    </r>
  </si>
  <si>
    <t>No reference to diversification in Chapter 3 of NAP3 or within the relevant RBRA sections.</t>
  </si>
  <si>
    <t>N06.13</t>
  </si>
  <si>
    <t>Further refinement in the UK context of the range of adaptation options identified in the literature, included improved grazing management (timing, plant species etc.), genetic improvements, nutritional and diet management, infrastructure changes, and enhanced responses to pests and pathogens (see also Risk N7), and also to take better account of concurrent activities to improve the efficiency of livestock production to meet Net Zero targets.</t>
  </si>
  <si>
    <r>
      <rPr>
        <b/>
        <sz val="10"/>
        <color theme="1"/>
        <rFont val="Calibri"/>
        <family val="2"/>
      </rPr>
      <t xml:space="preserve">(Agriculture) RBRA N6 action 10: </t>
    </r>
    <r>
      <rPr>
        <sz val="10"/>
        <color theme="1"/>
        <rFont val="Calibri"/>
        <family val="2"/>
      </rPr>
      <t>Defra will develop research outputs as part of their partnership with the Met Office Hadley Centre to explore the requirements for a climate resilient agrifood system, provide insight into optimising adaptation options and define risk factors associated with climate change across the food system by 2025.</t>
    </r>
    <r>
      <rPr>
        <b/>
        <sz val="10"/>
        <color theme="1"/>
        <rFont val="Calibri"/>
        <family val="2"/>
      </rPr>
      <t xml:space="preserve">
(Agriculture) RBRA N6 action 11: </t>
    </r>
    <r>
      <rPr>
        <sz val="10"/>
        <color theme="1"/>
        <rFont val="Calibri"/>
        <family val="2"/>
      </rPr>
      <t xml:space="preserve">Defra will produce research reports by 2025 to help develop solutions for the agri-food system and identify options to improve crop productivity, sustainability and resilience.
</t>
    </r>
    <r>
      <rPr>
        <b/>
        <sz val="10"/>
        <color theme="1"/>
        <rFont val="Calibri"/>
        <family val="2"/>
      </rPr>
      <t>(Forestry) RBRA N6:</t>
    </r>
    <r>
      <rPr>
        <sz val="10"/>
        <color theme="1"/>
        <rFont val="Calibri"/>
        <family val="2"/>
      </rPr>
      <t xml:space="preserve"> does not address this action. 
</t>
    </r>
    <r>
      <rPr>
        <b/>
        <sz val="10"/>
        <color theme="1"/>
        <rFont val="Calibri"/>
        <family val="2"/>
      </rPr>
      <t>NAP3 p67-68:</t>
    </r>
    <r>
      <rPr>
        <sz val="10"/>
        <color theme="1"/>
        <rFont val="Calibri"/>
        <family val="2"/>
      </rPr>
      <t xml:space="preserve"> Having effective policy responses that are an efficient use of resources will depend on understanding the way climate change will affect soil health and agricultural productivity in the future. Defra will: establish a healthy soil indicator under the 25 Year Environment Plan Outcome Indicator Framework, which will be used to build a robust baseline and inform land management actions that increase climate resilience; establish a method for incorporating the impact of climate change into crop health pest risk analyses by 2025 and develop new tools for assessing the impact of extreme weather events and to project the influence of climate change on non-native plant pests and pathogens by 2026. Information gathered from this will inform future responses to outbreaks; further develop links between the Met Office Hadley Centre’s agri-food resilience service and Defra’s major crop breeding research programme the Genetic Improvement Networks (GINs) – this will enable exploration of the use of climate projections to better target crop breeding in response to climate pressures. The current round of GINs will run until 2024; increase breeding efficiency and enhance climate resilience. On 16 May 2023, at the Farm to Fork Summit in No.10 Downing Street, Defra announced up to around £30 million investment in breeding research which will unlock the potential of precision breeding following royal assent of the Genetic Technology (Precision Breeding) Act on 23 March 2023; explore the potential for new or less used crops which may become easier to grow in the future as the UK’s climate continues to change; provide a methodology and tools to collect consistent information about the health of the soil under all land uses and continue to research new technologies and innovations that could help improve the climate resilience of all soil and prevent future soil contamination; support farmer- and grower-led innovation projects that promote sustainable and resilient productivity – at the Farm to Fork Summit, Defra opened a specific call for research and development projects to incentivise sustainable and resilient farming as part of the £270 million Farming Innovation Programme spending over the Agricultural Transition to 2028/29.</t>
    </r>
  </si>
  <si>
    <t>Actions indicate activities that will meet CCRA ask around the identification and refinement of adaptation options.</t>
  </si>
  <si>
    <t>N06.14</t>
  </si>
  <si>
    <t>Further detailed investigation into landscape configuration, especially inclusion of semi-natural habitats together with farmland, and its potential benefits for yield stability (Pywell et al., 2015; Redhead et al., 2021), in a range of different contexts as a prospective key adaptation strategy.</t>
  </si>
  <si>
    <r>
      <rPr>
        <b/>
        <sz val="10"/>
        <color theme="1"/>
        <rFont val="Calibri"/>
        <family val="2"/>
      </rPr>
      <t>(Agriculture) RBRA N6:</t>
    </r>
    <r>
      <rPr>
        <sz val="10"/>
        <color theme="1"/>
        <rFont val="Calibri"/>
        <family val="2"/>
      </rPr>
      <t xml:space="preserve"> does not address this action. 
</t>
    </r>
    <r>
      <rPr>
        <b/>
        <sz val="10"/>
        <color theme="1"/>
        <rFont val="Calibri"/>
        <family val="2"/>
      </rPr>
      <t>(Forestry) RBRA N6:</t>
    </r>
    <r>
      <rPr>
        <sz val="10"/>
        <color theme="1"/>
        <rFont val="Calibri"/>
        <family val="2"/>
      </rPr>
      <t xml:space="preserve"> does not address this action. 
</t>
    </r>
    <r>
      <rPr>
        <b/>
        <sz val="10"/>
        <color theme="1"/>
        <rFont val="Calibri"/>
        <family val="2"/>
      </rPr>
      <t>NAP3 p.52:</t>
    </r>
    <r>
      <rPr>
        <sz val="10"/>
        <color theme="1"/>
        <rFont val="Calibri"/>
        <family val="2"/>
      </rPr>
      <t xml:space="preserve"> Land Use Framework: One of the key considerations in the development of the Land Use Framework, to be published in 2023, is that land use should be suitable for future climate conditions and should contribute to adaptation.
</t>
    </r>
    <r>
      <rPr>
        <b/>
        <sz val="10"/>
        <color theme="1"/>
        <rFont val="Calibri"/>
        <family val="2"/>
      </rPr>
      <t>NAP3 p.67:</t>
    </r>
    <r>
      <rPr>
        <sz val="10"/>
        <color theme="1"/>
        <rFont val="Calibri"/>
        <family val="2"/>
      </rPr>
      <t xml:space="preserve"> Through support, including ELMs and the Water Management Grant under the Farming Investment Fund, Defra will: improve existing ELMs actions where possible on creating inter-tidal and saline habitat on arable land or on intensive grassland, or by non-intervention, to protect farmland further inland from coastal erosion and flooding.</t>
    </r>
  </si>
  <si>
    <t>Actions go some way to meeting the CCRA ask. Unclear to what extent the Land Use Framework may address this ask.</t>
  </si>
  <si>
    <t>N06.15</t>
  </si>
  <si>
    <t>Need for better coordinated actions between government and the land use sector in terms of both enhanced productivity but also protection of natural resources (water, soil, biodiversity, land etc.) on which productivity depends.</t>
  </si>
  <si>
    <r>
      <rPr>
        <b/>
        <sz val="10"/>
        <color theme="1"/>
        <rFont val="Calibri"/>
        <family val="2"/>
      </rPr>
      <t xml:space="preserve">(Agriculture) RBRA N6: </t>
    </r>
    <r>
      <rPr>
        <sz val="10"/>
        <color theme="1"/>
        <rFont val="Calibri"/>
        <family val="2"/>
      </rPr>
      <t xml:space="preserve">does not address this action.
</t>
    </r>
    <r>
      <rPr>
        <b/>
        <sz val="10"/>
        <color theme="1"/>
        <rFont val="Calibri"/>
        <family val="2"/>
      </rPr>
      <t>(Forestry) RBRA N6 action 7:</t>
    </r>
    <r>
      <rPr>
        <sz val="10"/>
        <color theme="1"/>
        <rFont val="Calibri"/>
        <family val="2"/>
      </rPr>
      <t xml:space="preserve"> Defra, in collaboration with DESNZ, DBT, DLUHC, and DSIT will publish a Timber in Construction Roadmap in 2023. DLUHC will publish a consultation on Whole Life Carbon assessments in the construction sector in 2023. Defra will also complete a review of the government Timber Procurement Policy in 2023. This will create an environment for greater timber market activities under a changing climate.
</t>
    </r>
    <r>
      <rPr>
        <b/>
        <sz val="10"/>
        <color theme="1"/>
        <rFont val="Calibri"/>
        <family val="2"/>
      </rPr>
      <t>NAP3 p.67-68:</t>
    </r>
    <r>
      <rPr>
        <sz val="10"/>
        <color theme="1"/>
        <rFont val="Calibri"/>
        <family val="2"/>
      </rPr>
      <t xml:space="preserve"> Defra will: support farmer- and grower-led innovation projects that promote sustainable and resilient productivity – at the Farm to Fork Summit, Defra opened a specific call for research and development projects to incentivise sustainable and resilient farming as part of the £270 million Farming Innovation Programme spending over the Agricultural Transition to 2028/29.</t>
    </r>
  </si>
  <si>
    <t>Some actions identified but unclear to what extent they'll address the ask.</t>
  </si>
  <si>
    <t>Defra (agriculture)
Defra, DESNZ, DBT, DLUHC and DSIT (forestry)</t>
  </si>
  <si>
    <t>N07.1</t>
  </si>
  <si>
    <t>A more systematic programme of quantitative analysis is  required to inform development of disease management plans, such as plant breeding, altered planting schedules, chemical and biological control methods, and increased monitoring for new disease threats.</t>
  </si>
  <si>
    <r>
      <rPr>
        <b/>
        <sz val="10"/>
        <color theme="1"/>
        <rFont val="Calibri"/>
        <family val="2"/>
      </rPr>
      <t>RBRA N7 action 2:</t>
    </r>
    <r>
      <rPr>
        <sz val="10"/>
        <color theme="1"/>
        <rFont val="Calibri"/>
        <family val="2"/>
      </rPr>
      <t xml:space="preserve"> The Animal and Plant Health Agency will carry out annual surveys for priority plant pests and surveys for other quarantine pests at least once between 2024 and 2028. The FC will target post-border surveillance towards high-risk locations based on factors such as host composition, climate, detection method and entry pathways, with at least 150 forest plots surveyed annually.
</t>
    </r>
    <r>
      <rPr>
        <b/>
        <sz val="10"/>
        <color theme="1"/>
        <rFont val="Calibri"/>
        <family val="2"/>
      </rPr>
      <t>RBRA N7 action 3:</t>
    </r>
    <r>
      <rPr>
        <sz val="10"/>
        <color theme="1"/>
        <rFont val="Calibri"/>
        <family val="2"/>
      </rPr>
      <t xml:space="preserve"> Defra will establish a method for incorporating the impact of climate change into plant health pest risk analyses by 2025 and will identify new pest threats using the international sentinel plants network from 2023 to 2026.
</t>
    </r>
    <r>
      <rPr>
        <b/>
        <sz val="10"/>
        <color theme="1"/>
        <rFont val="Calibri"/>
        <family val="2"/>
      </rPr>
      <t>RBRA N7 action 4:</t>
    </r>
    <r>
      <rPr>
        <sz val="10"/>
        <color theme="1"/>
        <rFont val="Calibri"/>
        <family val="2"/>
      </rPr>
      <t xml:space="preserve"> Defra will publish pest-specific contingency plans for all high priority plant pests by 2025. It will review them by 2028, carry out a coordinated outbreak management training programme by the end of 2024, and introduce a plant health data system by 2028 to enhance readiness for future outbreaks.
</t>
    </r>
    <r>
      <rPr>
        <b/>
        <sz val="10"/>
        <color theme="1"/>
        <rFont val="Calibri"/>
        <family val="2"/>
      </rPr>
      <t xml:space="preserve">RBRA N7 action 5: </t>
    </r>
    <r>
      <rPr>
        <sz val="10"/>
        <color theme="1"/>
        <rFont val="Calibri"/>
        <family val="2"/>
      </rPr>
      <t xml:space="preserve">Defra will continue to establish incident management teams and develop incident action plans, through the NAP3 implementation period to 2028 and beyond, to manage the eradication or containment of quarantine plant pests. When new outbreaks of significant plant pests are confirmed, and eradication or containment is considered feasible, this will be done within 4 weeks of confirming the presence of the pest.
</t>
    </r>
    <r>
      <rPr>
        <b/>
        <sz val="10"/>
        <color theme="1"/>
        <rFont val="Calibri"/>
        <family val="2"/>
      </rPr>
      <t>NAP3 p.57:</t>
    </r>
    <r>
      <rPr>
        <sz val="10"/>
        <color theme="1"/>
        <rFont val="Calibri"/>
        <family val="2"/>
      </rPr>
      <t xml:space="preserve"> Monitoring and surveillance of species populations is also essential to inform adaptive action. For example, it can help to inform a proactive approach to managing pests, pathogens and invasive non-native species. Defra, the Animal and Plant Health Agency, and the Centre for Environment, Fisheries and Aquaculture Science will: identify aquatic pathogens and INNS which are likely to establish self-sustaining populations or increase in distribution and/or impact due to climate change or are likely to exacerbate climate-related pressures; continue to develop biosecurity, contingency and rapid response plans to support the prevention, rapid eradication, management and control of priority pathogens and INNS, such as actions under the Great Britain INNS Strategy 2023-2030 on monitoring, surveillance and horizon scanning; develop and use Pathway Action Plans for priority pathways to guide actions with stakeholders and user groups to limit the spread of INNS. Pathways are the routes and mechanisms for the introduction and spread of INNS. Some pathways are ranked as higher risk as they have the potential to introduce greater numbers of high-impact INNS. This will inform: ... the regular updating of the list of species of special concern established by the retained Invasive Alien Species Regulation, keeping strict regulations and restrictions on their breeding, transport, sale, use or exchange up to date.</t>
    </r>
  </si>
  <si>
    <t>Clear actions to improve monitoring, but not clearly linked to informing disease management planning.</t>
  </si>
  <si>
    <t>Animal and Plant Health Agency
Defra</t>
  </si>
  <si>
    <t>N07.2</t>
  </si>
  <si>
    <t>Improved monitoring of pest and disease levels in UK crops and livestock could be used to provide more updated agronomic advice to growers, including best practice guidance on pest/pathogen biosecurity and management strategies.</t>
  </si>
  <si>
    <r>
      <rPr>
        <b/>
        <sz val="10"/>
        <color theme="1"/>
        <rFont val="Calibri"/>
        <family val="2"/>
      </rPr>
      <t>RBRA N7 action 1:</t>
    </r>
    <r>
      <rPr>
        <sz val="10"/>
        <color theme="1"/>
        <rFont val="Calibri"/>
        <family val="2"/>
      </rPr>
      <t xml:space="preserve"> Defra will revise the approach to the plant health and animal health border inspection regime to target it towards higher-risk commodities such as imported plants and plant products, feed, live animals and products of animal origin to detect new threats. Defra will establish a system for auditing plant health measures in third countries in 2023.
</t>
    </r>
    <r>
      <rPr>
        <b/>
        <sz val="10"/>
        <color theme="1"/>
        <rFont val="Calibri"/>
        <family val="2"/>
      </rPr>
      <t xml:space="preserve">NAP3 p.67: </t>
    </r>
    <r>
      <rPr>
        <sz val="10"/>
        <color theme="1"/>
        <rFont val="Calibri"/>
        <family val="2"/>
      </rPr>
      <t>Defra will: establish a method for incorporating the impact of climate change into crop health pest risk analyses by 2025 and develop new tools for assessing the impact of extreme weather events and to project the influence of climate change on non-native plant pests and pathogens by 2026. Information gathered from this will inform future responses to outbreaks.</t>
    </r>
  </si>
  <si>
    <t>Actions largely meet the CCRA ask.</t>
  </si>
  <si>
    <t>N07.3</t>
  </si>
  <si>
    <t>Policy development following EU-Exit also creates an opportunity to further expand the uptake of IPM rather than rely on current voluntary uptake schemes, and to ensure that regulations adopt the principle of non-regression to ensure appropriate safeguards as risk factors change (e.g., international trade agreements). Increased support by government for IPM, including through a proposed National Action Plan, is very likely to be particularly useful in acting against excessive pesticide usage and its harmful side-effects for soil quality, water quality, and through pesticide resistance.</t>
  </si>
  <si>
    <r>
      <rPr>
        <b/>
        <sz val="10"/>
        <color theme="1"/>
        <rFont val="Calibri"/>
        <family val="2"/>
      </rPr>
      <t xml:space="preserve">RBRA N7 action 10: </t>
    </r>
    <r>
      <rPr>
        <sz val="10"/>
        <color theme="1"/>
        <rFont val="Calibri"/>
        <family val="2"/>
      </rPr>
      <t xml:space="preserve">Defra will conduct an evidence review in 2023 to investigate the interaction between climate adaptation and integrated pest management strategies and inform policy decisions.
</t>
    </r>
    <r>
      <rPr>
        <b/>
        <sz val="10"/>
        <color theme="1"/>
        <rFont val="Calibri"/>
        <family val="2"/>
      </rPr>
      <t>NAP3 p.67:</t>
    </r>
    <r>
      <rPr>
        <sz val="10"/>
        <color theme="1"/>
        <rFont val="Calibri"/>
        <family val="2"/>
      </rPr>
      <t xml:space="preserve"> Defra will: introduce the integrated pest management standard, as part of the SFI 2023, to manage INNS in a way that reduces the need for expensive chemicals which can have detrimental consequences for soil health and water quality.</t>
    </r>
  </si>
  <si>
    <t>Actions indicate an expansion of IPM uptake, and integration of IPM into SFI scheme demonstrates translation into policy.</t>
  </si>
  <si>
    <t>N07.4</t>
  </si>
  <si>
    <t>Further tightening of plant health legislation in anticipation of increased risks is also likely to be required.</t>
  </si>
  <si>
    <r>
      <rPr>
        <b/>
        <sz val="10"/>
        <color theme="1"/>
        <rFont val="Calibri"/>
        <family val="2"/>
      </rPr>
      <t>RBRA N7 action 7:</t>
    </r>
    <r>
      <rPr>
        <sz val="10"/>
        <color theme="1"/>
        <rFont val="Calibri"/>
        <family val="2"/>
      </rPr>
      <t xml:space="preserve"> Defra will develop and implement a plant health international action plan by 2025 to increase international engagement with others working on climate change and plant pests or animal pathogens and diseases.
</t>
    </r>
    <r>
      <rPr>
        <b/>
        <sz val="10"/>
        <color theme="1"/>
        <rFont val="Calibri"/>
        <family val="2"/>
      </rPr>
      <t>NAP3 Chapter 3:</t>
    </r>
    <r>
      <rPr>
        <sz val="10"/>
        <color theme="1"/>
        <rFont val="Calibri"/>
        <family val="2"/>
      </rPr>
      <t xml:space="preserve"> does not address this action.</t>
    </r>
  </si>
  <si>
    <t>Reference to a plan that may result in actions that meet the CCRA ask.</t>
  </si>
  <si>
    <t>N07.5</t>
  </si>
  <si>
    <t xml:space="preserve">A greater priority be given to including climate change within risk assessments, and for this to be validated against changing distribution data for Europe and beyond, and where possible to be used to further investigate the efficacy of different control options. </t>
  </si>
  <si>
    <r>
      <rPr>
        <b/>
        <sz val="10"/>
        <color theme="1"/>
        <rFont val="Calibri"/>
        <family val="2"/>
      </rPr>
      <t xml:space="preserve">RBRA N7 action 3: </t>
    </r>
    <r>
      <rPr>
        <sz val="10"/>
        <color theme="1"/>
        <rFont val="Calibri"/>
        <family val="2"/>
      </rPr>
      <t xml:space="preserve">Defra will establish a method for incorporating the impact of climate change into plant health pest risk analyses by 2025 and will identify new pest threats using the international sentinel plants network from 2023 to 2026.
</t>
    </r>
    <r>
      <rPr>
        <b/>
        <sz val="10"/>
        <color theme="1"/>
        <rFont val="Calibri"/>
        <family val="2"/>
      </rPr>
      <t xml:space="preserve">NAP3 Chapter 3: </t>
    </r>
    <r>
      <rPr>
        <sz val="10"/>
        <color theme="1"/>
        <rFont val="Calibri"/>
        <family val="2"/>
      </rPr>
      <t>does not address this action.</t>
    </r>
  </si>
  <si>
    <t>Addresses much of the CCRA3 ask but unclear how it will consider validation against changing distribution data.</t>
  </si>
  <si>
    <t>N07.6</t>
  </si>
  <si>
    <t>A greater priority now be given also to a wider public engagement through citizen science initiatives to enhance surveillance.</t>
  </si>
  <si>
    <r>
      <rPr>
        <b/>
        <sz val="10"/>
        <color theme="1"/>
        <rFont val="Calibri"/>
        <family val="2"/>
      </rPr>
      <t xml:space="preserve">RBRA N7 action 8: </t>
    </r>
    <r>
      <rPr>
        <sz val="10"/>
        <color theme="1"/>
        <rFont val="Calibri"/>
        <family val="2"/>
      </rPr>
      <t xml:space="preserve">Defra will work with stakeholders to encourage pest and disease reporting and bio secure behaviour among growers, farmers, animal keepers, vets, importers and the public (2024 to 2028). To prepare for this action, a biosecurity e-learning module will be launched for the public in 2023. 
</t>
    </r>
    <r>
      <rPr>
        <b/>
        <sz val="10"/>
        <color theme="1"/>
        <rFont val="Calibri"/>
        <family val="2"/>
      </rPr>
      <t>NAP3 Chapter 3:</t>
    </r>
    <r>
      <rPr>
        <sz val="10"/>
        <color theme="1"/>
        <rFont val="Calibri"/>
        <family val="2"/>
      </rPr>
      <t xml:space="preserve"> does not address this action.</t>
    </r>
  </si>
  <si>
    <t>Development of a public e-learning module will support in increasing surveillance, although a citizen science scheme is not outlined.</t>
  </si>
  <si>
    <t>N08.1</t>
  </si>
  <si>
    <t>Surveillance and modelling for emerging risks; further modelling of risk reduction measures for pests, pathogens and INNS; further assessment of climate factors in risk assessment that would be beneficial in early warning.</t>
  </si>
  <si>
    <r>
      <rPr>
        <b/>
        <sz val="10"/>
        <color theme="1"/>
        <rFont val="Calibri"/>
        <family val="2"/>
      </rPr>
      <t>RBRA N8:</t>
    </r>
    <r>
      <rPr>
        <sz val="10"/>
        <color theme="1"/>
        <rFont val="Calibri"/>
        <family val="2"/>
      </rPr>
      <t xml:space="preserve"> does not address this action.
</t>
    </r>
    <r>
      <rPr>
        <b/>
        <sz val="10"/>
        <color theme="1"/>
        <rFont val="Calibri"/>
        <family val="2"/>
      </rPr>
      <t xml:space="preserve">NAP3 p.57: </t>
    </r>
    <r>
      <rPr>
        <sz val="10"/>
        <color theme="1"/>
        <rFont val="Calibri"/>
        <family val="2"/>
      </rPr>
      <t>Monitoring and surveillance of species populations is also essential to inform adaptive action. For example, it can help to inform a proactive approach to managing pests, pathogens and invasive non-native species. Defra, the Animal and Plant Health Agency, and the Centre for Environment, Fisheries and Aquaculture Science will: identify aquatic pathogens and INNS which are likely to establish self-sustaining populations or increase in distribution and/or impact due to climate change or are likely to exacerbate climate-related pressures; continue to develop biosecurity, contingency and rapid response plans to support the prevention, rapid eradication, management and control of priority pathogens and INNS, such as actions under the Great Britain INNS Strategy 2023-2030 on monitoring, surveillance and horizon scanning; develop and use Pathway Action Plans for priority pathways to guide actions with stakeholders and user groups to limit the spread of INNS. Pathways are the routes and mechanisms for the introduction and spread of INNS. Some pathways are ranked as higher risk as they have the potential to introduce greater numbers of high-impact INNS.</t>
    </r>
  </si>
  <si>
    <t>Actions meet CCRA ask for surveillance but do not clearly set out further modelling of risk reduction methods.</t>
  </si>
  <si>
    <t>N08.2</t>
  </si>
  <si>
    <t>Understanding current and future risk from non-native species vectors and pathogens. Improved understanding of current and future risk from non-native tree species used, or proposed, for enhanced production purposes.</t>
  </si>
  <si>
    <r>
      <rPr>
        <b/>
        <sz val="10"/>
        <color theme="1"/>
        <rFont val="Calibri"/>
        <family val="2"/>
      </rPr>
      <t>RBRA N8 action 1:</t>
    </r>
    <r>
      <rPr>
        <sz val="10"/>
        <color theme="1"/>
        <rFont val="Calibri"/>
        <family val="2"/>
      </rPr>
      <t xml:space="preserve"> Defra will develop a framework to regulate the planting of ‘emerging forestry species’ from 2023, which will improve regulation in woodland creation and restocking proposals.
</t>
    </r>
    <r>
      <rPr>
        <b/>
        <sz val="10"/>
        <color theme="1"/>
        <rFont val="Calibri"/>
        <family val="2"/>
      </rPr>
      <t>RBRA N8 action 2:</t>
    </r>
    <r>
      <rPr>
        <sz val="10"/>
        <color theme="1"/>
        <rFont val="Calibri"/>
        <family val="2"/>
      </rPr>
      <t xml:space="preserve"> Defra will publish management strategies for deer and grey squirrels in 2023, which will provide measures for reducing their impacts on forestry.
</t>
    </r>
    <r>
      <rPr>
        <b/>
        <sz val="10"/>
        <color theme="1"/>
        <rFont val="Calibri"/>
        <family val="2"/>
      </rPr>
      <t>RBRA N8 action 3:</t>
    </r>
    <r>
      <rPr>
        <sz val="10"/>
        <color theme="1"/>
        <rFont val="Calibri"/>
        <family val="2"/>
      </rPr>
      <t xml:space="preserve"> Defra will introduce a bio secure procurement requirement on all government funded tree planting by 2025 to improve the biosecurity of supply chains.
</t>
    </r>
    <r>
      <rPr>
        <b/>
        <sz val="10"/>
        <color theme="1"/>
        <rFont val="Calibri"/>
        <family val="2"/>
      </rPr>
      <t>RBRA N8 action 5:</t>
    </r>
    <r>
      <rPr>
        <sz val="10"/>
        <color theme="1"/>
        <rFont val="Calibri"/>
        <family val="2"/>
      </rPr>
      <t xml:space="preserve"> Defra will provide guidance on appropriate species choice for planting new woodland which considers the likely impacts of climate change, including a wider range of native species, by 2025. This will ensure the new woodland is resilient to climate change and stock has a wide genetic base.
</t>
    </r>
    <r>
      <rPr>
        <b/>
        <sz val="10"/>
        <color theme="1"/>
        <rFont val="Calibri"/>
        <family val="2"/>
      </rPr>
      <t>NAP3 p.57:</t>
    </r>
    <r>
      <rPr>
        <sz val="10"/>
        <color theme="1"/>
        <rFont val="Calibri"/>
        <family val="2"/>
      </rPr>
      <t xml:space="preserve"> Monitoring and surveillance of species populations is also essential to inform adaptive action. For example, it can help to inform a proactive approach to managing pests, pathogens and invasive non-native species. Defra, the Animal and Plant Health Agency, and the Centre for Environment, Fisheries and Aquaculture Science will: identify aquatic pathogens and INNS which are likely to establish self-sustaining populations or increase in distribution and/or impact due to climate change or are likely to exacerbate climate-related pressures; continue to develop biosecurity, contingency and rapid response plans to support the prevention, rapid eradication, management and control of priority pathogens and INNS, such as actions under the Great Britain INNS Strategy 2023-2030 on monitoring, surveillance and horizon scanning; develop and use Pathway Action Plans for priority pathways to guide actions with stakeholders and user groups to limit the spread of INNS. Pathways are the routes and mechanisms for the introduction and spread of INNS. Some
pathways are ranked as higher risk as they have the potential to introduce greater numbers of high-impact INNS.
</t>
    </r>
    <r>
      <rPr>
        <b/>
        <sz val="10"/>
        <color theme="1"/>
        <rFont val="Calibri"/>
        <family val="2"/>
      </rPr>
      <t xml:space="preserve">NAP3 p.67: </t>
    </r>
    <r>
      <rPr>
        <sz val="10"/>
        <color theme="1"/>
        <rFont val="Calibri"/>
        <family val="2"/>
      </rPr>
      <t>Defra will: establish a method for incorporating the impact of climate change into crop health pest risk analyses by 2025 and develop new tools for assessing the impact of extreme weather events and to project the influence of climate change on non-native plant pests and pathogens by 2026. Information gathered from this will inform future responses to outbreaks.</t>
    </r>
  </si>
  <si>
    <t>Clear actions to understand current non-native species risks and to model future risks.</t>
  </si>
  <si>
    <t>N08.3</t>
  </si>
  <si>
    <t>Improved biosecurity, especially at ports of entry and increased emphasis on disease and pest resilience.</t>
  </si>
  <si>
    <r>
      <rPr>
        <b/>
        <sz val="10"/>
        <color theme="1"/>
        <rFont val="Calibri"/>
        <family val="2"/>
      </rPr>
      <t xml:space="preserve">RBRA N8 action 3: </t>
    </r>
    <r>
      <rPr>
        <sz val="10"/>
        <color theme="1"/>
        <rFont val="Calibri"/>
        <family val="2"/>
      </rPr>
      <t xml:space="preserve">Defra will introduce a bio secure procurement requirement on all government funded tree planting by 2025 to improve the biosecurity of supply chains.
</t>
    </r>
    <r>
      <rPr>
        <b/>
        <sz val="10"/>
        <color theme="1"/>
        <rFont val="Calibri"/>
        <family val="2"/>
      </rPr>
      <t xml:space="preserve">NAP3 p.57: </t>
    </r>
    <r>
      <rPr>
        <sz val="10"/>
        <color theme="1"/>
        <rFont val="Calibri"/>
        <family val="2"/>
      </rPr>
      <t>Monitoring and surveillance of species populations is also essential to inform adaptive action. For example, it can help to inform a proactive approach to managing pests, pathogens and invasive non-native species. Defra, the Animal and Plant Health Agency, and the Centre for Environment, Fisheries and Aquaculture Science will: ... continue to develop biosecurity, contingency and rapid response plans to support the prevention, rapid eradication, management and control of priority pathogens and INNS, such as actions under the Great Britain INNS Strategy 2023-2030 on monitoring, surveillance and horizon scanning</t>
    </r>
  </si>
  <si>
    <t>Actions to improve biosecurity, not specifically at ports.</t>
  </si>
  <si>
    <t>N08.4</t>
  </si>
  <si>
    <t>Changes to plant purchasing and sourcing practices to highlight importance of secure sources and provenance (e.g., certification).</t>
  </si>
  <si>
    <r>
      <rPr>
        <b/>
        <sz val="10"/>
        <color theme="1"/>
        <rFont val="Calibri"/>
        <family val="2"/>
      </rPr>
      <t xml:space="preserve">RBRA N8 action 3: </t>
    </r>
    <r>
      <rPr>
        <sz val="10"/>
        <color theme="1"/>
        <rFont val="Calibri"/>
        <family val="2"/>
      </rPr>
      <t xml:space="preserve">Defra will introduce a bio secure procurement requirement on all government funded tree planting by 2025 to improve the biosecurity of supply chains.
</t>
    </r>
    <r>
      <rPr>
        <b/>
        <sz val="10"/>
        <color theme="1"/>
        <rFont val="Calibri"/>
        <family val="2"/>
      </rPr>
      <t>NAP3 p.57:</t>
    </r>
    <r>
      <rPr>
        <sz val="10"/>
        <color theme="1"/>
        <rFont val="Calibri"/>
        <family val="2"/>
      </rPr>
      <t xml:space="preserve"> Monitoring and surveillance of species populations is also essential to inform adaptive action. For example, it can help to inform a proactive approach to managing pests, pathogens and invasive non-native species. Defra, the Animal and Plant Health Agency, and the Centre for Environment, Fisheries and Aquaculture Science will: identify aquatic pathogens and INNS which are likely to establish self-sustaining populations or increase in distribution and/or impact due to climate change or are likely to exacerbate climate-related pressures; continue to develop biosecurity, contingency and rapid response plans to support the prevention, rapid eradication, management and control of priority pathogens and INNS, such as actions under the Great Britain INNS Strategy 2023-2030 on monitoring, surveillance and horizon scanning; develop and use Pathway Action Plans for priority pathways to guide actions with stakeholders and user groups to limit the spread of INNS. Pathways are the routes and mechanisms for the introduction and spread of INNS. Some pathways are ranked as higher risk as they have the potential to introduce greater numbers of high-impact INNS. This will inform: ... the regular updating of the list of species of special concern established by the retained Invasive Alien Species Regulation, keeping strict regulations and restrictions on their breeding, transport, sale, use or exchange up to date.</t>
    </r>
  </si>
  <si>
    <t>Some changes clear from these actions, but uncertain about going as far as certification.</t>
  </si>
  <si>
    <t>N08.5</t>
  </si>
  <si>
    <t>Further investigation of management initiatives to enhance resilience, such as diversification (see adaptation options investigated for forestry in Risk N6).</t>
  </si>
  <si>
    <r>
      <rPr>
        <b/>
        <sz val="10"/>
        <color theme="1"/>
        <rFont val="Calibri"/>
        <family val="2"/>
      </rPr>
      <t xml:space="preserve">RBRA N8: </t>
    </r>
    <r>
      <rPr>
        <sz val="10"/>
        <color theme="1"/>
        <rFont val="Calibri"/>
        <family val="2"/>
      </rPr>
      <t xml:space="preserve">does not address this action. See N6.
</t>
    </r>
    <r>
      <rPr>
        <b/>
        <sz val="10"/>
        <color theme="1"/>
        <rFont val="Calibri"/>
        <family val="2"/>
      </rPr>
      <t>NAP3 Chapter 3:</t>
    </r>
    <r>
      <rPr>
        <sz val="10"/>
        <color theme="1"/>
        <rFont val="Calibri"/>
        <family val="2"/>
      </rPr>
      <t xml:space="preserve"> does not address this action.</t>
    </r>
  </si>
  <si>
    <t>No references to diversification.</t>
  </si>
  <si>
    <t>N09.1</t>
  </si>
  <si>
    <t>A need for a more coordinated approach that includes both a wide range of potential future crop growth facilitators and stresses (e.g., disease, drought, heat, waterlogging etc.).</t>
  </si>
  <si>
    <r>
      <rPr>
        <b/>
        <sz val="10"/>
        <color theme="1"/>
        <rFont val="Calibri"/>
        <family val="2"/>
      </rPr>
      <t xml:space="preserve">(Agriculture) RBRA N9: </t>
    </r>
    <r>
      <rPr>
        <sz val="10"/>
        <color theme="1"/>
        <rFont val="Calibri"/>
        <family val="2"/>
      </rPr>
      <t xml:space="preserve">does not address this action.
</t>
    </r>
    <r>
      <rPr>
        <b/>
        <sz val="10"/>
        <color theme="1"/>
        <rFont val="Calibri"/>
        <family val="2"/>
      </rPr>
      <t xml:space="preserve">(Forestry) RBRA N9 action 1: </t>
    </r>
    <r>
      <rPr>
        <sz val="10"/>
        <color theme="1"/>
        <rFont val="Calibri"/>
        <family val="2"/>
      </rPr>
      <t xml:space="preserve">Defra, in collaboration with DESNZ, DBT, DLUHC and DSIT, will publish a Timber in Construction Roadmap in 2023. DLUHC will publish a consultation on Whole Life Carbon assessments in the construction sector in 2023. Defra will also complete a review of the government Timber Procurement Policy in 2023. This will create an environment for greater timber market activities under a changing climate.
</t>
    </r>
    <r>
      <rPr>
        <b/>
        <sz val="10"/>
        <color theme="1"/>
        <rFont val="Calibri"/>
        <family val="2"/>
      </rPr>
      <t xml:space="preserve">NAP3 p.64: </t>
    </r>
    <r>
      <rPr>
        <sz val="10"/>
        <color theme="1"/>
        <rFont val="Calibri"/>
        <family val="2"/>
      </rPr>
      <t>Defra will: publish a revised Tree Health Resilience Strategy in 2024, setting out how we will protect our existing trees and woodlands, and drive the long-term changes needed to adapt to pressures such as climatic change, pests and diseases.</t>
    </r>
  </si>
  <si>
    <t>No evidence of a coordinated approach for forestry or agriculture. Recognition of need to understand climate projections and their impact on crop suitability, but no specific action that meets the CCRA ask to include crop growth facilitators and stresses.</t>
  </si>
  <si>
    <t>N09.2</t>
  </si>
  <si>
    <t>More detailed scoping and investigation of opportunities that is also consistent with changing patterns of land capability and individual crop suitability across the UK. A major gap in knowledge and knowledge exchange appears to exist for opportunities for fruits, vegetables, and horticultural crops in a future climate, which would seem especially important because of the key role of these crops in human nutrition, including local availability and variety.</t>
  </si>
  <si>
    <r>
      <rPr>
        <b/>
        <sz val="10"/>
        <color theme="1"/>
        <rFont val="Calibri"/>
        <family val="2"/>
      </rPr>
      <t xml:space="preserve">(Agriculture) RBRA N9 action 1: </t>
    </r>
    <r>
      <rPr>
        <sz val="10"/>
        <color theme="1"/>
        <rFont val="Calibri"/>
        <family val="2"/>
      </rPr>
      <t>Defra will develop links between Met Office Hadley Centre’s agri-food resilience service and Defra’s crop Genetic Improvement Networks from 2023 to 2024 to use improved climate forecasting to better target crop breeding in response to climate pressures and to identify opportunities for enhancing the productivity, sustainability and resilience of UK agriculture through the growing of underused, underdeveloped or new crops.</t>
    </r>
    <r>
      <rPr>
        <b/>
        <sz val="10"/>
        <color theme="1"/>
        <rFont val="Calibri"/>
        <family val="2"/>
      </rPr>
      <t xml:space="preserve">
(Agriculture) RBRA N9 action 2: </t>
    </r>
    <r>
      <rPr>
        <sz val="10"/>
        <color theme="1"/>
        <rFont val="Calibri"/>
        <family val="2"/>
      </rPr>
      <t>Defra’s Genetic Technology (Precision Breeding) Act will reduce the regulatory burden on developing precision-bred crops and animals that are more resilient to changes in the UK climate and develop new UK adapted varieties from plants that are typically grown abroad. The government will put forward secondary legislation to implement the measures within the Act, with regulatory changes for precision bred plants expected by 2025, followed by animals by 2027.</t>
    </r>
    <r>
      <rPr>
        <b/>
        <sz val="10"/>
        <color theme="1"/>
        <rFont val="Calibri"/>
        <family val="2"/>
      </rPr>
      <t xml:space="preserve">
(Forestry) RBRA N9 action 2: </t>
    </r>
    <r>
      <rPr>
        <sz val="10"/>
        <color theme="1"/>
        <rFont val="Calibri"/>
        <family val="2"/>
      </rPr>
      <t xml:space="preserve">Defra will support research on the use of appropriate native and non-native tree species and alternative tree growing systems by 2028, which are better suited to England’s future climate. This action is subject to Defra’s development of a regulatory framework for the planting of ‘emerging forestry species’ from 2023 that will improve regulation in woodland creation and restocking proposals.
</t>
    </r>
    <r>
      <rPr>
        <b/>
        <sz val="10"/>
        <color theme="1"/>
        <rFont val="Calibri"/>
        <family val="2"/>
      </rPr>
      <t>NAP3 p.67-68:</t>
    </r>
    <r>
      <rPr>
        <sz val="10"/>
        <color theme="1"/>
        <rFont val="Calibri"/>
        <family val="2"/>
      </rPr>
      <t xml:space="preserve"> Defra will: further develop links between the Met Office Hadley Centre’s agri-food resilience service and Defra’s major crop breeding research programme the Genetic Improvement Networks (GINs) – this will enable exploration of the use of climate projections to better target crop breeding in response to climate pressures. The current round of GINs will run until 2024; explore the potential for new or less used crops which may become easier to grow in the future as the UK’s climate continues to change.</t>
    </r>
  </si>
  <si>
    <t>These actions largely meet the CCRA ask for further research.</t>
  </si>
  <si>
    <t>N09.3</t>
  </si>
  <si>
    <t>Further systematic investigation into new opportunities related to inter-cropping and agro-forestry in relation to improved understanding of different combinations in a wide variety of contexts, and the existing barriers that prevent increased uptake.</t>
  </si>
  <si>
    <r>
      <rPr>
        <b/>
        <sz val="10"/>
        <color theme="1"/>
        <rFont val="Calibri"/>
        <family val="2"/>
      </rPr>
      <t>(Agriculture) RBRA N9:</t>
    </r>
    <r>
      <rPr>
        <sz val="10"/>
        <color theme="1"/>
        <rFont val="Calibri"/>
        <family val="2"/>
      </rPr>
      <t xml:space="preserve"> does not address this action.
</t>
    </r>
    <r>
      <rPr>
        <b/>
        <sz val="10"/>
        <color theme="1"/>
        <rFont val="Calibri"/>
        <family val="2"/>
      </rPr>
      <t>(Forestry) RBRA N9:</t>
    </r>
    <r>
      <rPr>
        <sz val="10"/>
        <color theme="1"/>
        <rFont val="Calibri"/>
        <family val="2"/>
      </rPr>
      <t xml:space="preserve"> does not address this action.
</t>
    </r>
    <r>
      <rPr>
        <b/>
        <sz val="10"/>
        <color theme="1"/>
        <rFont val="Calibri"/>
        <family val="2"/>
      </rPr>
      <t xml:space="preserve">NAP3 p.67: </t>
    </r>
    <r>
      <rPr>
        <sz val="10"/>
        <color theme="1"/>
        <rFont val="Calibri"/>
        <family val="2"/>
      </rPr>
      <t>Defra will: support increased agroforestry by paying for the establishment and maintenance of silvoarable and silvopastoral agroforestry systems in 2024 to protect crops and livestock from harsher weather conditions.</t>
    </r>
    <r>
      <rPr>
        <b/>
        <sz val="10"/>
        <color theme="1"/>
        <rFont val="Calibri"/>
        <family val="2"/>
      </rPr>
      <t xml:space="preserve">
NAP3 p.68: </t>
    </r>
    <r>
      <rPr>
        <sz val="10"/>
        <color theme="1"/>
        <rFont val="Calibri"/>
        <family val="2"/>
      </rPr>
      <t>Defra will: support farmer- and grower-led innovation projects that promote sustainable and resilient productivity – at the Farm to Fork Summit, Defra opened a specific call for research and development projects to incentivise sustainable and resilient farming as part of the £270 million Farming Innovation Programme spending over the Agricultural Transition to 2028/29.</t>
    </r>
  </si>
  <si>
    <t>NAP3 includes actions to provide financial support for agroforestry establishment, and other adaptation options, but not further investigation into the practices.</t>
  </si>
  <si>
    <t>N10.1</t>
  </si>
  <si>
    <t>Policy guidance and water abstraction licensing arrangements need further refinement to incentivise use of alternative water resources consistent with regular review of regulatory limits. Practices include better storage and use of excess winter rainfall and other methods to maximise sustainable use of surface water resources (e.g., rainwater harvesting and on-farm reservoirs) could act to conserve groundwater resources at a sustainable level and mitigate against saline intrusion (although also noting that some surface water is essential for groundwater recharge).</t>
  </si>
  <si>
    <r>
      <rPr>
        <b/>
        <sz val="10"/>
        <color theme="1"/>
        <rFont val="Calibri"/>
        <family val="2"/>
      </rPr>
      <t>RBRA action 3:</t>
    </r>
    <r>
      <rPr>
        <sz val="10"/>
        <color theme="1"/>
        <rFont val="Calibri"/>
        <family val="2"/>
      </rPr>
      <t xml:space="preserve"> Defra will continue to work with regional resource groups, at catchment level, to understand local environmental risks and develop sustainable solutions. These include new winter rainfall storage reservoirs and licence holders, with a new regional management plan produced every 5 years. </t>
    </r>
    <r>
      <rPr>
        <b/>
        <sz val="10"/>
        <color theme="1"/>
        <rFont val="Calibri"/>
        <family val="2"/>
      </rPr>
      <t xml:space="preserve">
RBRA action 4:</t>
    </r>
    <r>
      <rPr>
        <sz val="10"/>
        <color theme="1"/>
        <rFont val="Calibri"/>
        <family val="2"/>
      </rPr>
      <t xml:space="preserve"> The Environment Agency will continue modifying abstraction licences where there are environmental concerns. The Environment Agency will be able to modify licences without compensation to strengthen sustainable abstraction policies from 2028.
</t>
    </r>
    <r>
      <rPr>
        <b/>
        <sz val="10"/>
        <color theme="1"/>
        <rFont val="Calibri"/>
        <family val="2"/>
      </rPr>
      <t xml:space="preserve">NAP3 p.55: </t>
    </r>
    <r>
      <rPr>
        <sz val="10"/>
        <color theme="1"/>
        <rFont val="Calibri"/>
        <family val="2"/>
      </rPr>
      <t>Preventing or minimising non-climatic pressures will mean habitats and species are more able to withstand climate change related pressures. Measures to protect aquatic habitats include: improving water efficiency, conserving more for the resilience of freshwater ecosystems during heatwaves and drought - this includes targets to reduce household consumption to 110 litres per head per day, and non-household water consumption, by 15% by 2050.</t>
    </r>
  </si>
  <si>
    <t xml:space="preserve">RBRA action 4 shows some refinement of abstraction licenses, but doesn't meet the full needs of the action. Other actions refer to policies to improve water use efficiency and better storage which go some way to meet the action. </t>
  </si>
  <si>
    <t>N10.2</t>
  </si>
  <si>
    <t>Further investigation into risks from relative sea-level rise and seasonal precipitation regimes. By identifying and defining trigger points in the existing policy review cycles, linked to both the rate of sea-level rise and the recharge rate of the vulnerable groundwater resource (as linked to changing precipitation patterns), different pathways for achieving sustainable abstraction could then be defined that better recognised future uncertainty.</t>
  </si>
  <si>
    <r>
      <rPr>
        <b/>
        <sz val="10"/>
        <color theme="1"/>
        <rFont val="Calibri"/>
        <family val="2"/>
      </rPr>
      <t xml:space="preserve">RBRA action 6: </t>
    </r>
    <r>
      <rPr>
        <sz val="10"/>
        <color theme="1"/>
        <rFont val="Calibri"/>
        <family val="2"/>
      </rPr>
      <t xml:space="preserve">Defra will work to fill evidence gaps, with the aim of improving our understanding of climate change impacts on projected land use change outcomes. For example, Defra will review the impact of flooding and coastal erosion on agricultural land and businesses in England and Wales by the end of 2024.
</t>
    </r>
    <r>
      <rPr>
        <b/>
        <sz val="10"/>
        <color theme="1"/>
        <rFont val="Calibri"/>
        <family val="2"/>
      </rPr>
      <t>NAP3 p.62:</t>
    </r>
    <r>
      <rPr>
        <sz val="10"/>
        <color theme="1"/>
        <rFont val="Calibri"/>
        <family val="2"/>
      </rPr>
      <t xml:space="preserve"> Monitoring and surveillance activities are important for not only filling evidence gaps, but also informing an effective adaptive management, or dynamic, approach to managing marine and coastal habitats. This will improve our understanding of how climate change is impacting marine ecosystems, helping to mitigate risks, but also support migrating species to maximise new opportunities. Defra will: improve our understanding of climate change impacts through the marine Natural Capital and Ecosystem Assessment programme (2022 to 2025), and the Marine Climate Change Impacts Partnership’s evidence reports that will be published by the end of 2023.</t>
    </r>
  </si>
  <si>
    <t>Addresses some parts of the action. Gaps include: no mention of investigation into relative sea-level rise, groundwater resources or seasonal precipitation regimes.</t>
  </si>
  <si>
    <t>N11.1</t>
  </si>
  <si>
    <t>Need for a clear mechanism that accounts for the consequences of higher water temperature and drying up of water bodies in meeting the WFD targets (and whatever their successors will be across the UK). In England, it has been suggested that there needs to be consideration of the ‘right’ enabling environment (regulatory framework) that would be required to ensure a well-adapted water sector (CCC, 2019c).</t>
  </si>
  <si>
    <r>
      <rPr>
        <b/>
        <sz val="10"/>
        <color theme="1"/>
        <rFont val="Calibri"/>
        <family val="2"/>
      </rPr>
      <t>RBRA N11 action 4:</t>
    </r>
    <r>
      <rPr>
        <sz val="10"/>
        <color theme="1"/>
        <rFont val="Calibri"/>
        <family val="2"/>
      </rPr>
      <t xml:space="preserve"> Defra will progressively improve the regulatory framework for managing the water system, by delivering the actions set out in the Plan for Water, published April 2023, to better enable joined-up management in all catchments.
</t>
    </r>
    <r>
      <rPr>
        <b/>
        <sz val="10"/>
        <color theme="1"/>
        <rFont val="Calibri"/>
        <family val="2"/>
      </rPr>
      <t>NAP3 p.50-51:</t>
    </r>
    <r>
      <rPr>
        <sz val="10"/>
        <color theme="1"/>
        <rFont val="Calibri"/>
        <family val="2"/>
      </rPr>
      <t xml:space="preserve"> Agriculture Act (2020) – provides the powers for the new Environmental Land Management schemes (ELMs), which support farmers to deliver ‘public goods’ such as clean water and biodiversity-rich habitats. These in turn support the foundations of food production in the long term, as set out in the Food Strategy, which describes our ambition to maintain production at current levels, where we produce domestically 60% by value of all the food we need. The government backs British farmers and has committed to maintain the farming budget at an average £2.4 billion per year (in England) over the life of this Parliament. Through support, including ELM schemes and the Water Management Grant under the Farming Investment Fund, Defra will support adaptation actions such as: incentivising farmers to use sustainable agriculture methods; supporting agroforestry and integrated pest management; and managing risks to agriculture such as drought through infarm water storage.
</t>
    </r>
    <r>
      <rPr>
        <b/>
        <sz val="10"/>
        <color theme="1"/>
        <rFont val="Calibri"/>
        <family val="2"/>
      </rPr>
      <t xml:space="preserve">NAP3 p.55: </t>
    </r>
    <r>
      <rPr>
        <sz val="10"/>
        <color theme="1"/>
        <rFont val="Calibri"/>
        <family val="2"/>
      </rPr>
      <t>Preventing or minimising non-climatic pressures will mean habitats and species are more able to withstand climate change related pressures. Measures to protect aquatic habitats include: reducing pressures on freshwater habitats and species from agrichemicals, nutrient loading, wastewater, physical modification and other pollution, through policies such as Catchment Sensitive Farming, contributing to the achievement of Good Ecological Status at 75% of water bodies by 2027; improving water efficiency, conserving more for the resilience of freshwater ecosystems during heatwaves and drought - this includes targets to reduce household consumption to 110 litres per head per day, and non-household water consumption, by 15% by 2050; keeping our freshwater habitats cool in the face of climate change, such as by investing £2 million through Defra’s 4-year Woodlands for Water Programme; encouraging tree planting along rivers through the England Woodland Creation Offer and enabling private investment for woodland creation through developing the Woodland Water Code; investment from the new Water Restoration Fund to remove redundant physical modifications and restore natural processes.</t>
    </r>
  </si>
  <si>
    <t>Several actions within the RBRA and NAP3 that significantly meet the CCRA ask. The WFD targets are not specified in the CCRA or the NAP3 but some actions are clearly signposted to in the NAP3 e.g. Good Ecological Status at 75% of water bodies by 2027.</t>
  </si>
  <si>
    <t>N11.2</t>
  </si>
  <si>
    <t xml:space="preserve">New environmental land management schemes in the UK post-EU-exit are likely to include measures to reduce diffuse nutrient pollution. Such adaptation options need to be clearly built into design and piloting. </t>
  </si>
  <si>
    <r>
      <rPr>
        <b/>
        <sz val="10"/>
        <color theme="1"/>
        <rFont val="Calibri"/>
        <family val="2"/>
      </rPr>
      <t>RBRA N11:</t>
    </r>
    <r>
      <rPr>
        <sz val="10"/>
        <color theme="1"/>
        <rFont val="Calibri"/>
        <family val="2"/>
      </rPr>
      <t xml:space="preserve"> does not address this action.
</t>
    </r>
    <r>
      <rPr>
        <b/>
        <sz val="10"/>
        <color theme="1"/>
        <rFont val="Calibri"/>
        <family val="2"/>
      </rPr>
      <t xml:space="preserve">NAP3 p.51: </t>
    </r>
    <r>
      <rPr>
        <sz val="10"/>
        <color theme="1"/>
        <rFont val="Calibri"/>
        <family val="2"/>
      </rPr>
      <t>Environment Act (2021) – provides a framework for the development of long-term, legally binding environmental targets, including those set out in the government’s Environmental Improvement Plan (EIP) 2023, to: ... reduce nutrient and sediment pollution by 40% by 2038 and reduce phosphorus loadings from treated wastewater by 80% by 2038.</t>
    </r>
  </si>
  <si>
    <t>Environmental Land Management scheme (ELMs)</t>
  </si>
  <si>
    <t>Reference to two policies in NAP3 that include measures to reduce diffuse nutrient. Expected that measures in ELMs will address further, but assessment of that is out of the scope of this evaluation.</t>
  </si>
  <si>
    <t>N11.3</t>
  </si>
  <si>
    <t>Need for an adaptive management approach to enhance the resilience of river basin management plans. Including policies that focus on evidence based possible adaptation measures to increase ecological resilience in water courses and aquatic habitats e.g. assisted natural recovery, weir removal, reconnecting channels etc.</t>
  </si>
  <si>
    <r>
      <rPr>
        <b/>
        <sz val="10"/>
        <color theme="1"/>
        <rFont val="Calibri"/>
        <family val="2"/>
      </rPr>
      <t>RBRA N11 action 3:</t>
    </r>
    <r>
      <rPr>
        <sz val="10"/>
        <color theme="1"/>
        <rFont val="Calibri"/>
        <family val="2"/>
      </rPr>
      <t xml:space="preserve"> Defra will restore natural function and iconic water landscapes, through updated River Basin Management Plans up to 2027, to allow natural processes to re-establish and to produce the highest-quality habitats naturally.
</t>
    </r>
    <r>
      <rPr>
        <b/>
        <sz val="10"/>
        <color theme="1"/>
        <rFont val="Calibri"/>
        <family val="2"/>
      </rPr>
      <t>NAP3 p.55:</t>
    </r>
    <r>
      <rPr>
        <sz val="10"/>
        <color theme="1"/>
        <rFont val="Calibri"/>
        <family val="2"/>
      </rPr>
      <t xml:space="preserve"> Preventing or minimising non-climatic pressures will mean habitats and species are more able to withstand climate change related pressures. Measures to protect aquatic habitats include: encouraging tree planting along rivers through the England Woodland Creation Offer and enabling private investment for woodland creation through developing the Woodland Water Code.</t>
    </r>
  </si>
  <si>
    <t>Clear action in the RBRA meeting the CCRA ask. No mention of river basin management plans or actions in NAP3 but actions that relate to improving river habitats.</t>
  </si>
  <si>
    <t>N12.1</t>
  </si>
  <si>
    <t>Increasing monitoring and surveillance would be beneficial given the environmental and economic benefits of taking early action on eradicating or controlling pests, pathogens and INNS. Potential options for preventing the spread of INNS include biosecurity measures, monitoring, enforcing legislation banning or restricting the possession, sale and release of certain species.</t>
  </si>
  <si>
    <r>
      <rPr>
        <b/>
        <sz val="10"/>
        <color theme="1"/>
        <rFont val="Calibri"/>
        <family val="2"/>
      </rPr>
      <t>RBRA N12 action 1:</t>
    </r>
    <r>
      <rPr>
        <sz val="10"/>
        <color theme="1"/>
        <rFont val="Calibri"/>
        <family val="2"/>
      </rPr>
      <t xml:space="preserve"> Defra will continue to identify and prioritise aquatic pathogens that are likely to i) establish, ii) increase in spread or iii) increase in impact as a result of climate change or iv) exacerbate climate-related pressures on aquatic biodiversity, fisheries or aquaculture, throughout the NAP3 implementation period. This will inform prevention, eradication and long-term management plans that take climate change into account. Over the next 5 years, Defra’s actions will primarily focus on pathogens that impact the aquaculture industry.
</t>
    </r>
    <r>
      <rPr>
        <b/>
        <sz val="10"/>
        <color theme="1"/>
        <rFont val="Calibri"/>
        <family val="2"/>
      </rPr>
      <t>RBRA N12 action 3:</t>
    </r>
    <r>
      <rPr>
        <sz val="10"/>
        <color theme="1"/>
        <rFont val="Calibri"/>
        <family val="2"/>
      </rPr>
      <t xml:space="preserve"> Defra will continue to improve monitoring and surveillance for priority pathogens through the NAP3 implementation period to 2028 and beyond, to support prevention and rapid responses – for example, by developing disease profiles and epidemiological models that consider climate change impacts. These will inform risk-based surveillance. 
</t>
    </r>
    <r>
      <rPr>
        <b/>
        <sz val="10"/>
        <color theme="1"/>
        <rFont val="Calibri"/>
        <family val="2"/>
      </rPr>
      <t>RBRA N12 action 6:</t>
    </r>
    <r>
      <rPr>
        <sz val="10"/>
        <color theme="1"/>
        <rFont val="Calibri"/>
        <family val="2"/>
      </rPr>
      <t xml:space="preserve"> Defra will increase development and capacity in core technical areas, including monitoring methodologies and risk modelling to inform the management of priority pathogens, through the NAP3 implementation period from 2023 to 2028.
</t>
    </r>
    <r>
      <rPr>
        <b/>
        <sz val="10"/>
        <color theme="1"/>
        <rFont val="Calibri"/>
        <family val="2"/>
      </rPr>
      <t xml:space="preserve">NAP3 p.57: </t>
    </r>
    <r>
      <rPr>
        <sz val="10"/>
        <color theme="1"/>
        <rFont val="Calibri"/>
        <family val="2"/>
      </rPr>
      <t>Monitoring and surveillance of species populations is also essential to inform adaptive action. For example, it can help to inform a proactive approach to managing pests, pathogens and invasive non-native species. Defra, the Animal and Plant Health Agency, and the Centre for Environment, Fisheries and Aquaculture Science will: identify aquatic pathogens and INNS which are likely to establish self-sustaining populations or increase in distribution and/or impact due to climate change or are likely to exacerbate climate-related pressures; continue to develop biosecurity, contingency and rapid response plans to support the prevention, rapid eradication, management and control of priority pathogens and INNS, such as actions under the Great Britain INNS Strategy 2023-2030 on monitoring, surveillance and horizon scanning; develop and use Pathway Action Plans for priority pathways to guide actions with stakeholders and user groups to limit the spread of INNS. Pathways are the routes and mechanisms for the introduction and spread of INNS. Some pathways are ranked as higher risk as they have the potential to introduce greater numbers of high-impact INNS. 
This will inform: the continued improvement of biosecurity, contingency and rapid response plans for priority climate-assisted aquatic pests, pathogens and INNS; the regular updating of the list of species of special concern established by the retained Invasive Alien Species Regulation, keeping strict regulations and restrictions on their breeding, transport, sale, use or exchange up to date.</t>
    </r>
  </si>
  <si>
    <t>Multiple actions relating to monitoring methods, and surveillance of pest, pathogens and INNS and biosecurity. No mention of legislation that will ban or restrict the possession of certain species.</t>
  </si>
  <si>
    <t>Defra
Animal and Plan Health Agency
Centre for Environment, Fisheries and Aquaculture Science</t>
  </si>
  <si>
    <t>N12.2</t>
  </si>
  <si>
    <t>Further research aimed at developing effective eradication methods and rapid response for early invasion.</t>
  </si>
  <si>
    <r>
      <rPr>
        <b/>
        <sz val="10"/>
        <color theme="1"/>
        <rFont val="Calibri"/>
        <family val="2"/>
      </rPr>
      <t>RBRA N12 action 2:</t>
    </r>
    <r>
      <rPr>
        <sz val="10"/>
        <color theme="1"/>
        <rFont val="Calibri"/>
        <family val="2"/>
      </rPr>
      <t xml:space="preserve"> Defra will commission research to improve understanding of the risk of introduction, emergence, establishment, dispersal or spread and impact of priority pathogens set out in Action 1, through the NAP3 implementation period from 2023 to 2028.
</t>
    </r>
    <r>
      <rPr>
        <b/>
        <sz val="10"/>
        <color theme="1"/>
        <rFont val="Calibri"/>
        <family val="2"/>
      </rPr>
      <t>RBRA N12 action 4:</t>
    </r>
    <r>
      <rPr>
        <sz val="10"/>
        <color theme="1"/>
        <rFont val="Calibri"/>
        <family val="2"/>
      </rPr>
      <t xml:space="preserve"> Defra will continue to develop biosecurity, contingency and rapid response plans through the NAP3 implementation period to 2028 and beyond, to support the prevention and control of priority pathogens, using data and epidemiological risk tools generated under Actions 2 and 3.
</t>
    </r>
    <r>
      <rPr>
        <b/>
        <sz val="10"/>
        <color theme="1"/>
        <rFont val="Calibri"/>
        <family val="2"/>
      </rPr>
      <t>NAP3 p.57:</t>
    </r>
    <r>
      <rPr>
        <sz val="10"/>
        <color theme="1"/>
        <rFont val="Calibri"/>
        <family val="2"/>
      </rPr>
      <t xml:space="preserve"> Monitoring and surveillance of species populations is also essential to inform adaptive action. For example, it can help to inform a proactive approach to managing pests, pathogens and invasive non-native species. Defra, the Animal and Plant Health Agency, and the Centre for Environment, Fisheries and Aquaculture Science will: continue to develop biosecurity, contingency and rapid response plans to support the prevention, rapid eradication, management and control of priority pathogens and INNS, such as actions under the Great Britain INNS Strategy 2023-2030 on monitoring, surveillance and horizon scanning.</t>
    </r>
  </si>
  <si>
    <t>NAP3 includes actions for collaborative work to develop rapid responses plans and rapid eradication methods. Commissioned research will further the evidence base.</t>
  </si>
  <si>
    <t>N13.1</t>
  </si>
  <si>
    <t>Unclear typology noted in text</t>
  </si>
  <si>
    <r>
      <rPr>
        <b/>
        <sz val="10"/>
        <color theme="1"/>
        <rFont val="Calibri"/>
        <family val="2"/>
      </rPr>
      <t>RBRA:</t>
    </r>
    <r>
      <rPr>
        <sz val="10"/>
        <color theme="1"/>
        <rFont val="Calibri"/>
        <family val="2"/>
      </rPr>
      <t xml:space="preserve"> See evaluation of </t>
    </r>
    <r>
      <rPr>
        <b/>
        <sz val="10"/>
        <color theme="1"/>
        <rFont val="Calibri"/>
        <family val="2"/>
      </rPr>
      <t>N11 actions</t>
    </r>
    <r>
      <rPr>
        <sz val="10"/>
        <color theme="1"/>
        <rFont val="Calibri"/>
        <family val="2"/>
      </rPr>
      <t xml:space="preserve">.
</t>
    </r>
    <r>
      <rPr>
        <b/>
        <sz val="10"/>
        <color theme="1"/>
        <rFont val="Calibri"/>
        <family val="2"/>
      </rPr>
      <t xml:space="preserve">NAP3 p.54: </t>
    </r>
    <r>
      <rPr>
        <sz val="10"/>
        <color theme="1"/>
        <rFont val="Calibri"/>
        <family val="2"/>
      </rPr>
      <t>However, there are also opportunities. Some species may expand their distribution due to climate change, contributing to nature’s adaptation (source: CCC, 2021).</t>
    </r>
  </si>
  <si>
    <t>Action is to take no action. NAP3 recognises the opportunities in the introduction to section 3.2 but doesn't include any actions to promote them. Essentially a 'Watching brief'.</t>
  </si>
  <si>
    <t>See N11 RBRA actions.</t>
  </si>
  <si>
    <t>N14.1</t>
  </si>
  <si>
    <t>A priority should be actions that reduce other environmental stressors, including pollution and overfishing, as recognised by MPAs and recent proposals to designate Highly Protected Marine Areas (HPMAs – see Benyon et al. 2020), and to enhance both their individual and collective (network) functionality through improved incorporation of clear objectives for climate change adaptation.</t>
  </si>
  <si>
    <r>
      <rPr>
        <b/>
        <sz val="10"/>
        <color theme="1"/>
        <rFont val="Calibri"/>
        <family val="2"/>
      </rPr>
      <t>RBRA N14 action 1:</t>
    </r>
    <r>
      <rPr>
        <sz val="10"/>
        <color theme="1"/>
        <rFont val="Calibri"/>
        <family val="2"/>
      </rPr>
      <t xml:space="preserve"> Defra will maintain an adaptive management approach to reduce anthropogenic non-climate pressures on marine species and habitats, through the NAP3 implementation period to 2028 and beyond. Defra will publish an update in 2023 to the UK Marine Strategy programme, containing an updated list of measures and actions we, and the devolved administrations, are taking to move towards good environmental status, and the impacts we expect to see as a result. For Marine Protected Areas, our target is that 70% of designated features will be in favourable condition by 2042, with the remainder in recovering condition.
</t>
    </r>
    <r>
      <rPr>
        <b/>
        <sz val="10"/>
        <color theme="1"/>
        <rFont val="Calibri"/>
        <family val="2"/>
      </rPr>
      <t>RBRA N14 action 2:</t>
    </r>
    <r>
      <rPr>
        <sz val="10"/>
        <color theme="1"/>
        <rFont val="Calibri"/>
        <family val="2"/>
      </rPr>
      <t xml:space="preserve"> Defra will use the first 5 Fisheries Management Plans, published by the end of 2023, to increase the implementation of sustainable fisheries practices. Implementation of the plans will consider the context of climate change throughout the NAP3 implementation period. 
</t>
    </r>
    <r>
      <rPr>
        <b/>
        <sz val="10"/>
        <color theme="1"/>
        <rFont val="Calibri"/>
        <family val="2"/>
      </rPr>
      <t>RBRA N14 action 3:</t>
    </r>
    <r>
      <rPr>
        <sz val="10"/>
        <color theme="1"/>
        <rFont val="Calibri"/>
        <family val="2"/>
      </rPr>
      <t xml:space="preserve"> Defra will develop an approach to support the restoration, recovery and creation of marine habitats, where relevant using effective spatial targeting, to improve the resilience of ecosystem services to support species.
</t>
    </r>
    <r>
      <rPr>
        <b/>
        <sz val="10"/>
        <color theme="1"/>
        <rFont val="Calibri"/>
        <family val="2"/>
      </rPr>
      <t>NAP3 p60-61:</t>
    </r>
    <r>
      <rPr>
        <sz val="10"/>
        <color theme="1"/>
        <rFont val="Calibri"/>
        <family val="2"/>
      </rPr>
      <t xml:space="preserve"> Defra will: protect our MPAs from damaging fishing activity by the end of 2024, and deliver our new statutory target for 70% of the designated features in the MPA network to be in favourable condition by 2042; explore more sites following the designation of the first 3 Highly Protected Marine Areas in English waters; reduce the pollution of marine habitats from transitional (freshwater) and coastal water bodies through the Water Environment Regulations objective to achieve Good Ecological Status for 75% of water bodies by 2027; develop and implement 16 Fisheries Management Plans to restore or maintain fish stocks to sustainable levels in the context of present and future climate change, which are being developed between 2023 and 2028 to cover English waters.
</t>
    </r>
    <r>
      <rPr>
        <b/>
        <sz val="10"/>
        <color theme="1"/>
        <rFont val="Calibri"/>
        <family val="2"/>
      </rPr>
      <t>GRPR Recommendation 26:</t>
    </r>
    <r>
      <rPr>
        <sz val="10"/>
        <color theme="1"/>
        <rFont val="Calibri"/>
        <family val="2"/>
      </rPr>
      <t xml:space="preserve"> We have committed that, where needed, all offshore Marine Protected Areas (MPAs) will have byelaws in place by the end of 2024 to protect them from damaging fishing activity. This will help deliver our new statutory target for 70% of the designated features in the MPA network to be in favourable condition by 2042. On 5 July, we implemented our first 3 Highly Protected Marine Areas (HPMA) which are being granted the greatest protection in our seas. HPMAs provide nature-based solutions, including carbon capture and storage, water purification and erosion protection, and nursery and spawning habitats for commercial species. In February 2023 we committed to exploring the identification of new sites. The Joint Fisheries Statement and Fisheries Management Plans describe policies to mitigate the impact of fishing activity on benthic habitats. These are in the UK Marine Strategy programme of measures update to prevent fishing practices impacting biodiversity or seabed integrity. Defra works with organisations including the Marine Management Organisation, Inshore Fisheries and Conservation Authorities, to enforce fisheries regulations and protect our waters. We agree annually a total allowable catch for over 100 stocks to limit the total uptake of each stock.
</t>
    </r>
  </si>
  <si>
    <t>Multiple actions that significantly meet the CCRA ask to reduce stressors. However, there is no clear action that refers to objectives for climate adaptation.</t>
  </si>
  <si>
    <t>N14.2</t>
  </si>
  <si>
    <t>In fisheries, there is a need for better implementation of existing measures through improved management and institutional arrangements (policy; legal; fisheries planning; conservation objectives; risk preparedness).</t>
  </si>
  <si>
    <r>
      <rPr>
        <b/>
        <sz val="10"/>
        <color theme="1"/>
        <rFont val="Calibri"/>
        <family val="2"/>
      </rPr>
      <t>RBRA N14 action 2:</t>
    </r>
    <r>
      <rPr>
        <sz val="10"/>
        <color theme="1"/>
        <rFont val="Calibri"/>
        <family val="2"/>
      </rPr>
      <t xml:space="preserve"> Defra will use the first 5 Fisheries Management Plans, published by the end of 2023, to increase the implementation of sustainable fisheries practices. Implementation of the plans will consider the context of climate change throughout the NAP3 implementation period. 
</t>
    </r>
    <r>
      <rPr>
        <b/>
        <sz val="10"/>
        <color theme="1"/>
        <rFont val="Calibri"/>
        <family val="2"/>
      </rPr>
      <t>NAP3 p60-61:</t>
    </r>
    <r>
      <rPr>
        <sz val="10"/>
        <color theme="1"/>
        <rFont val="Calibri"/>
        <family val="2"/>
      </rPr>
      <t xml:space="preserve"> Defra will: protect our MPAs from damaging fishing activity by the end of 2024, and deliver our new statutory target for 70% of the designated features in the MPA network to be in favourable condition by 2042; explore more sites following the designation of the first 3 Highly Protected Marine Areas in English waters; reduce the pollution of marine habitats from transitional (freshwater) and coastal water bodies through the Water Environment Regulations objective to achieve Good Ecological Status for 75% of water bodies by 2027; develop and implement 16 Fisheries Management Plans to restore or maintain fish stocks to sustainable levels in the context of present and future climate change, which are being developed between 2023 and 2028 to cover English waters.</t>
    </r>
  </si>
  <si>
    <t>Actions in the RBRA and NAP3, which include a mixture of existing and new measures, largely meet the CCRA ask.</t>
  </si>
  <si>
    <t>N14.3</t>
  </si>
  <si>
    <t>(Fisheries) Diversification into new species and avoidance of negative by-catch losses will require gear and catch-method innovations, including new information-sharing networks to better target new species and avoid other species, particularly in mixed stocks with changing composition. This is likely to require further realignment of incentives to support sustainable fishing, including through further development of Ecosystem-based Management (EBM) for which a range of practical approaches have now been investigated in different contexts (e.g. Borja et al., 2016).</t>
  </si>
  <si>
    <r>
      <rPr>
        <b/>
        <sz val="10"/>
        <color theme="1"/>
        <rFont val="Calibri"/>
        <family val="2"/>
      </rPr>
      <t>RBRA N14 action 2:</t>
    </r>
    <r>
      <rPr>
        <sz val="10"/>
        <color theme="1"/>
        <rFont val="Calibri"/>
        <family val="2"/>
      </rPr>
      <t xml:space="preserve"> Defra will use the first 5 Fisheries Management Plans, published by the end of 2023, to increase the implementation of sustainable fisheries practices. Implementation of the plans will consider the context of climate change throughout the NAP3 implementation period. 
</t>
    </r>
    <r>
      <rPr>
        <b/>
        <sz val="10"/>
        <color theme="1"/>
        <rFont val="Calibri"/>
        <family val="2"/>
      </rPr>
      <t xml:space="preserve">NAP3 p.61: </t>
    </r>
    <r>
      <rPr>
        <sz val="10"/>
        <color theme="1"/>
        <rFont val="Calibri"/>
        <family val="2"/>
      </rPr>
      <t xml:space="preserve">Defra will fund research to understand: the climate change impacts on fisheries and fish stocks and integrate findings into future Fisheries Management Plans to support climate adaptive management across English and Welsh fisheries. Defra will continue to fund research across this area to address the evidence gaps and where evidence is lacking, the precautionary objective may apply.
</t>
    </r>
    <r>
      <rPr>
        <b/>
        <sz val="10"/>
        <color theme="1"/>
        <rFont val="Calibri"/>
        <family val="2"/>
      </rPr>
      <t>NAP3 p.62:</t>
    </r>
    <r>
      <rPr>
        <sz val="10"/>
        <color theme="1"/>
        <rFont val="Calibri"/>
        <family val="2"/>
      </rPr>
      <t xml:space="preserve"> The government will provide the guidance, platforms and opportunities to coordinate and align actions for an integrated approach to coastal, marine and fisheries management. This includes: supporting investment in skills, equipment and data collection which will help commercial fisheries and aquaculture to take advantage of opportunities created by climate change, such as warm-water species moving into UK waters, through the UK Seafood Scheme and England’s Fisheries and Seafood Scheme. Funding for this scheme, is available to March 2025.</t>
    </r>
  </si>
  <si>
    <t>The actions recognise the benefit of understanding and taking advantage of the changing climate on fisheries, but do not meet the CCRA ask in terms of gear and catch-method innovations.</t>
  </si>
  <si>
    <t>N14.4</t>
  </si>
  <si>
    <t>(Fisheries) Pressure on existing stocks may also be alleviated by schemes to encourage the UK public to diversify their choice of fish beyond a few familiar species (notably cod and haddock) and through further development of certification schemes to indicate sourcing from sustainable sources.</t>
  </si>
  <si>
    <r>
      <rPr>
        <b/>
        <sz val="10"/>
        <color theme="1"/>
        <rFont val="Calibri"/>
        <family val="2"/>
      </rPr>
      <t xml:space="preserve">RBRA N14: </t>
    </r>
    <r>
      <rPr>
        <sz val="10"/>
        <color theme="1"/>
        <rFont val="Calibri"/>
        <family val="2"/>
      </rPr>
      <t xml:space="preserve">does not address this action.
</t>
    </r>
    <r>
      <rPr>
        <b/>
        <sz val="10"/>
        <color theme="1"/>
        <rFont val="Calibri"/>
        <family val="2"/>
      </rPr>
      <t xml:space="preserve">NAP3 Chapter 3: </t>
    </r>
    <r>
      <rPr>
        <sz val="10"/>
        <color theme="1"/>
        <rFont val="Calibri"/>
        <family val="2"/>
      </rPr>
      <t xml:space="preserve">does not address this action.
</t>
    </r>
  </si>
  <si>
    <t>No mention of changes to diet or fish species choices in the RBRA or NAP3.</t>
  </si>
  <si>
    <t>N14.5</t>
  </si>
  <si>
    <t>Establishment of a sounder conceptual and management basis for key indicators such as ‘maximum sustainable yields’ (MSY) in the context of both short-term climate variability and longer-term climate change, including anticipatory application to new species in UK or international waters. MSY needs to be better framed within the context of ecosystem-based management (EBM), rather than individual species-specific targets in isolation, recognising also habitat needed for both the stock fish and other interdependent species to function. Nevertheless, it also needs to be recognised that the complexities of EBM may necessitate long lead-times for implementation, and that effective management of stocks also will require continued and probably enhanced international cooperation.</t>
  </si>
  <si>
    <t>No mention of indicators, including MSY, in relation to sustainable fisheries.</t>
  </si>
  <si>
    <t>N14.6</t>
  </si>
  <si>
    <t xml:space="preserve">Better monitoring of ecological changes and their relationship with the physical environment, to support improvements in adaptation for both biodiversity and fisheries. Monitoring is very likely to benefit increasingly from enhanced use of remote sensing and its use in combination with other observations to establish improved time series and spatial data. A further benefit from monitoring is likely to be better use of forecasting systems to understand and predict variability over different timescales, from seasonal to multi-annual, and hence their use in both fisheries and biodiversity management (e.g. for setting fishing quotas). </t>
  </si>
  <si>
    <r>
      <rPr>
        <b/>
        <sz val="10"/>
        <color theme="1"/>
        <rFont val="Calibri"/>
        <family val="2"/>
      </rPr>
      <t>RBRA N14 action 4:</t>
    </r>
    <r>
      <rPr>
        <sz val="10"/>
        <color theme="1"/>
        <rFont val="Calibri"/>
        <family val="2"/>
      </rPr>
      <t xml:space="preserve"> Defra will continue to identify and monitor climate change impacts on the marine environment and fisheries, through the NAP3 implementation period to 2028 and beyond, to help the government fill evidence gaps and design strategic
interventions to address climate risks. This includes through the Marine Climate Change Impacts Partnership's evidence reports that will be published by the end of 2023.
</t>
    </r>
    <r>
      <rPr>
        <b/>
        <sz val="10"/>
        <color theme="1"/>
        <rFont val="Calibri"/>
        <family val="2"/>
      </rPr>
      <t xml:space="preserve">NAP3 p.61: </t>
    </r>
    <r>
      <rPr>
        <sz val="10"/>
        <color theme="1"/>
        <rFont val="Calibri"/>
        <family val="2"/>
      </rPr>
      <t>Defra will fund research to understand: how to address climate risks to blue carbon habitats; the climate change impacts on fisheries and fish stocks and integrate findings into future Fisheries Management Plans to support climate adaptive management across English and Welsh fisheries. Defra will continue to fund research across this area to address the evidence gaps and where evidence is lacking, the precautionary objective may apply.</t>
    </r>
    <r>
      <rPr>
        <b/>
        <sz val="10"/>
        <color theme="1"/>
        <rFont val="Calibri"/>
        <family val="2"/>
      </rPr>
      <t xml:space="preserve">
NAP3 p.62: </t>
    </r>
    <r>
      <rPr>
        <sz val="10"/>
        <color theme="1"/>
        <rFont val="Calibri"/>
        <family val="2"/>
      </rPr>
      <t>Defra will: improve our understanding of climate change impacts through the marine Natural Capital and Ecosystem Assessment programme (2022 to 2025), and the Marine Climate Change Impacts Partnership’s evidence reports that will be published by the end of 2023.</t>
    </r>
  </si>
  <si>
    <t>N15.1</t>
  </si>
  <si>
    <t>Further investigation of new marine species in the context of changing species distributions, species interactions and habitat quality, especially in the context of the MPA network and therefore evidence-based recommendations for further development and enhancement of the network.</t>
  </si>
  <si>
    <r>
      <rPr>
        <b/>
        <sz val="10"/>
        <color theme="1"/>
        <rFont val="Calibri"/>
        <family val="2"/>
      </rPr>
      <t>RBRA N15 action 2:</t>
    </r>
    <r>
      <rPr>
        <sz val="10"/>
        <color theme="1"/>
        <rFont val="Calibri"/>
        <family val="2"/>
      </rPr>
      <t xml:space="preserve"> Defra will continue to improve its understanding of new species arriving, shifts in species ranges, and habitat changes caused by climate change, to support decision making. This includes through the Fisheries and Seafood Scheme, which supports partnerships between science and industry and the Fisheries Industry Science Partnerships scheme under the UK Seafood Fund. Funding for these schemes runs until March 2025. 
</t>
    </r>
    <r>
      <rPr>
        <b/>
        <sz val="10"/>
        <color theme="1"/>
        <rFont val="Calibri"/>
        <family val="2"/>
      </rPr>
      <t>NAP3 p.61:</t>
    </r>
    <r>
      <rPr>
        <sz val="10"/>
        <color theme="1"/>
        <rFont val="Calibri"/>
        <family val="2"/>
      </rPr>
      <t xml:space="preserve"> Monitoring and surveillance activities are important for not only filling evidence gaps, but also informing an effective adaptive management, or dynamic, approach to managing marine and coastal habitats. This will improve our understanding of how climate change is impacting marine ecosystems, helping to mitigate risks, but also support migrating species to maximise new opportunities. Defra will: improve our understanding of climate change impacts through the marine Natural Capital and Ecosystem Assessment programme (2022 to 2025), and the Marine Climate Change Impacts Partnership’s evidence reports that will be published by the end of 2023.</t>
    </r>
  </si>
  <si>
    <t>Action to improve understanding of new species/changes in species distribution set out in the RBRA and referred to in NAP3.</t>
  </si>
  <si>
    <t>N15.2</t>
  </si>
  <si>
    <t>Current marine plans need to be further developed to recognise the key challenges for each priority habitat in the context of climate change adaptation, including their varying locations and viability as a coherent ecological network.</t>
  </si>
  <si>
    <r>
      <rPr>
        <b/>
        <sz val="10"/>
        <color theme="1"/>
        <rFont val="Calibri"/>
        <family val="2"/>
      </rPr>
      <t>RBRA N15 action 3:</t>
    </r>
    <r>
      <rPr>
        <sz val="10"/>
        <color theme="1"/>
        <rFont val="Calibri"/>
        <family val="2"/>
      </rPr>
      <t xml:space="preserve"> Defra will maintain an adaptive management approach to reduce anthropogenic non-climate pressures on marine species and habitats. This includes through the Marine Spatial Prioritisation Programme that will deliver recommendations to ministers on the future approach to marine planning in 2024.
</t>
    </r>
    <r>
      <rPr>
        <b/>
        <sz val="10"/>
        <color theme="1"/>
        <rFont val="Calibri"/>
        <family val="2"/>
      </rPr>
      <t>NAP3 Chapter 3:</t>
    </r>
    <r>
      <rPr>
        <sz val="10"/>
        <color theme="1"/>
        <rFont val="Calibri"/>
        <family val="2"/>
      </rPr>
      <t xml:space="preserve"> does not address this action.</t>
    </r>
    <r>
      <rPr>
        <b/>
        <sz val="10"/>
        <color theme="1"/>
        <rFont val="Calibri"/>
        <family val="2"/>
      </rPr>
      <t xml:space="preserve">
GRPR Recommendation 21: </t>
    </r>
    <r>
      <rPr>
        <sz val="10"/>
        <color theme="1"/>
        <rFont val="Calibri"/>
        <family val="2"/>
      </rPr>
      <t xml:space="preserve">We do not agree that there is a gap in protection as a result of private sector organisations not being legally required to consider the marine plan policies. Under S58(1) of the Marine and Coastal Access Act 2009, public authorities must take authorisation or enforcement decisions in accordance with the appropriate marine policy document. For example, through the marine licensing process, applicants have to confirm they have taken account of marine plan policies. This information is considered by the Marine Management Organisation, including a more detailed consideration of alignment with marine plan policies, when determining an application for a marine licence. Other public authorities have similar processes. </t>
    </r>
  </si>
  <si>
    <t>Action has been recognised in the Government's Response to Parliament, but not addressed through additional measures.</t>
  </si>
  <si>
    <t>N15.3</t>
  </si>
  <si>
    <t>Further development of an ecosystems-based approach and a more systematic programme of research and monitoring that can facilitate an adaptive management approach that recognises the inevitable uncertainty and complexity in the marine environment. For fisheries, improved monitoring data would be beneficial on changing species movements and catches in order to better inform policy decisions on sustainable quotas for new species.</t>
  </si>
  <si>
    <r>
      <rPr>
        <b/>
        <sz val="10"/>
        <color theme="1"/>
        <rFont val="Calibri"/>
        <family val="2"/>
      </rPr>
      <t>RBRA N15 action 2:</t>
    </r>
    <r>
      <rPr>
        <sz val="10"/>
        <color theme="1"/>
        <rFont val="Calibri"/>
        <family val="2"/>
      </rPr>
      <t xml:space="preserve"> Defra will continue to improve its understanding of new species arriving, shifts in species ranges, and habitat changes caused by climate change, to support decision making. This includes through the Fisheries and Seafood Scheme, which supports partnerships between science and industry and the Fisheries Industry Science Partnerships scheme under the UK Seafood Fund. Funding for these schemes runs until March 2025. 
</t>
    </r>
    <r>
      <rPr>
        <b/>
        <sz val="10"/>
        <color theme="1"/>
        <rFont val="Calibri"/>
        <family val="2"/>
      </rPr>
      <t>NAP3 p.61:</t>
    </r>
    <r>
      <rPr>
        <sz val="10"/>
        <color theme="1"/>
        <rFont val="Calibri"/>
        <family val="2"/>
      </rPr>
      <t xml:space="preserve"> Monitoring and surveillance activities are important for not only filling evidence gaps, but also informing an effective adaptive management, or dynamic, approach to managing marine and coastal habitats. This will improve our understanding of how climate change is impacting marine ecosystems, helping to mitigate risks, but also support migrating species to maximise new opportunities. Defra will: gather evidence to support the development of climate specific targets and actions and consider them for inclusion in the next update to UK Marine Strategy, due at the end of 2024.</t>
    </r>
  </si>
  <si>
    <t xml:space="preserve">Actions that indicate further research and monitoring of changes in species but no clear mechanism for that information to inform adaptive management. </t>
  </si>
  <si>
    <t>N16.1</t>
  </si>
  <si>
    <t>Enhanced control measures through biosecurity regulations and best practice have the greatest benefits in reducing risk, complemented by improved forecasting of outbreaks to provide additional focus.</t>
  </si>
  <si>
    <r>
      <rPr>
        <b/>
        <sz val="10"/>
        <color theme="1"/>
        <rFont val="Calibri"/>
        <family val="2"/>
      </rPr>
      <t xml:space="preserve">RBRA N16 action 5: </t>
    </r>
    <r>
      <rPr>
        <sz val="10"/>
        <color theme="1"/>
        <rFont val="Calibri"/>
        <family val="2"/>
      </rPr>
      <t xml:space="preserve">Defra will implement priority pathway action plans and contingency plans and keep them up to date with changes in evidence, governance and legislation by 2030 to prevent the introduction or spread of INNS. Defra will continue to develop biosecurity, contingency and rapid response plans to support the prevention and control of priority pathogens, through the NAP3 implementation period to 2028 and beyond, using data and epidemiological risk tools generated under Actions 3 and 4.
</t>
    </r>
    <r>
      <rPr>
        <b/>
        <sz val="10"/>
        <color theme="1"/>
        <rFont val="Calibri"/>
        <family val="2"/>
      </rPr>
      <t>NAP3 p.57:</t>
    </r>
    <r>
      <rPr>
        <sz val="10"/>
        <color theme="1"/>
        <rFont val="Calibri"/>
        <family val="2"/>
      </rPr>
      <t xml:space="preserve"> Defra, the Animal and Plant Health Agency, and the Centre for Environment, Fisheries and Aquaculture Science will: continue to develop biosecurity, contingency and rapid response plans to support the prevention, rapid eradication, management and control of priority pathogens and INNS, such as actions under the Great Britain INNS Strategy 2023-2030 on monitoring, surveillance and horizon scanning.</t>
    </r>
  </si>
  <si>
    <t>Recognition and action to improve biosecurity monitoring, but no evidence of the creation of biosecurity regulations.</t>
  </si>
  <si>
    <t>N16.2</t>
  </si>
  <si>
    <t>Requirements for strong systems of international monitoring and surveillance to provide updated data on problem species and pathogens to support improved forecasting, through Government intervention. Improved data and forecasting capability would also allow further investigation of the role of climate-related parameters in risk assessment.</t>
  </si>
  <si>
    <r>
      <rPr>
        <b/>
        <sz val="10"/>
        <color theme="1"/>
        <rFont val="Calibri"/>
        <family val="2"/>
      </rPr>
      <t>RBRA N16 action 4:</t>
    </r>
    <r>
      <rPr>
        <sz val="10"/>
        <color theme="1"/>
        <rFont val="Calibri"/>
        <family val="2"/>
      </rPr>
      <t xml:space="preserve"> Defra will continue to develop and maintain an effective INNS surveillance, early detection and monitoring mechanism through the NAP3 implementation period from 2023 to 2028 to prevent the introduction, establishment or minimise the impacts of INNS. Defra will continue to improve monitoring and surveillance for priority pathogens, to support prevention and rapid responses throughout the NAP3 implementation period – for example, by developing disease profiles and epidemiological models that consider climate change impacts. These will inform risk-based surveillance.
</t>
    </r>
    <r>
      <rPr>
        <b/>
        <sz val="10"/>
        <color theme="1"/>
        <rFont val="Calibri"/>
        <family val="2"/>
      </rPr>
      <t>NAP3 p.57:</t>
    </r>
    <r>
      <rPr>
        <sz val="10"/>
        <color theme="1"/>
        <rFont val="Calibri"/>
        <family val="2"/>
      </rPr>
      <t xml:space="preserve"> Defra, the Animal and Plant Health Agency, and the Centre for Environment, Fisheries and Aquaculture Science will: identify aquatic pathogens and INNS which are likely to establish self-sustaining populations or increase in distribution and/or impact due to climate change or are likely to exacerbate climate-related pressures; continue to develop biosecurity, contingency and rapid response plans to support the prevention, rapid eradication, management and control of priority pathogens and INNS, such as actions under the Great Britain INNS Strategy 2023-2030 on monitoring, surveillance and horizon scanning.</t>
    </r>
  </si>
  <si>
    <t>Actions in the RBRA and NAP3 largely address the CCRA ask.</t>
  </si>
  <si>
    <t>N16.3</t>
  </si>
  <si>
    <t>Enhanced prevention through policy coordination will also be crucial, notably further steps to embed biosecurity in national and regional marine planning in relation to climate change, and also stronger incorporation of biosecurity planning as part of the consenting process for relevant marine sectors.</t>
  </si>
  <si>
    <r>
      <rPr>
        <b/>
        <sz val="10"/>
        <color theme="1"/>
        <rFont val="Calibri"/>
        <family val="2"/>
      </rPr>
      <t>RBRA N16 action 5:</t>
    </r>
    <r>
      <rPr>
        <sz val="10"/>
        <color theme="1"/>
        <rFont val="Calibri"/>
        <family val="2"/>
      </rPr>
      <t xml:space="preserve"> Defra will implement priority pathway action plans and contingency plans and keep them up to date with changes in evidence, governance and legislation by 2030 to prevent the introduction or spread of INNS. Defra will continue to develop biosecurity, contingency and rapid response plans to support the prevention and control of priority pathogens, through the NAP3 implementation period to 2028 and beyond, using data and epidemiological risk tools generated under Actions 3 and 4.
</t>
    </r>
    <r>
      <rPr>
        <b/>
        <sz val="10"/>
        <color theme="1"/>
        <rFont val="Calibri"/>
        <family val="2"/>
      </rPr>
      <t>NAP3 p.57:</t>
    </r>
    <r>
      <rPr>
        <sz val="10"/>
        <color theme="1"/>
        <rFont val="Calibri"/>
        <family val="2"/>
      </rPr>
      <t xml:space="preserve"> Defra, the Animal and Plant Health Agency, and the Centre for Environment, Fisheries and Aquaculture Science will: identify aquatic pathogens and INNS which are likely to establish self-sustaining populations or increase in distribution and/or impact due to climate change or are likely to exacerbate climate-related pressures; continue to develop biosecurity, contingency and rapid response plans to support the prevention, rapid eradication, management and control of priority pathogens and INNS, such as actions under the Great Britain INNS Strategy 2023-2030 on monitoring, surveillance and horizon scanning.</t>
    </r>
  </si>
  <si>
    <t>Recognition of increasing biosecurity research to inform its continued improvement, but no actions that embed biosecurity into marine planning.</t>
  </si>
  <si>
    <t>N16.4</t>
  </si>
  <si>
    <t>Enhanced engagement and knowledge exchange with community groups and practitioners. For example, NRW have developed collaboration with the Welsh Fishermen’s Organisation to record INNS.</t>
  </si>
  <si>
    <r>
      <rPr>
        <b/>
        <sz val="10"/>
        <color theme="1"/>
        <rFont val="Calibri"/>
        <family val="2"/>
      </rPr>
      <t>RBRA N16 action 8:</t>
    </r>
    <r>
      <rPr>
        <sz val="10"/>
        <color theme="1"/>
        <rFont val="Calibri"/>
        <family val="2"/>
      </rPr>
      <t xml:space="preserve"> Defra will carry out a communications strategy throughout 2023 to 2030 to raise awareness of INNS issues among key target audience and, where appropriate, the general public. This will inform people about the measures they can take to reduce the risks from INNS. Defra, in collaboration with the Centre for Environment, Fisheries and Aquaculture Science and other agencies, will deliver communication campaigns and other materials to stakeholders to reduce the risk of introduction and spread of priority pathogens by 2028.
</t>
    </r>
    <r>
      <rPr>
        <b/>
        <sz val="10"/>
        <color theme="1"/>
        <rFont val="Calibri"/>
        <family val="2"/>
      </rPr>
      <t xml:space="preserve">NAP3 Chapter 3: </t>
    </r>
    <r>
      <rPr>
        <sz val="10"/>
        <color theme="1"/>
        <rFont val="Calibri"/>
        <family val="2"/>
      </rPr>
      <t>does not address this action.</t>
    </r>
  </si>
  <si>
    <t>The action in the RBRA goes some way to meeting the CCRA ask, but does not meet the level of enhanced engagement in the example given within the CCRA text.</t>
  </si>
  <si>
    <t>N17.1</t>
  </si>
  <si>
    <t>Further development of schemes to deliver a sustainable coastline throughout the UK, including through managed realignment as a form of nature-based solution.</t>
  </si>
  <si>
    <r>
      <rPr>
        <b/>
        <sz val="10"/>
        <color theme="1"/>
        <rFont val="Calibri"/>
        <family val="2"/>
      </rPr>
      <t>RBRA N17 action 1:</t>
    </r>
    <r>
      <rPr>
        <sz val="10"/>
        <color theme="1"/>
        <rFont val="Calibri"/>
        <family val="2"/>
      </rPr>
      <t xml:space="preserve"> Defra will create, restore and enhance coastal habitats, including action to deliver the Environment Act target to restore or create over 500,000 hectares of wildlife-rich habitats outside of existing Protected Sites by 2042, to improve their connectivity and resilience to climate change impacts.
</t>
    </r>
    <r>
      <rPr>
        <b/>
        <sz val="10"/>
        <color theme="1"/>
        <rFont val="Calibri"/>
        <family val="2"/>
      </rPr>
      <t xml:space="preserve">NAP3 p.60: </t>
    </r>
    <r>
      <rPr>
        <sz val="10"/>
        <color theme="1"/>
        <rFont val="Calibri"/>
        <family val="2"/>
      </rPr>
      <t>Habitat restoration and management to reduce non-climate pressures will help coastal and marine habitats and species adapt to climate change. Defra will: support the creation, restoration and enhancement of estuarine, coastal and marine habitats through the ELMs, Dynamic Dunescapes, Shoreline Management Plans (SMP), the Habitat Compensation and Restoration Programme, and the Restoring Meadows Marsh and Reef initiative, which aims to restore at least 15% of the 3 priority habitats; seagrass meadows, saltmarsh and native oyster reefs by 2043. ELMs will not only provide support directly to farms in coastal areas to restore coastal habitats, but also includes offers to support upstream improvements, such as water quality, which will also aid restoration in coastal regions.</t>
    </r>
  </si>
  <si>
    <t>Some relevant actions but unclear to what extent they address the ask. Reference to ELMs indicates more detail is potentially captured there.</t>
  </si>
  <si>
    <t>N17.2</t>
  </si>
  <si>
    <t>Setting a clear target for priority habitat creation at national scale would be one policy mechanism to encourage further action, including also monitoring to ensure that good quality habitat is created.</t>
  </si>
  <si>
    <r>
      <rPr>
        <b/>
        <sz val="10"/>
        <color theme="1"/>
        <rFont val="Calibri"/>
        <family val="2"/>
      </rPr>
      <t>RBRA N17:</t>
    </r>
    <r>
      <rPr>
        <sz val="10"/>
        <color theme="1"/>
        <rFont val="Calibri"/>
        <family val="2"/>
      </rPr>
      <t xml:space="preserve"> does not address this action.
</t>
    </r>
    <r>
      <rPr>
        <b/>
        <sz val="10"/>
        <color theme="1"/>
        <rFont val="Calibri"/>
        <family val="2"/>
      </rPr>
      <t xml:space="preserve">NAP3 p.60: </t>
    </r>
    <r>
      <rPr>
        <sz val="10"/>
        <color theme="1"/>
        <rFont val="Calibri"/>
        <family val="2"/>
      </rPr>
      <t>Habitat restoration and management to reduce non-climate pressures will help coastal and marine habitats and species adapt to climate change. Defra will: support the creation, restoration and enhancement of estuarine, coastal and marine habitats through the ELMs, Dynamic Dunescapes, Shoreline Management Plans (SMP), the Habitat Compensation and Restoration Programme, and the Restoring Meadows Marsh and Reef initiative, which aims to restore at least 15% of the 3 priority habitats; seagrass meadows, saltmarsh and native oyster reefs by 2043. ELMs will not only provide support directly to farms in coastal areas to restore coastal habitats, but also includes offers to support upstream improvements, such as water quality, which will also aid restoration in coastal regions.</t>
    </r>
  </si>
  <si>
    <t>LNRS</t>
  </si>
  <si>
    <t>Clear actions with targets set, which combined with LNRS will address this ask.</t>
  </si>
  <si>
    <t>N17.3</t>
  </si>
  <si>
    <t>Further and more detailed investigation of adaptation issues is  required to confirm the initial results of Sayers et al. (2020), including against a wider range of assumptions and scenarios, and for England the enhanced adaptation commitment implied by the National Flood and Coastal Erosion Management Strategy (EA, 2020; HM Government, 2020).</t>
  </si>
  <si>
    <r>
      <rPr>
        <b/>
        <sz val="10"/>
        <color theme="1"/>
        <rFont val="Calibri"/>
        <family val="2"/>
      </rPr>
      <t xml:space="preserve">RBRA N17: </t>
    </r>
    <r>
      <rPr>
        <sz val="10"/>
        <color theme="1"/>
        <rFont val="Calibri"/>
        <family val="2"/>
      </rPr>
      <t xml:space="preserve">does not address this action.
</t>
    </r>
    <r>
      <rPr>
        <b/>
        <sz val="10"/>
        <color theme="1"/>
        <rFont val="Calibri"/>
        <family val="2"/>
      </rPr>
      <t xml:space="preserve">NAP3 p.61: </t>
    </r>
    <r>
      <rPr>
        <sz val="10"/>
        <color theme="1"/>
        <rFont val="Calibri"/>
        <family val="2"/>
      </rPr>
      <t>Defra will fund research to understand: how to address climate risks to blue carbon habitats; the climate change impacts on fisheries and fish stocks and integrate findings into future Fisheries Management Plans to support climate adaptive management across English and Welsh fisheries. Defra will continue to fund research across this area to address the evidence gaps and where evidence
is lacking, the precautionary objective may apply; the risks to the aquaculture industry from pathogens that are likely to establish, spread or increase in impact as a result of climate change; the risks from INNS under 2°C and 4°C degree global warming scenarios.</t>
    </r>
  </si>
  <si>
    <t>Clear action to fund research but unclear if it will entail all aspects of the CCRA ask. One gap is absence of mention of range of assumptions or scenario modelling within the research of climate impacts.</t>
  </si>
  <si>
    <t>N17.4</t>
  </si>
  <si>
    <t xml:space="preserve">More detailed systematic survey of habitat opportunities across the UK to update the existing, mainly smaller-scale surveys. </t>
  </si>
  <si>
    <r>
      <rPr>
        <b/>
        <sz val="10"/>
        <color theme="1"/>
        <rFont val="Calibri"/>
        <family val="2"/>
      </rPr>
      <t xml:space="preserve">RBRA N17: </t>
    </r>
    <r>
      <rPr>
        <sz val="10"/>
        <color theme="1"/>
        <rFont val="Calibri"/>
        <family val="2"/>
      </rPr>
      <t xml:space="preserve">does not address this action.
</t>
    </r>
    <r>
      <rPr>
        <b/>
        <sz val="10"/>
        <color theme="1"/>
        <rFont val="Calibri"/>
        <family val="2"/>
      </rPr>
      <t xml:space="preserve">NAP3 Chapter 3: </t>
    </r>
    <r>
      <rPr>
        <sz val="10"/>
        <color theme="1"/>
        <rFont val="Calibri"/>
        <family val="2"/>
      </rPr>
      <t>does not address this action.</t>
    </r>
  </si>
  <si>
    <t>No reference to habitat opportunities or surveys in relevant section of NAP3 or the RBRA. Potential that this is captured in LNRS.</t>
  </si>
  <si>
    <t>N17.5</t>
  </si>
  <si>
    <t>More consistent and robust approaches to record habitat losses and gains are required (including all priority habitats and not confined to designated areas).</t>
  </si>
  <si>
    <t>No reference to habitat losses or surveys in relevant section of NAP3 or the RBRA.</t>
  </si>
  <si>
    <t>N17.6</t>
  </si>
  <si>
    <t xml:space="preserve">Stronger and consistent linkages between SMPs and Flood Risk Management Plans so that the interaction between erosion and flooding hazards are better managed together. </t>
  </si>
  <si>
    <r>
      <rPr>
        <b/>
        <sz val="10"/>
        <color theme="1"/>
        <rFont val="Calibri"/>
        <family val="2"/>
      </rPr>
      <t>RBRA N17 action 4:</t>
    </r>
    <r>
      <rPr>
        <sz val="10"/>
        <color theme="1"/>
        <rFont val="Calibri"/>
        <family val="2"/>
      </rPr>
      <t xml:space="preserve"> Local councils and coastal protection authorities will continue to facilitate natural processes where possible – for example, through any necessary updates to Shoreline Management Plans – by the end of 2024. 
</t>
    </r>
    <r>
      <rPr>
        <b/>
        <sz val="10"/>
        <color theme="1"/>
        <rFont val="Calibri"/>
        <family val="2"/>
      </rPr>
      <t>NAP3 (Chapter 4: Health, communities and the built environment) p.83:</t>
    </r>
    <r>
      <rPr>
        <sz val="10"/>
        <color theme="1"/>
        <rFont val="Calibri"/>
        <family val="2"/>
      </rPr>
      <t xml:space="preserve"> The government is delivering several wider actions to support our goal to be more resilient to future flood and coastal erosion risk. Defra, DLUHC and the Environment Agency will: refresh Shoreline Management Plans by the end of 2024 so that they remain current and relevant, using the most up to date available information.</t>
    </r>
  </si>
  <si>
    <t>Reference to SMPs but not within context of improved linkages with FCRM.</t>
  </si>
  <si>
    <t>Local councils</t>
  </si>
  <si>
    <t>N17.7</t>
  </si>
  <si>
    <t>Adjustment to the wording in both the Flood and Water Management Act 2010 and the Coast Protection Act 1949 (CPA) to take into account the need for an integrated approach in the light of climate change impacts. Similar policy adjustments have also been identified for the DAs.</t>
  </si>
  <si>
    <t>No reference to the Coast Protection Act 1949 in either NAP3 or the RBRA. No reference in Chapter 3 of NAP3 to the Flood and Water Management Act 2010.</t>
  </si>
  <si>
    <t>N17.8</t>
  </si>
  <si>
    <t>Continuing and improved coastal monitoring programmes. A shift away from a reliance on hard engineering towards soft interventions, including nature-based solutions, would be reliant on such complementary monitoring initiatives for success. Improved monitoring could also be achieved through increased support for Coastal Observatories (currently 6 regional programmes in England and Wales) including complementary initiatives in Scotland and Northern Ireland.</t>
  </si>
  <si>
    <r>
      <rPr>
        <b/>
        <sz val="10"/>
        <color theme="1"/>
        <rFont val="Calibri"/>
        <family val="2"/>
      </rPr>
      <t>RBRA N17 action 6:</t>
    </r>
    <r>
      <rPr>
        <sz val="10"/>
        <color theme="1"/>
        <rFont val="Calibri"/>
        <family val="2"/>
      </rPr>
      <t xml:space="preserve"> Defra will continue to monitor the impacts of climate change on site condition, which will help government to fill evidence gaps and design strategic interventions to address climate risks. Monitoring will be improved by the establishment of the UK wetland inventory in 2028.
</t>
    </r>
    <r>
      <rPr>
        <b/>
        <sz val="10"/>
        <color theme="1"/>
        <rFont val="Calibri"/>
        <family val="2"/>
      </rPr>
      <t>NAP3 p.61:</t>
    </r>
    <r>
      <rPr>
        <sz val="10"/>
        <color theme="1"/>
        <rFont val="Calibri"/>
        <family val="2"/>
      </rPr>
      <t xml:space="preserve"> Monitoring and surveillance activities are important for not only filling evidence gaps, but also informing an effective adaptive management, or dynamic, approach to managing marine and coastal habitats. This will improve our understanding of how
climate change is impacting marine ecosystems, helping to mitigate risks, but also support migrating species to maximise new opportunities. Defra will: continue actions under the Great Britain INNS Strategy 2023 to 2030 on monitoring, surveillance and horizon scanning to facilitate prevention, rapid eradication and management of priority INNS; gather evidence to support the development of climate specific targets and actions and consider them for inclusion in the next update to UK Marine Strategy, due at the end of 2024; improve our understanding of climate change impacts through the marine Natural Capital and Ecosystem Assessment programme (2022 to 2025), and the Marine Climate Change Impacts Partnership’s evidence reports that will be published by the end of 2023.</t>
    </r>
  </si>
  <si>
    <t>Actions meet some of the CCRA ask to improve coastal monitoring. No reference to Coastal Observatories.</t>
  </si>
  <si>
    <t>N17.9</t>
  </si>
  <si>
    <t>Consistent development of national datasets for natural and artificial coastal flood/erosion defence structures across the UK and for improved understanding and consistent use of coastal sediment budgets in SMPs.</t>
  </si>
  <si>
    <t>No reference to use of national datasets for coastal defences in either document.</t>
  </si>
  <si>
    <t>N17.10</t>
  </si>
  <si>
    <t>Refine the strategic direction of SMPs and other coastal plans to recognise that future climate change and rates of sea-level rise are inherently uncertain, and hence that flood and erosion management would benefit from an approach that defines multiple adaptation pathways, with the preferred option then related to the magnitude of climate change.</t>
  </si>
  <si>
    <r>
      <rPr>
        <b/>
        <sz val="10"/>
        <color theme="1"/>
        <rFont val="Calibri"/>
        <family val="2"/>
      </rPr>
      <t xml:space="preserve">RBRA N17: </t>
    </r>
    <r>
      <rPr>
        <sz val="10"/>
        <color theme="1"/>
        <rFont val="Calibri"/>
        <family val="2"/>
      </rPr>
      <t xml:space="preserve">does not address this action.
</t>
    </r>
    <r>
      <rPr>
        <b/>
        <sz val="10"/>
        <color theme="1"/>
        <rFont val="Calibri"/>
        <family val="2"/>
      </rPr>
      <t>NAP3 p.60:</t>
    </r>
    <r>
      <rPr>
        <sz val="10"/>
        <color theme="1"/>
        <rFont val="Calibri"/>
        <family val="2"/>
      </rPr>
      <t xml:space="preserve"> Habitat restoration and management to reduce non-climate pressures will help coastal and marine habitats and species adapt to climate change. Defra will: support the creation, restoration and enhancement of estuarine, coastal and marine habitats through the ELMs, Dynamic Dunescapes, Shoreline Management Plans (SMP), the Habitat Compensation and Restoration Programme, and the Restoring Meadows Marsh and Reef initiative, which aims to restore at least 15% of the 3 priority habitats; seagrass meadows, saltmarsh and native oyster reefs by 2043. ELMs will not only provide support directly to farms in coastal areas to restore coastal habitats, but also includes offers to support upstream improvements, such as water quality, which will also aid restoration in coastal regions.
</t>
    </r>
    <r>
      <rPr>
        <b/>
        <sz val="10"/>
        <color theme="1"/>
        <rFont val="Calibri"/>
        <family val="2"/>
      </rPr>
      <t>NAP3 (Chapter 4: Health, communities and the built environment) p.83:</t>
    </r>
    <r>
      <rPr>
        <sz val="10"/>
        <color theme="1"/>
        <rFont val="Calibri"/>
        <family val="2"/>
      </rPr>
      <t xml:space="preserve"> The government is delivering several wider actions to support our goal to be more resilient to future flood and coastal erosion risk. Defra, DLUHC and the Environment Agency will: refresh Shoreline Management Plans by the end of 2024 so that they remain current and relevant, using the most up to date available information.</t>
    </r>
  </si>
  <si>
    <t>Some action to reform plans, but not specifically as a result of climatic uncertainties and not in reference to coastal and marine habitats.</t>
  </si>
  <si>
    <t>N18.1</t>
  </si>
  <si>
    <t xml:space="preserve">Improved collaboration between local and national government in developing a cross-scale planning framework for Landscape Character Assessment (LSCA) that integrates climate change responses (adaptation and mitigation) would be advantageous, as demonstrated by LANDMAP and related projects in Wales. This should also be linked with developments by NGOs and other pioneering organisations. </t>
  </si>
  <si>
    <r>
      <rPr>
        <b/>
        <sz val="10"/>
        <color theme="1"/>
        <rFont val="Calibri"/>
        <family val="2"/>
      </rPr>
      <t>RBRA N18 action 1:</t>
    </r>
    <r>
      <rPr>
        <sz val="10"/>
        <color theme="1"/>
        <rFont val="Calibri"/>
        <family val="2"/>
      </rPr>
      <t xml:space="preserve"> Natural England will update its existing (2014) guidance on the Landscape Character Assessment approach by 2025, enabling future local-scale Landscape Character Assessments to embed an assessment of existing and potential climate change impacts and associated guidance into their assessments. Enhanced information on climate change impacts will be included in all National Character Area (NCA) profiles by 2026. This will embed climate change adaptation measures locally and make them appropriate in the the context of an area’s landscape character and distinctive qualities.
</t>
    </r>
    <r>
      <rPr>
        <b/>
        <sz val="10"/>
        <color theme="1"/>
        <rFont val="Calibri"/>
        <family val="2"/>
      </rPr>
      <t xml:space="preserve">NAP3 p.58: </t>
    </r>
    <r>
      <rPr>
        <sz val="10"/>
        <color theme="1"/>
        <rFont val="Calibri"/>
        <family val="2"/>
      </rPr>
      <t>NPA and AONB partnerships cover nearly a quarter of land in England and play a fundamental role in conserving and enhancing landscape character. The range of habitat types and land uses present in Protected Landscapes make them central to managing England’s landscape in an integrated and collaborative way. Defra and Natural England will: update Natural England’s guidance on Landscape Character Assessments to require an assessment of current and projected climate change impacts in all new local-scale Landscape Character Assessments.</t>
    </r>
  </si>
  <si>
    <t>Recognition of improvements required to Landscape Scale Character Assessments, but no actions in the RBRA or NAP3 to meet the CCRA need of a cross-scale planning framework.</t>
  </si>
  <si>
    <t>Natural England</t>
  </si>
  <si>
    <t>N18.2</t>
  </si>
  <si>
    <t>Monitoring of landscapes should be enhanced as it is an essential part of the management process to trigger evidence-based interventions.</t>
  </si>
  <si>
    <r>
      <rPr>
        <b/>
        <sz val="10"/>
        <color theme="1"/>
        <rFont val="Calibri"/>
        <family val="2"/>
      </rPr>
      <t xml:space="preserve">RBRA N18 action 2: </t>
    </r>
    <r>
      <rPr>
        <sz val="10"/>
        <color theme="1"/>
        <rFont val="Calibri"/>
        <family val="2"/>
      </rPr>
      <t xml:space="preserve">Natural England will complete a commission for evidence to further understand the impacts of climate change on landscape character by 2026. This will inform appropriate adaptation and mitigation responses, engaging with local communities and influencing positive land use or management changes to increase landscape resilience.
</t>
    </r>
    <r>
      <rPr>
        <b/>
        <sz val="10"/>
        <color theme="1"/>
        <rFont val="Calibri"/>
        <family val="2"/>
      </rPr>
      <t xml:space="preserve">RBRA N18 action 3: </t>
    </r>
    <r>
      <rPr>
        <sz val="10"/>
        <color theme="1"/>
        <rFont val="Calibri"/>
        <family val="2"/>
      </rPr>
      <t xml:space="preserve">Natural England will commission evidence to further understand stakeholders’ reactions to potential and actual climate-induced changes to landscape character by 2026. This will help to inform decision making, raise awareness and generate collective action to address climate change impacts to landscape character. 
</t>
    </r>
    <r>
      <rPr>
        <b/>
        <sz val="10"/>
        <color theme="1"/>
        <rFont val="Calibri"/>
        <family val="2"/>
      </rPr>
      <t xml:space="preserve">NAP3 Chapter 3: </t>
    </r>
    <r>
      <rPr>
        <sz val="10"/>
        <color theme="1"/>
        <rFont val="Calibri"/>
        <family val="2"/>
      </rPr>
      <t>does not address this action.</t>
    </r>
  </si>
  <si>
    <t>Actions in the RBRA meet the CCRA ask.</t>
  </si>
  <si>
    <t>N18.3</t>
  </si>
  <si>
    <t>Further investigation of public perceptions is required. Use of ‘landscape narratives’ may be a useful process to better understand different perception of change to help reveal underlying understandings of nature, climate and human-environment relationships together with how this helps people rationalise different adaptation options (e.g., Köpsel et al., 2017).</t>
  </si>
  <si>
    <r>
      <rPr>
        <b/>
        <sz val="10"/>
        <color theme="1"/>
        <rFont val="Calibri"/>
        <family val="2"/>
      </rPr>
      <t xml:space="preserve">RBRA N18 action 3: </t>
    </r>
    <r>
      <rPr>
        <sz val="10"/>
        <color theme="1"/>
        <rFont val="Calibri"/>
        <family val="2"/>
      </rPr>
      <t xml:space="preserve">Natural England will commission evidence to further understand stakeholders’ reactions to potential and actual climate-induced changes to landscape character by 2026. This will help to inform decision making, raise awareness and generate collective action to address climate change impacts to landscape character. 
</t>
    </r>
    <r>
      <rPr>
        <b/>
        <sz val="10"/>
        <color theme="1"/>
        <rFont val="Calibri"/>
        <family val="2"/>
      </rPr>
      <t xml:space="preserve">NAP3 p.56: </t>
    </r>
    <r>
      <rPr>
        <sz val="10"/>
        <color theme="1"/>
        <rFont val="Calibri"/>
        <family val="2"/>
      </rPr>
      <t>Defra, Natural England and the Environment Agency will carry out actions to inform and improve our response to climate impacts, including: commission evidence to understand the impacts of climate change on landscape character, as well as people’s emotional connection to the outdoors and their reactions to future change to their landscapes - this will inform decision-making, raising awareness and generating collective action on managing climate change impacts on landscape character.</t>
    </r>
  </si>
  <si>
    <t>Defra
Natural England
EA</t>
  </si>
  <si>
    <t>Requested data cuts:</t>
  </si>
  <si>
    <t>1. Overall picture - all actions by evaluation score (pie chart)</t>
  </si>
  <si>
    <t>2. By CCRA chapter (pie charts)</t>
  </si>
  <si>
    <t>3. By government department responsible for actions (bar charts)</t>
  </si>
  <si>
    <t>4. By CCRA3 risk urgency score (bar charts)</t>
  </si>
  <si>
    <t>5. By typology (bar charts)</t>
  </si>
  <si>
    <t>All risks for all actions</t>
  </si>
  <si>
    <t>All risks for government actions only</t>
  </si>
  <si>
    <t xml:space="preserve">Action aimed at </t>
  </si>
  <si>
    <t>Evaluation score:</t>
  </si>
  <si>
    <t>COUNT of actions</t>
  </si>
  <si>
    <t>Addressed</t>
  </si>
  <si>
    <t>COUNT TOTAL</t>
  </si>
  <si>
    <t>TOTAL</t>
  </si>
  <si>
    <t>% of total actions evaluated</t>
  </si>
  <si>
    <t>CCRA chapter</t>
  </si>
  <si>
    <t>Natural Environment and Assets</t>
  </si>
  <si>
    <t>Infrastructure</t>
  </si>
  <si>
    <t>Health, Communities &amp; Built Environment</t>
  </si>
  <si>
    <t>Business &amp; Industry</t>
  </si>
  <si>
    <t>International Dimensions</t>
  </si>
  <si>
    <t xml:space="preserve">Government department </t>
  </si>
  <si>
    <t xml:space="preserve">COUNT of actions </t>
  </si>
  <si>
    <t>DSIT</t>
  </si>
  <si>
    <t>CCRA urgency scores</t>
  </si>
  <si>
    <t>Typology</t>
  </si>
  <si>
    <t>First publication</t>
  </si>
  <si>
    <t>Recommendation</t>
  </si>
  <si>
    <t>Timing</t>
  </si>
  <si>
    <t>Sector(s)</t>
  </si>
  <si>
    <t>Risks relevant to sector</t>
  </si>
  <si>
    <t>Responsibility (primary)</t>
  </si>
  <si>
    <t>Responsibility (supporting)</t>
  </si>
  <si>
    <t>Gov Response Recommendation No.</t>
  </si>
  <si>
    <t>Government Response</t>
  </si>
  <si>
    <t>UKAPR23</t>
  </si>
  <si>
    <t>Defra should set interim adaptation targets to drive early action to improve climate resilience of nature, enable progress assessments, and secure adequate resources (including for green jobs and skills) to facilitate delivery of the targets.</t>
  </si>
  <si>
    <t>Risks to terrestrial habitats and species (N1, N2, N3); Risks to soils (N4); Risks and opportunities for 
natural carbon stores, carbon sequestration and GHG emissions (N5); Risks to freshwater 
habitats and species (N11, N12); Opportunities to freshwater habitats and species (N13); Risks to 
marine habitats and species, and fisheries (N14, N16); Opportunities to marine habitats and 
species, and fisheries (N15) Risks and opportunities to coastal habitats and species (N17); Risks 
and opportunities to landscape character (N18).</t>
  </si>
  <si>
    <t>The government has set interim targets to help deliver our long-term biodiversity targets. 
These interim targets, for 2028, are:
• to restore or create 140,000 hectares of wildlife-rich habitats outside protected 
sites, compared to 2022 levels
• to have an up-to date condition assessment for all Sites of Special Scientific 
Interest (SSSIs) 
• 50% of SSSIs to have actions on track to achieve favourable condition 
In addition, our target to halt the decline in species abundance by 2030, will drive early, 
wide-ranging action. This action will increase resilience to climate change and provide 
more robust species populations. 
The government set up the Green Jobs Delivery Group to deliver the workforce needed to 
achieve our climate and nature goals. We are publishing a joint government and industry 
Net Zero and Nature Workforce Action Plan in 2024.</t>
  </si>
  <si>
    <t xml:space="preserve">The Land Use Framework should address the trade-offs and co-benefits of multifunctional landscapes to benefit climate mitigation, adaptation, food security, nature recovery, timber, recreation and rural livelihoods. </t>
  </si>
  <si>
    <t>Working lands &amp; seas</t>
  </si>
  <si>
    <t>Risks to soils (N4); Risks and opportunities for natural carbon stores, carbon sequestration and 
GHG emissions (N5); Risks to agriculture and forestry (N6, N7, N8); Opportunities to agriculture 
and forestry (N9); Risks to aquifers agricultural land (N10); Risks to marine habitats and species, 
and fisheries (N14, N16); Opportunities to marine habitats and species, and fisheries (N15).</t>
  </si>
  <si>
    <t>The planned Land Use Framework will consider how multifunctional, resilient, and 
productive landscapes can support multiple outcomes, recognising the importance of 
natural capital.
The Framework document will be supported by spatial evidence and analysis to help make 
the most of our diverse natural capital across the landscapes of England.</t>
  </si>
  <si>
    <t>Extend the scope of the fourth round of the Adaptation Reporting Power (ARP4) to include food supply chains</t>
  </si>
  <si>
    <t>Food</t>
  </si>
  <si>
    <t>Risks and opportunities to UK food availability, safety, and quality from climate change overseas 
(ID1, ID2); Risks and opportunities from climate change on international trade routes (ID6, ID7); 
Risks to food safety and food security (H9); Risks to business from disruption to supply chains and 
distribution networks (B6); Risks to soils (N4); Risks to aquifers and agricultural land (N10).</t>
  </si>
  <si>
    <t>The government published its strategy for the fourth round of reporting under the 
Adaptation Reporting Power (ARP4) as part of the third National Adaptation Programme
(NAP3) in July. In it we set out our approach to inviting organisations in the agriculture and 
food sector to report on how they manage climate risk and the actions they are taking to 
build resilience. 
Not all organisations with a role in food supply chains are formally eligible to report. We 
are working to identify suitable organisations that fall within the scope of the power and 
have a leadership role in the sector. Private companies such as supermarkets and 
hauliers are in scope of other climate adaptation reporting regimes where they meet the 
eligibility requirements, such as company climate risk disclosures. Invitations to report in 
ARP4 will be issued when we launch the process in late 2023. Ineligibility for a formal 
invitation does not preclude other bodies from reporting voluntarily.</t>
  </si>
  <si>
    <t>Ensure sufficient investment, resources and progress monitoring to support delivery against demand reduction and leakage targets, given the significant gap between targets and progress. </t>
  </si>
  <si>
    <t>Ongoing</t>
  </si>
  <si>
    <t>Risks to infrastructure networks from cascading failures (I1); Risks to infrastructure services from 
flooding and coastal erosion (I2, I3); Risks to subterranean and surface infrastructure from 
subsidence (I7); Risks to public water supplies from reduced water availability (I8); Risks to health 
from poor water quality and household supply interruptions (H10).</t>
  </si>
  <si>
    <t>Environment Agency; Ofwat</t>
  </si>
  <si>
    <t>We have committed to transforming the management of our water system to secure a 
healthy water environment, and a sustainable supply of water for people, businesses and 
nature. Defra works closely with Ofwat, the Environment Agency and Natural England to 
ensure progress against the targets set on leakage and use of public water supply. 
In April, the government published its Plan for Water, and has committed to a legally 
binding target to reduce water use by 20% per person by 2038. The government is 
confident that the measures outlined will close the demand gap. The Plan for Water 
reaffirmed the commitment that all fines will be channelled into a Water Restoration Fund. 
It also committed to over £2.2 billion of new, accelerated investment which will be directed 
into vital infrastructure to improve water quality and secure future supplies, including to 
speed up delivery of 462,000 smart meters. The government also reaffirmed its 
commitment to rollout the Mandatory Water Efficiency Label by 2025 in its recent 
consultation response. Ofwat is consulting on their £100 million fund for water efficiency in 
the 2024 Price Review (PR).
Ofwat sets water companies’ performance commitments at the beginning of each PR 
period, and these are aligned with the long-term targets on leakage and demand 
reduction. Updates are provided through annual reporting on the delivery of companies’ 
Water Resources Management Plans. Ofwat can impose financial penalties if companies 
do not meet expected performance for each performance year. These measures will save 
an estimated 1,200 million litres of water a day.</t>
  </si>
  <si>
    <t>Power supply report</t>
  </si>
  <si>
    <t>Designate Ofgem and parties responsible now and in the future (including the new Future System Operator) for the maintenance of energy sector codes and standards, with a clear mandate to ensure climate and weather resilience.</t>
  </si>
  <si>
    <t xml:space="preserve">Risks to infrastructure networks from cascading failures (I1); Risks to infrastructure services, bridges 
and pipelines from flooding and coastal erosion (I2, I3, I4); Risks to hydroelectric generation from 
low or high river flows (I6); Risks to subterranean and surface infrastructure from subsidence (I7); 
Risks to energy generation from reduced water availability (I9); Risks to energy from high and 
low temperatures, high winds, lightning (I10); Risks to offshore infrastructure from storms and high 
waves (I11); Risks and opportunities from summer and winter household energy demand (H6). </t>
  </si>
  <si>
    <t>Ofgem</t>
  </si>
  <si>
    <t>As set out in the publication of NAP3, DESNZ will designate parties responsible now and 
in the future for the maintenance of energy sector codes and standards with a clear 
mandate to ensure climate and weather resilience by 2024. 
DESNZ is consulting on a series of resilience roles and responsibilities for the Future 
System Operator (FSO) that will include advising on the development of resilience 
standards for climate and weather resilience. These roles and responsibilities will be 
mandated in the Licence Conditions for the FSO.</t>
  </si>
  <si>
    <t xml:space="preserve">Develop a set of indicators to enable monitoring of the impacts of weather and climate on Telecommunications and ICT services and the actions being taken to manage them. </t>
  </si>
  <si>
    <t>Telecoms &amp; ICT</t>
  </si>
  <si>
    <t>Risks to infrastructure networks from cascading failures (I1); Risks to infrastructure services, bridges 
and pipelines from flooding and coastal erosion (I2, I3, I4); Risks to subterranean and surface 
infrastructure from subsidence (I7); Risks to digital from high and low temperatures, high winds 
and lightning (I13).</t>
  </si>
  <si>
    <t>The government is expanding the range of data and guidance available to the public and
businesses on tackling climate change risk. Ofcom has published guidance for all 
communication providers, explaining the types and sizes of incidents expected to be 
reported for them to comply with their regulatory obligations. 
Ofcom has agreed a reporting process with each of the four UK mobile operators, based 
on their individual definitions of a “major service failure” (MSF). Network MSFs are 
incidents which have a significant impact on the network and are raised to senior 
management within the operators. The exact details of an operator’s MSF criteria are 
commercially sensitive. Ofcom is working with mobile operators to make reporting more 
consistent with reporting required on the fixed networks. 
DSIT will engage in supporting development of monitoring and evaluation for telecoms and 
data infrastructure resilience.</t>
  </si>
  <si>
    <t>ARP3 evaluation</t>
  </si>
  <si>
    <t xml:space="preserve">Extend the scope of the next round of the Adaptation Reporting Power (ARP4) to cover local authority functions related to road infrastructure and key supply chain organisations.  </t>
  </si>
  <si>
    <t>Risks to infrastructure networks from cascading failures (I1); Risks to infrastructure services, bridges 
and pipelines from flooding and coastal erosion (I2, I3, I4); Risks to transport networks from slope 
and embankment failure (I5); Risks to subterranean and surface infrastructure from subsidence 
(I7); Risks to transport from high and low temperatures, high winds, lightning (I12).</t>
  </si>
  <si>
    <t xml:space="preserve">The government will pilot climate adaptation reporting by local authorities in the fourth 
round of reporting under the Adaptation Reporting Power (ARP4). This will launch later 
this year, with reports due by the end of 2024. The guidance for reporting has been codesigned by Defra and a group of volunteer local authorities. It takes an agnostic approach 
to the local assets and services that should be considered in risk assessments, given the 
varying range of responsibilities, assets and capacity in each local authority. However, 
guidance on the areas that reports might usefully cover, according to the type of local 
authority preparing the report, is included. Transport and supply chains form part of this.
Our strategy for ARP4 also includes working with the relevant authorities and industry 
associations to increase reporting by ports and the aviation sector. Major ports and 
airports will be invited to report individually. </t>
  </si>
  <si>
    <t>Planning policy should be reformed to ensure that climate resilience is a priority, with mandatory adaptation interventions on all built-environment project applications</t>
  </si>
  <si>
    <t xml:space="preserve">Risks to health and wellbeing from high temperatures (H1); Risks to people, communities and 
buildings from flooding (H3); Risks to viability of coastal communities from sea level rise (H4); 
(aspects of Risks to infrastructure services from river, surface water and groundwater flooding (I2) 
and Risks to infrastructure services from coastal flooding and erosion (I3) are also covered less 
explicitly in this system). </t>
  </si>
  <si>
    <t>The National Planning Policy Framework (NPPF) sets out the government’s planning 
policies and subsequent application. The NPPF is clear that plans should take a proactive 
approach to adapting to climate change, and that new development should be planned for 
in ways that avoid increased vulnerability to the range of impacts arising from climate 
change. 
DLUHC’s ‘Levelling-up and Regeneration Bill: reforms to national planning policy’
consultation (which closed March 2023) sought views on the proposed approach to 
updating the NPPF. The government will carry out a fuller review of the NPPF following 
royal assent of the Levelling-Up and Regeneration Bill, in line with the Net Zero Strategy, 
to make sure to make sure it contributes to climate change mitigation and adaptation as 
fully as possible. 
The government will use the NPPF and sector-specific National Policy Statements to 
provide guidance for new infrastructure proposals at both the local authority and 
government levels.</t>
  </si>
  <si>
    <t>Expand the Part O Building Regulation requirement to cover refurbishments of existing buildings, conversions of non-domestic buildings to residential and prisons.</t>
  </si>
  <si>
    <t xml:space="preserve">Risks to health and wellbeing from high temperatures (H1); Risks to people, communities and 
buildings from flooding (H3); Risks to building fabric (H5); Risks and opportunities from summer 
and winter household energy demand (H6); Risks to health and social care delivery (H12); Risks 
to education and prison services (H13). </t>
  </si>
  <si>
    <t>The Building Regulations contain minimum standards for the design and construction of 
new buildings and alterations to existing buildings to protect the health and welfare of 
building occupants. ‘Approved Document O’ was added to the buildings regulations in 
December 2021 and took effect in June 2022. The new requirement seeks to reduce the 
occurrence of high temperatures in new residential buildings including flats, houses and 
residential care homes. 
The government will keep ‘Approved Document O’ and all building regulations under 
review in relation to further expansion to include additional buildings. We intend to consult 
on our approach to energy efficiency and overheating in homes created through a material 
change of use as part of our Future Homes Standard consultation.</t>
  </si>
  <si>
    <t>Include community engagement activities (such as citizens assemblies) under NAP3 to put fairness at the centre of efforts to implement a vision for a well-adapted UK. This engagement programme should focus on exploring issues of fairness in some of the most challenging aspects of adaptation (e.g. coastal retreat) and in the provision of public funding for adaptation</t>
  </si>
  <si>
    <t>Community</t>
  </si>
  <si>
    <t>Risks and opportunities to health and wellbeing from high temperatures (H1, H2); Risks to people, 
communities and buildings from flooding (H3); Risks to viability of coastal communities from sea 
level rise (H4); Risks to cultural heritage (H11); Risks and opportunities from climate change to 
landscape character (N18).</t>
  </si>
  <si>
    <t xml:space="preserve">Through elections to the House of Commons, to the devolved legislatures and to local 
government, citizens are already represented in local and national assemblies. 
Additionally, Ministers already engage with a range of groups on this topic, including 
coastal communities, as part of their regular engagement activities. Other engagement 
has already happened through the Defra and UK Research and Innovation (UKRI)
ScienceWise programme. </t>
  </si>
  <si>
    <t>DHSC must work with DLUHC and local authorities to develop a long-term cross-sector approach to address risks in the social care sector, including using appropriate levers to accelerate adaptation action and ensuring that monitoring of overheating occurrences and air quality in care homes is undertaken frequently.</t>
  </si>
  <si>
    <t>Risks and opportunities to health and wellbeing from high temperatures (H1, H2); Risks to people, 
communities and buildings from flooding (H3); Risks to health and wellbeing from changes in air 
quality (H7); Risks to health from vector-borne diseases (H8); Risks to health and social care 
delivery (H12).</t>
  </si>
  <si>
    <t xml:space="preserve">DLUHC; local authorities </t>
  </si>
  <si>
    <t>The UK Health Security Agency’s (UKHSA’s) Adverse Weather and Health Plan is 
supporting the uptake of prevention actions across the health and social care sector and in 
local communities. DHSC and UKHSA will also work with the social care sector in 2023 to 
increase awareness of and mitigate the health risks of high temperatures to front line 
workers.
Care providers are responsible for monitoring day-to-day quality and safety in care homes, 
including overheating and air quality.
Under the Care Quality Commission’s (CQC’s) Single Assessment Framework, we will 
look at how providers ‘detect and control risks in the care environment’, including those 
relating to adverse weather events. Adaptation will also be looked at within the:
• quality statement ‘governance, management and sustainability’ - specifically on 
business continuity and severe weather plans including overheating
• key question of ‘Well Led’ - meaning information on risks, performance and 
outcomes is used to effectively improve care by leaders and effective 
governance and management systems
If CQC finds concerns affecting the quality of care during their assessments, the issues 
are raised with the provider or manager to ensure good quality care, and appropriate 
action taken if regulations are breached.</t>
  </si>
  <si>
    <r>
      <t>The UK should strengthen adaptation reporting requirements across the Sustainability Disclosure regime and build on the work of the Transition Pathways Taskforce (on Net Zero-related corporate transition plans) to define common standards for what a high-quality adaptation transition plan should look like. This should include how relevant physical climate risks are measured and managed as well as how the plans would contribute to wider societal adaptation to climate change.</t>
    </r>
    <r>
      <rPr>
        <b/>
        <sz val="12"/>
        <color rgb="FFFFFFFF"/>
        <rFont val="Times New Roman"/>
        <family val="1"/>
      </rPr>
      <t xml:space="preserve"> </t>
    </r>
  </si>
  <si>
    <t>Risks to business from flooding (B1); Risks to businesses and infrastructure from coastal change 
(B2); Risks to businesses from water scarcity (B3); Risks to business from reduced employee 
productivity (B5); Risks to business from disruption to supply chains and distribution networks (B6); 
Opportunities for business from changes in demand for goods and services (B7).</t>
  </si>
  <si>
    <t>HMT; DESNZ</t>
  </si>
  <si>
    <t>The government committed at COP26 to move towards mandatory transition plan 
disclosures in the UK. The Financial Conduct Authority (FCA) updated their guidance for 
asset managers, asset owners and listed companies on publishing transition plans in 
January 2022. 
The government launched the Transition Plan Taskforce (TPT) in April 2022 to create a 
voluntary framework for firm-level transition plans. Alongside their core work on climate, 
the TPT has also set up nature and adaptation working groups to examine how 
adaptation, nature and biodiversity considerations could inform transition planning. 
The TPT published its Disclosure Framework and associated guidance in October. This 
guidance is voluntary.
As the UK transitions to net zero, the government will also take action to prepare for the 
physical impacts of the changing climate, seeking to align finance flows with a climate 
resilient economy and increase investment in adaptation. Transition plans are a way that 
firms can manage adaptation and, through their disclosure, enhance market 
understanding of how firms are planning for this transition.
The FCA has now committed to consult on guidance that will set out their expectations for 
listed companies’ transition plan disclosures at the same time as consulting on their policy 
approach in relation to the (UK-endorsed) International Sustainability Standards Board
standards. They plan to develop their guidance with reference to the final outputs from the 
TPT and further consideration should be given on avoiding undue burdens on business, 
and minimising and consolidating corporate reporting burdens.
Given the important role of transition planning across the economy, we also committed in 
the updated Green Finance Strategy to consult later this year on how the UK’s largest 
companies can most effectively disclose their transition plans.
The government will continue to take proactive steps to encourage other jurisdictions to 
encourage transition plan disclosure requirements in place. This will include encouraging 
consideration of the TPT’s guidance. This guidance has built on the recommendations of 
the Taskforce on Climate-Related Financial Disclosures (TCFD) and the International 
Sustainability Standards Board standards and draws on the Glasgow Financial Alliance for 
Net Zero framework for credible, comprehensive and comparable net zero transition 
planning.</t>
  </si>
  <si>
    <t>Investment Report 23</t>
  </si>
  <si>
    <t>The refresh of the Green Finance Strategy in 2023, together with NAP3, should clarify where the Government expects adaptation actions to be funded through public sources and where private investment is expected. NAP3 should contain clear new funding commitments for investment in adaptation over the coming five year period and the breakdown across department budgets.</t>
  </si>
  <si>
    <t>Risks to finance, investment and insurance including access to capital for businesses (B4); Risks 
to the UK financial sector from climate change risks overseas (ID8).</t>
  </si>
  <si>
    <t>HMT; DEFRA</t>
  </si>
  <si>
    <t>There is significant public investment underpinning the plans and policies in NAP3, such 
as the government’s ongoing investment in flood and coastal schemes in England.
However, adaptation actions cannot be funded through public spending alone, and 
additional investment from the private sector will be required to support adaptation action 
over the coming decades. Indicative analysis produced for the CCC estimates that public 
and private sector adaptation investment needs could be as much as £10 billion per year 
this decade across all risks and opportunities identified in CCRA3. 
The government has committed to support the flow of private finance into adaptation 
through the 2023 Green Finance Strategy. This includes work with private sector partners 
to improve the approach to climate resilience assessment and disclosure and supporting 
private and public collaboration to address barriers to investment, including through the 
UK Infrastructure Bank.</t>
  </si>
  <si>
    <t>UKPR23</t>
  </si>
  <si>
    <t xml:space="preserve">Set out, in NAP3, a national plan for managing interdependency risks, including clear and consistent responsibilities for climate resilience across sectors and mechanisms for cross-Government collaboration. </t>
  </si>
  <si>
    <t xml:space="preserve">Defra </t>
  </si>
  <si>
    <t>The government will, over the course of NAP3 implementation, continue to strengthen the 
way it manages climate risk interdependencies to ensure that the benefits of coordinated 
action are fully realised. This includes exploring the use of cutting-edge developments in 
climate and impact modelling. 
The government will continue to use the Critical National Infrastructure (CNI) Knowledge 
Base, a bespoke CNI mapping tool, and other analytical tools, to identify risks and 
interdependencies across and within CNI sectors, and to examine the impacts of 
cascading risks. 
To drive cross-government action to increase UK resilience to climate change risks, the 
Cabinet Office and Defra have already established a new, senior officials Climate 
Resilience Board. The board oversees strategic, cross-cutting climate adaptation and 
resilience issues, including interdependent risks. This forum will work closely with existing 
cross-government climate governance, aligning climate adaptation to wider government 
priorities on net zero and the environment.</t>
  </si>
  <si>
    <t>The Retained EU Law Bill (REUL) should be strengthened by including an environmental non-regression safeguard. Implementation of the REUL programme should be supported by thorough and meaningful engagement and consultation with key stakeholders and technical experts across the UK.</t>
  </si>
  <si>
    <t>The Retained EU Law Bill received royal assent and became an Act on 29 June 2023. The
government uses expert advice, including that of many independent experts, when making 
provisions that relate to the environment.</t>
  </si>
  <si>
    <t>The Environmental Improvement Plan goals should be mainstreamed across all Government departments responsible for their delivery, and trade-offs with competing policies should be mitigated.</t>
  </si>
  <si>
    <t>Other Govt Depts</t>
  </si>
  <si>
    <t>The Environmental Improvement Plan (EIP) is a cross-government plan, reflecting the 
collective endeavour required to deliver the government’s environmental goals. Defra will 
continue to work with all departments to:
• identify policy interventions required 
• monitor performance
• manage risks
• identify opportunities and synergies across government 
A cross government 25-year Environment Plan board, with representation from senior 
officials in contributing departments, oversees cross-government delivery. The board has 
been established since 2020 and has recently been strengthened to reflect the EIP and 
Environment Act 2021 Targets and Environmental Principles and duties. 
Under the Environment Act 2021, government Ministers must have due regard to the 
Environmental Principles Policy Statement. This places a requirement to consider the 
environment at the heart of the full range of policy making across government when it 
comes into force on 1 November 2023. 
The government must report annually on implementation of the EIP and review it at least 
every 5 years. The next annual report will cover the period up to 31 March 2024 and will 
consider progress made by responsible government departments across all EIP goals.</t>
  </si>
  <si>
    <t>Defra must clearly link the multiple benefits delivered through meeting the new Environment Act (2021) targets to the suite of climate, environment and planning policies that support them.</t>
  </si>
  <si>
    <t xml:space="preserve">The EIP23 sets out a comprehensive plan to deliver environmental improvements in 
England and, together with the statutory targets under the Environment Act 2021, the 
government has set out a long-term approach to improving the natural environment. 
We have set stretching targets to tackle some of the biggest pressures facing our 
environment in: 
• biodiversity 
• water 
• air 
• waste 
• trees
• Marine Protected Areas 
Meeting these targets will require action across government, the economy and society. In 
turn this will support action to tackle climate change, restore our natural capital and protect 
our much-loved landscapes and green spaces. This action includes join-up across climate, 
environment and planning policies which will both support and be crucial in target delivery. </t>
  </si>
  <si>
    <t>Defra should publish full details on how the Environmental Land Management scheme will support healthy ecosystems to build climate resilience, and the actions that reduce vulnerability to climate change that will be eligible for payments under the scheme.</t>
  </si>
  <si>
    <t>The third National Adaptation Programme reiterated that climate adaptation is a priority for 
the new farming schemes. The government is building adaptation into the policy design of 
the Environment Land Management (ELM) schemes.
We published further information on ELM schemes in January 2023 (with a further update 
due before the end of 2023). In these updates we explain that by providing the services 
and goods that actions under ELM will deliver, farmers and land managers are contributing
to our aims of achieving our climate outcomes and priority environmental targets. This
includes adapting to climate change, alongside supporting viable businesses, maintaining 
food production at its current level, and achieving animal health and welfare outcomes.
The updates explained how different farmers and land managers, depending on their 
particular setting, can contribute to adaptation. For example, actions in the Sustainable 
Farming Incentive (launched in 2022) to improve the health and functionality of arable soils
will provide benefits for adaptation through better soil structure for improved water
retention, while actions to improve wetland habitats may contribute to drought resilience 
and coastal adaptation. We also specified where particular actions will bring significant 
adaptation benefits, such as managing hedgerows and establishing new hedgerow trees.</t>
  </si>
  <si>
    <t>DLUHC should add an expectation in the National Planning Policy Framework that Local Plans and Design Guides support delivery of Local Nature Recovery Strategies and Natural England's Green Infrastructure Standards. It should ensure that the Environmental Outcome Reports provide equivalent or stronger protection for biodiversity than the current system.</t>
  </si>
  <si>
    <t>Defra announced funding of £14 million to support 48 authorities in England responsible 
for developing LNRSs. In addition, DLUHC has made amendments to the Levelling Up 
and Regeneration Bill. These will require spatial development strategies, local plans and 
neighbourhood plans to take account of local nature recovery strategies, to help the 
planning system play a more proactive role for nature and the environment.
DLUHC will undertake a full consultation on a revised NPPF and proposals for National 
Development Management Policies once the bill has completed its passage through 
Parliament. This review will consider what more can be done to:
• support environmental enhancement, nature recovery and climate change 
adaptation
• mitigate the effects of pollution
• embed the important reforms introduced by the Environment Act
The requirement to consider green infrastructure where new development comes forward 
is embedded in the National Model Design Code, which provides guidance on the 
production of design codes.
The Levelling Up and Regeneration Bill will secure powers to introduce a new system of 
Environmental Outcomes Reports. This legislation includes a clear commitment to non_x0002_regression and our recent consultation has highlighted the importance of biodiversity in the 
new system.</t>
  </si>
  <si>
    <t>Government should adopt the recommendations for revised technical standards for Sustainable drainage systems (SuDS) in England, to ensure that SuDS are multifunctional systems that support biodiversity, improve water quality and provide green space for people.</t>
  </si>
  <si>
    <t>The review for making sustainable drainage systems (SuDS) mandatory in new 
developments in England was published on 10 January this year. SuDS can provide a 
sustainable way to drain land, protect against surface water and sewer flooding, reduce 
storm overflow discharges, and harvest water, at the same time as enhancing local 
biodiversity and amenity.
The government has accepted the review’s recommendations and is now looking at how 
best to implement Schedule 3 to the Flood and Water Management Act 2010 considering 
scope, threshold and process, while also being mindful of the cumulative impact of new 
regulatory burdens on the development sector.
Schedule 3 requires the minister to publish national standards for the implementation of 
sustainable drainage. It provides a framework for the approval and adoption of drainage 
systems. This will make the right to connect surface water to public sewers conditional on 
the drainage system being approved as meeting new mandatory multi-functional 
sustainable drainage standards for the design, construction, maintenance and operation of 
SuDS. This will help reduce volumes entering drainage networks, which will help ease the 
pressure on the sewerage system and mitigate flood risk as well as providing wider 
climate adaptation, biodiversity and amenity benefits. 
Implementation is expected during 2024, following a public consultation.</t>
  </si>
  <si>
    <t>The statutory requirements of marine plan policies should be extended to the decisions of public and private organisations.</t>
  </si>
  <si>
    <t xml:space="preserve">We do not agree that there is a gap in protection as a result of private sector organisations 
not being legally required to consider the marine plan policies. 
Under S58(1) of the Marine and Coastal Access Act 2009, public authorities must take 
authorisation or enforcement decisions in accordance with the appropriate marine policy 
document. For example, through the marine licensing process, applicants have to confirm 
they have taken account of marine plan policies. This information is considered by the 
Marine Management Organisation, including a more detailed consideration of alignment 
with marine plan policies, when determining an application for a marine licence. Other 
public authorities have similar processes. </t>
  </si>
  <si>
    <t xml:space="preserve">Government should invest in social and ecological research to understand how best to work with people to restore nature and build resilience to the impacts of climate change and other pressures. </t>
  </si>
  <si>
    <t>The government notes this recommendation, and Defra, alongside our arm’s length 
bodies, will consider how research can inform our future work on climate resilience.</t>
  </si>
  <si>
    <t xml:space="preserve">Defra should produce a strategy to ensure the agriculture sector remains productive under a changing climate, set targets for this and collect data to monitor success. </t>
  </si>
  <si>
    <t xml:space="preserve">In the government’s food strategy we committed to broadly maintain the current levels of 
food produced domestically, while exploring opportunities for growth. Defra is enabling this 
through its Agricultural Transition Plan (to be updated before the end of 2023), which sets 
out how we will support the adaptiveness, resilience and productivity of the agricultural 
sector to risks arising under a changing climate.
The Environmental Land Management schemes are the primary delivery vehicles to 
support farmers and land managers to take adaptation actions. Defra is also providing 
funding for equipment and infrastructure to support farmers to adapt to climate change, 
addressing challenges such as heat stress in livestock, on-farm water storage and 
irrigation. Defra has passed legislation to reduce the regulatory barriers to precision 
breeding technology, which has the potential to deliver more resilient crops and livestock 
breeds.
Defra is engaged with initiatives to better understand and respond to the effects of climate 
change on agriculture. This includes our partnership with the Met Office Hadley Centre’s 
Food, Farming and Natural Environment service, as well as significant investment in 
breeding research. </t>
  </si>
  <si>
    <t>The Home Office should create and implement a cross-departmental strategy with external stakeholders to identify and mitigate risks of wildfire.</t>
  </si>
  <si>
    <t>Home Office</t>
  </si>
  <si>
    <t>The Home Office, as the lead government department for wildfire, will scope a Wildfire 
Strategy and Action Plan by mid-2024 across all themes in NAP3, supported by Defra, its 
agencies, the National Park Authorities and areas of outstanding natural beauty 
partnerships. 
Defra, Natural England and the Environment Agency will commission wildfire research, 
including an England wildfire risk map and define effective wildfire risk reduction measures 
to help support a Wildfire Strategy and Action Plan.</t>
  </si>
  <si>
    <t>Government should work with the private sector to enable more funding for building climate resilience for the agriculture, commercial forestry, and fisheries and aquaculture sectors, including (but not limited to) innovation, R&amp;D, and jobs/skills.</t>
  </si>
  <si>
    <t>Through our £270 million Farming Innovation Programme, we are working with farmers, 
growers and the research community to develop innovative methods and technologies. To 
date, work to build climate resilience includes carbon-capture cropping and innovation in 
livestock genetics. The recent £12.5 million Environmental Resilience competition aims to 
address the environmental challenges to plants, crops and farmed animals, with projects 
expected to start in early 2024.
Defra is funding Forest Research and the Forestry Commission to develop a Woodland for 
Water Code, to attract private finance into woodland natural flood management projects 
and develop more resilient landscapes.
The Fisheries and Seafood Scheme (FaSS) and the UK Seafood Fund (UKSF) supports 
the seafood sector to mitigate and adapt to climate change and contribute to net zero. The 
FaSS has funded activities such as energy efficiency audits and professional advice for 
businesses seeking to diversify into products that help to mitigate climate change or 
reduce emissions. The UKSF supports projects that will provide vital innovative research, 
improve infrastructure and replace or modernise engines to build a resilient and 
sustainable fishing industry that reduces emissions.</t>
  </si>
  <si>
    <t>UKAPR24</t>
  </si>
  <si>
    <t xml:space="preserve">Government must strengthen policy and funding to restore coastal marine habitats by regulating bottom trawling, enforcing sustainable fishing quotas, and better protecting Marine Protected Areas to provide nursery areas to threatened commercial wild fish stocks. </t>
  </si>
  <si>
    <t>We have committed that, where needed, all offshore Marine Protected Areas (MPAs) will 
have byelaws in place by the end of 2024 to protect them from damaging fishing activity.
This will help deliver our new statutory target for 70% of the designated features in the 
MPA network to be in favourable condition by 2042. On 5 July, we implemented our first 3 
Highly Protected Marine Areas (HPMA) which are being granted the greatest protection in 
our seas. HPMAs provide nature-based solutions, including carbon capture and storage, 
water purification and erosion protection, and nursery and spawning habitats for 
commercial species. In February 2023 we committed to exploring the identification of new 
sites.
The Joint Fisheries Statement and Fisheries Management Plans describe policies to 
mitigate the impact of fishing activity on benthic habitats. These are in the UK Marine 
Strategy programme of measures update to prevent fishing practices impacting 
biodiversity or seabed integrity.
Defra works with organisations including the Marine Management Organisation, Inshore 
Fisheries and Conservation Authorities, to enforce fisheries regulations and protect our 
waters. We agree annually a total allowable catch for over 100 stocks to limit the total 
uptake of each stock.</t>
  </si>
  <si>
    <t xml:space="preserve">Defra should include a stretching and comprehensive soil health target as a priority in its forthcoming Soil Health Action Plan. </t>
  </si>
  <si>
    <t xml:space="preserve">Under the EIP, Defra has committed to bring at least 40% of agricultural soils into 
sustainable management through our farming schemes by 2028. 
Healthy soil is vital for food production, water regulation, biodiversity, and carbon storage, 
whilst being resilient to disturbances including flooding and drought. By linking to our 
farming schemes, we can tangibly measure against the uptake of actions that improve soil 
health. </t>
  </si>
  <si>
    <t>Set out specifically how the Government's food strategy will be implemented with regard to making UK food supply chains more resilient to climate risks. This should include improving data on current disruptions and future risks</t>
  </si>
  <si>
    <t>The government’s Food Strategy puts food security at the heart of the government’s vision 
for the food sector, aiming to broadly maintain the current level of food that we produce 
domestically and boost production in sectors where there are the biggest opportunities. At 
the UK Farm to Fork Summit, we reiterated our commitment to maintain food production at 
current levels, where we produce domestically 60% by value of all the food we need. 
Defra will next publish the triannual UK Food Security Report in 2024, including analysis of 
supply chain resilience. Defra engages with numerous initiatives to better understand 
climate impacts on the food system, including through partnerships with the Met Office 
Hadley Centre’s Food, Farming and Natural Environment service. 
UK food supply is dependent on the resilience of global supply chains. The government 
has published a Safeguarding Supply toolkit, for businesses to consider when thinking 
about ensuring the resilience of their organizations’ supply chains. This is based on DBT’s 
Supply Chain Resilience Framework, which highlights the five areas to explore when 
building resilience in supply chains, in the face of hazards, including climate shocks.</t>
  </si>
  <si>
    <t>Uphold minimum environmental and climate standards for trade, which support the resilience of the food system as well as other Government goals such as Net Zero (as outlined in the National Food Strategy Independent Review)</t>
  </si>
  <si>
    <t>The government is committed to upholding high environment and climate standards in 
trade. This includes continuing to work to increase the resilience of the food system and 
meeting our legal commitment to reach net zero greenhouse gas emissions by 2050.
Trade contributes to resilience by providing a diverse number of supply sources, improved 
business and consumer choice and healthy competition. Trade can also help to lower 
costs for environmental goods and services, supporting the global green transition.
We agree that regulations and standards relating to domestic production and imports also 
have an important role to play. For example, we committed to world-leading due diligence 
legislation for forest risk commodities through the Environment Act to help tackle illegal 
deforestation in the United Kingdom’s supply chains.</t>
  </si>
  <si>
    <t>Set out a clear Government vision on environmental and climate standards for trade in the upcoming 2030 Strategic Framework, setting out specific conditions that do more to ensure trade does not undermine our climate and environment objectives</t>
  </si>
  <si>
    <t>The 2030 Strategic Framework, published 30 March 2023, recognises the challenge of 
shifting trade and investment rules and patterns to support our climate and environment 
goals. The framework:
• makes clear that the UK will advocate for a rules-based international trade and 
investment system which supports efforts to decarbonise the global economy 
• boosts resilience and halts and reverses biodiversity loss 
• maintains a level playing field which can diversify and strengthen global supply 
chains, without undermining our collective transition to net zero
It sets out the specific actions that the UK will take to tackle this challenge. This includes 
strengthening the UK’s position as a major market for environmental goods and services 
and using trade agreements to progress our climate and nature commitments. 
The UK will also promote the development of sustainable trade through green and resilient 
supply chains, and support developing countries in adapting to climate change through 
trade. The Forest, Agriculture and Commodity Trade Dialogue group, for example, 
launched and co-chaired by the UK, brings together producers and consumers of 
internationally traded agricultural commodities to promote sustainable trade and 
development.</t>
  </si>
  <si>
    <t>Launch a specific work programme to investigate how and where resilience standards might be developed and applied to food supply chains</t>
  </si>
  <si>
    <t>As set out in the Resilience Framework, government departments will work throughout the 
NAP3 period and beyond to ensure existing regulatory regimes on resilience are fit for 
purpose. The government has also committed in the Framework to expanding the scope 
and use of standards and assurance for resilience, in the public sector, by 2025 and to 
introduce standards on resilience across the private sector, where these do not already 
exist, by 2030.</t>
  </si>
  <si>
    <t xml:space="preserve">Ensure emerging regional Water Resource Management Plans demonstrate increased connectivity and supply capacity in the parts of England that are projected to be water stressed under climate change and population growth. </t>
  </si>
  <si>
    <t>Environment Agency</t>
  </si>
  <si>
    <t>Regional Water Groups</t>
  </si>
  <si>
    <t>The government is committed to a twin track approach to improving water supply 
resilience, which involves investing in new supply infrastructure and action to reduce water 
company leaks and improving water efficiency.
Water companies must account for economic growth, climate change projections and 
population increase in their water resources planning. 
Regional and water resources management plans (WRMPs) will ensure secure supply. 
Regional water resources groups and water companies consulted on their draft plans 
earlier this year and a summary of draft plans is available on gov.uk.
The draft WRMPs contain proposals for new schemes supplying 10Ml/d+ by 2050,
including:
• 9 desalination schemes
• 9 reservoirs 
• 11 water recycling schemes
• transfers to share water resources</t>
  </si>
  <si>
    <t>Collate data from water companies on uptake of water efficiency measures as a national indicator.</t>
  </si>
  <si>
    <t>Ofwat</t>
  </si>
  <si>
    <t>Defra works with its regulators to collate annual data on water efficiency measures as part 
of water companies’ commitments within their Water Resource Management Plans (for 
example smart metering rollouts), and through their Performance Commitments (for 
example on the average amount of water used per person each day). 
Defra is supporting Ofwat to promote innovation within water efficiency. This includes 
supporting incentives for developers to build water efficient properties and a £100 million
fund for water efficiency in PR24.
Defra will continue to support and collate data from pilots including a recent 
announcement to push for stronger water efficiency measures within Cambridge and 
utilise this data to strengthen efficiency nationally.</t>
  </si>
  <si>
    <t>Require water companies to report weather-related interruptions to supply to Ofwat, and collate this as a national indicator.</t>
  </si>
  <si>
    <t>Ofwat currently reports on water companies’ performance against a series of performance 
metrics. This includes interruption to supply, and the number of times consumers contact 
companies about water quality. These are reported on annually, and companies who do 
not meet their performance commitments will face penalties.</t>
  </si>
  <si>
    <t>Conduct a review of governance arrangements for resilience to climate hazards in the energy system, to ensure they are fit for the new expanded and more diverse low-carbon system given increasing societal reliance on electricity.</t>
  </si>
  <si>
    <t>DESNZ will conduct an internal review of governance arrangements for resilience to 
climate hazards in the energy system by 2024 so they are fit for the new expanded and 
more diverse low-carbon system, given the increasing societal reliance on electricity. As 
an independent technical body, the Future System Operator (FSO) will have an ongoing 
role in the governance for resilience to climate hazards in the energy system.</t>
  </si>
  <si>
    <t xml:space="preserve">Ensure that future system design explicitly plans for the range of climate hazards that will face the energy system over its lifetime. </t>
  </si>
  <si>
    <t>FSO</t>
  </si>
  <si>
    <t>DESNZ; Ofgem</t>
  </si>
  <si>
    <t>DESNZ will designate parties responsible now and in the future for the maintenance of 
energy sector codes and standards with a clear mandate to ensure climate and weather 
resilience. This will ensure that future system design accounts for climate hazards that will 
face the energy system over its lifetime.
The 2021 Ofgem and government joint consultation established collective commitment to 
proceed with the creation of the FSO as an expert, impartial body with an important duty to 
facilitate net zero whilst also maintaining a resilient and affordable system.
DESNZ is currently consulting on a series of resilience roles and responsibilities for the 
FSO that will include whole system risk identification, whole system emergency response 
and post event, post emergency and post season analysis. Each of these roles will inform 
future system design. These roles and responsibilities will be mandated in the Licence 
Conditions for the FSO.</t>
  </si>
  <si>
    <t>Develop a pathway to setting appropriate minimum resilience standards (both at asset and system level) to relevant climate hazards identified in the UK Climate Change Risk Assessment (CCRA), covering all relevant parties.</t>
  </si>
  <si>
    <t>2028 latest</t>
  </si>
  <si>
    <t xml:space="preserve">DESNZ  </t>
  </si>
  <si>
    <t>As set out in the Resilience Framework, government departments (in this case DESNZ) 
will work with regulators and infrastructure operators to:
• ensure existing regulatory regimes on resilience are fit for purpose
• introduce standards on resilience and develop an action plan to deliver these 
across the private sector where they do not currently exist - the government 
recognises the need for standards to also account for unique sector landscapes, 
priorities, needs, and interlinkages between sectors
Lead government departments will work with regulatory bodies and infrastructure 
operators throughout the NAP3 period from 2023 to 2028 to implement the actions set out 
in the Resilience Framework relating to the review and implementation of public and 
private sector resilience standards. 
The Future System Operator will, as an independent technical body, provide advice to 
government, Ofgem and wider industry on setting resilience standards to climate hazards 
identified in the UK Climate Change Risk Assessment.</t>
  </si>
  <si>
    <t xml:space="preserve">Extend requirements for reporting on outages to include the cause, duration and customers affected for all outages, and collate this as a national indicator. </t>
  </si>
  <si>
    <t>Ofgem is considering this recommendation and will decide by 2024 whether to extend 
requirements on reporting of outages.</t>
  </si>
  <si>
    <t xml:space="preserve">Mandate reporting on climate risk and adaptation plans by all generators, network operators and regulators under the Adaptation Reporting Power. </t>
  </si>
  <si>
    <t>Defra published its strategy for the fourth round of reporting under the Adaptation 
Reporting Power (ARP4) as part of the NAP3 in July, including our approach to reporting 
by organisations in the energy sector. 
We (Defra and DESNZ) will work with Energy UK to determine a proportionate approach to 
reporting by energy generating companies across the whole sector (including renewables), 
building on the last round’s sectoral overview. We will invite the companies responsible for 
electricity transmission and distribution in Scotland, England and Wales to report. We will 
invite the companies responsible for gas transmission and distribution in Scotland, 
England and Wales to report. We will invite the Energy Networks Association to update 
their sectoral overview. We will explore the potential to invite other major elements of the 
gas and electricity systems to report. We will invite Ofgem and other relevant regulators to 
report.
Given the compressed timescale for reporting, reporting in round 4 will remain voluntary. 
Defra will review this again ahead of round 5.</t>
  </si>
  <si>
    <t>Coordinate a systematic assessment of risks posed from cascading impacts across multiple sectors due to failures of the decarbonised energy system as part of the next round of the Adaptation Reporting Power.</t>
  </si>
  <si>
    <t>The FSO water resources management plan will identify cross-energy sector issues 
because it will take a whole energy system role to understand and plan system security 
and resilience across electricity and gas sectors and the interactions between them. The 
purpose of this is to provide whole energy system coordination and analysis, allowing 
independent, expert advice, analysis and information to government and Ofgem, alongside 
strategic coordination and preparation for emergencies across energy vectors. Depending 
on a number of factors, including agreeing timelines with key parties, our aim is for the 
FSO to be operational in 2024.
In addition, the Defra strategy for the fourth round of adaptation reporting recognises the 
challenge that interacting and cascading risks across different networks and systems 
pose. Adaptation reporting has the potential to be an important lever in addressing these
risks, both by helping organisations to consider their own interdependency risks and by 
informing the national CCRA. 
Capacity to assess such risks varies between organisations and sectors. Our guidance for 
ARP4 asks organisations to explain their approach to identifying and managing 
interdependencies, including on energy both now and in the future, and encourages them 
to include appropriate and proportionate details about them in their risk assessments and 
action plans.</t>
  </si>
  <si>
    <t>Commission further research to improve understanding of how climate change is altering key weather hazards that will impact the energy system.</t>
  </si>
  <si>
    <t>UKRI; Defra</t>
  </si>
  <si>
    <t>The Climate services for a Net Zero resilient world (CS-N0W) programme funds research 
through to 2025 to improve understanding of how climate change is affecting weather 
hazards that can impact the energy system. CS-N0W aims to enhance the scientific
understanding of climate impacts, decarbonisation, climate action and improve 
accessibility to the UK’s climate data.</t>
  </si>
  <si>
    <t>Designate Ofcom with a statutory remit for climate resilience. </t>
  </si>
  <si>
    <t>Ofcom</t>
  </si>
  <si>
    <t>Ofcom has an existing statutory remit in relation to security through the Communications 
Act 2003, under its general duties set out in section 3(4) of the Act. The duty requires 
Ofcom to “have regard to the desirability of ensuring the security and availability of public 
electronic communications networks and public electronic communications services”. The 
act was also amended by the Telecommunications (Security) Act 2021 to place another 
general duty on Ofcom (section 105M) to ensure public telecoms providers comply with 
their security duties. The definition of “security” in both instances is broad enough to 
encompass resilience as it relates to ensuring the confidentiality, integrity and availability 
of telecommunications networks and services. 
This duty is intentionally threat, risk and vector agnostic so that Ofcom, and operators in 
relation to their corresponding security duties, can respond to the changing threat and risk 
landscape. Climate resilience is implicit within Ofcom’s existing regulatory framework.</t>
  </si>
  <si>
    <t xml:space="preserve">Specify outcomes and actions in NAP3 for Telecommunications &amp; ICT resilience.  </t>
  </si>
  <si>
    <t>NAP3 was published in July 2023 and includes actions to support the resilience of 
telecoms and ICT sectors.</t>
  </si>
  <si>
    <t>Design a pathway to develop and implement minimum climate resilience standards for Telecommunications and ICT infrastructure. </t>
  </si>
  <si>
    <t>As set out in the 2022 UK Government Resilience Framework, government departments, 
including DSIT, will work with regulators and infrastructure operators to: 
• ensure existing regulatory regimes on resilience are fit for purpose
• expand the scope and use of standards and assurance in the public sector to 
support better contingency planning and risk management
• introduce standards on resilience and develop an action plan to deliver these 
across the private sector where they do not currently exist - the government 
recognises the need for standards to also account for unique sector landscapes, 
priorities, needs, and interlinkages between sectors
Lead government departments will work with regulatory bodies and infrastructure 
operators throughout the NAP3 period from 2023 to 2028 to implement the actions set out 
in the Resilience Framework relating to the review and implementation of public and 
private sector resilience standards.</t>
  </si>
  <si>
    <t xml:space="preserve">Review the approach of consolidated sectoral reports before the next ARP round to obtain more detailed information on the preparedness of the sector. </t>
  </si>
  <si>
    <t>We acknowledge concerns raised by the CCC about the level of detail in some of the 
consolidated sectoral reports submitted for ARP3. We also recognise the value that 
sectoral reporting can bring by providing insights about a sector’s overall risk profile and 
exposing potential vulnerabilities within interconnected systems. 
Our strategy for ARP4 was published alongside NAP3. We intend to maintain the case-by_x0002_case approach to sectoral reporting. This was endorsed by the majority of respondents to 
our consultation (62%), compared to 10% against and 28% undecided. 
We are working with the industry’s Electronic Communications Resilience and Response 
Group to determine a proportionate approach to reporting by communications network 
operators, building on the last round’s sectoral overview. We will invite TechUK to report 
on behalf of data centres.
DSIT will explore the potential for Ofcom to provide information to the government on 
climate adaptation, within the extent of their powers.</t>
  </si>
  <si>
    <t>Develop pathways to review and implement climate resilience standards to align with timing of regulatory cycles for transport.</t>
  </si>
  <si>
    <t>2030 latest</t>
  </si>
  <si>
    <t>DfT will work with operators of transport infrastructure and regulatory bodies throughout 
the NAP3 period to review and implement resilience standards in line with the UK 
government’s 2022 Resilience Framework. This will include standards related to climate 
change risk. The government recognises the need for standards that are appropriate for 
the operating contexts, priorities and interlinkages between different parts of the transport 
network. DfT will:
• ensure existing regulatory regimes on resilience are fit for purpose
• expand the scope and use of standards and assurance mechanisms across the 
transport network to support better contingency planning and risk management
• introduce standards on resilience and develop an action plan to deliver these 
across the transport sector where they do not currently exist</t>
  </si>
  <si>
    <t xml:space="preserve">Ensure changes to transport systems, especially electrification of road and rail networks, to deliver Net Zero are resilient to climate impacts.  </t>
  </si>
  <si>
    <t>ORR</t>
  </si>
  <si>
    <t xml:space="preserve">The transformation in technology required to deliver net zero greenhouse gas emissions in 
the UK requires both new infrastructure and the retrofitting of existing networks. This 
provides an opportunity to build adaptation to climate change into new transport schemes 
and improve existing infrastructure.
The transport sector will embed consideration of climate change risks across all transport 
operations. This includes investment in existing assets throughout their lifespans and 
planning of new assets to ensure transport continues to enable economic growth. </t>
  </si>
  <si>
    <t xml:space="preserve">Establish and monitor a suite of transport adaptation indicators, in particular for local roads, airports and ports, and infrastructure for active modes such as walking and cycling. </t>
  </si>
  <si>
    <t>The transport sector will continue to develop indicators to evaluate progress in adapting to 
climate change, in line with commitments on monitoring and evaluation set out in NAP3.
National Highways will continue to ensure that technical guidance encourages appropriate 
consideration of climate change, including by updating the drainage metric they use so 
that it more accurately reflects climate risk and relevant guidance.
UK airports and NATS undertake regular monitoring programmes, that include reviewing 
maintenance schedules of infrastructure, contingency and response plans with current and 
emerging climate risks. 
Network Rail is seeking to develop metrics and targets to measure and direct its 
adaptation action. DfT will be taking the work of the transport sector into account when 
developing its adaptation strategy.</t>
  </si>
  <si>
    <t xml:space="preserve">Designate transport sector regulators with consistent remits for climate resilience. </t>
  </si>
  <si>
    <t>As set out in the government’s 2022 Resilience Framework, DfT will ensure that existing 
regulatory regimes are fit for purpose and introduce standards on resilience where they do 
not currently exist.
The rail sector is regulated by the independent Office of Rail and Road (ORR), which has 
both economic and safety-related duties. The ORR holds Network Rail to account through 
its network licence that enforces relevant health and safety legislation. 
National Highways is monitored and held to account by the ORR for their performance, in 
delivering better environmental outcomes and having a well maintained and resilient 
network. This is done through key performance indicators and performance indicators 
(PIs), including a PI to track mitigations to sections of the carriageway susceptible to 
flooding.
The Civil Aviation Authority has a role in ensuring that the aviation industry meets the 
highest safety standards. This includes advising industry and government on climate risks 
and best practice.</t>
  </si>
  <si>
    <t>Planning policy should ensure that assessments for all type and size of built development include, at a minimum, an assessment of current and future flood, erosion, and heat risk under future climate scenarios. This requires tighter controls on Functional Floodplain and Coastal Change Management Area designation, as well as statutory consultees with appropriate skills to assess future climate risks.</t>
  </si>
  <si>
    <t>The National Planning Policy Framework (NPPF) is clear that plans should take a 
proactive approach to mitigating and adapting to climate change, taking into account the 
long-term implications for flood risk, coastal change, water supply, biodiversity and 
landscapes, and the risk of overheating from rising temperatures.
The government has committed to conducting a review of the NPPF following Royal 
Assent of the Bill, to maximise its contribution to both climate change mitigation and 
adaptation. This will include consideration of how best to respond to known climate risks. 
Approved document O of the Building Regulations was implemented in June 2022, this 
aims to reduce the occurrence of high temperatures in new residential buildings including 
houses, flats and residential care homes. DLUHC and the Building Safety Regulator plan 
over the NAP3 period to increase our evidence of the health-related impacts of issues 
such as overheating in homes.
In addition, new-build prisons will target the Building Research Establishment 
Environmental Assessment Method Excellent standard as a minimum, with a requirement 
to conduct a Climate Change Risk Assessment to reduce risks from climate change such 
as overheating and flooding. 
For schools, flooding and overheating risk assessments will be carried out from this year 
onwards, and new schools will be designed for 2°C and adaptable to 4°C global warming 
scenarios.</t>
  </si>
  <si>
    <t>Government should set long-term targets for the number of people and buildings at high to very low risk for all sources of flooding (sea, river, surface water and groundwater)</t>
  </si>
  <si>
    <t>The government has set a long-term ambition to create a more resilient nation and to be 
better protected and better prepared against flooding and coastal erosion. As part of this 
we are developing indicators to drive and monitor progress. 
The government has set a target to better protect properties which is linked to the 
government’s investment programme, currently over a 6-year period. This covers all 
sources of flood and coastal erosion risk and follows a risk-based approach targeting 
investment where the risk is greatest and the benefits highest. 
This enables a better assessment of the need for investment and the level of cost benefit 
by taking account of the latest updates in risk, climate change, population growth and 
asset conditions. In addition, the Environment Agency’s Long Term Investment Scenarios 
provide an economic assessment under a range of scenarios, over the next 50 years.</t>
  </si>
  <si>
    <t>Government should guarantee funding for maintaining existing flood and coastal defences at a target standard suitable to future climate risk over the current FCERM policy cycle</t>
  </si>
  <si>
    <t>As part of the 2021 Spending Review, the government committed to increase revenue 
funding for flood defence maintenance, with an extra £22 million per year between 2022 to 
2023 and 2024 to 2025. This will maintain the Environment Agency's current level of 94 to 
95% of assets in high consequence systems in required condition by 2025.
Future funding allocations will be determined as part of the next Spending Review.</t>
  </si>
  <si>
    <t>Policy decisions within shoreline management plans should be statutory</t>
  </si>
  <si>
    <t xml:space="preserve">Shoreline Management Plans are developed and owned by the local councils and coastal 
protection authorities. These provide long-term strategic plans which identify approaches 
for managing the flood and coastal erosion risks at every stretch of coastline.
Defra will review national policy for Shoreline Management Plans by the end of 2026 to 
ensure they are transparent, continuously review outcomes and enable Local Authorities to 
make robust decisions on shoreline management, including local planning choices. </t>
  </si>
  <si>
    <t>Set out mechanisms for funding installation and maintenance of SuDS and green infrastructure</t>
  </si>
  <si>
    <t xml:space="preserve">DLUHC; Local authorities </t>
  </si>
  <si>
    <t xml:space="preserve">The review for implementation of Schedule 3 to The Flood and Water Management Act 
2010 (published January 2023) identified a number of options for funding of SuDS. These 
options are being further explored as part of the work to implement Schedule 3 in line with 
our commitment in the Plan for Water (also read recommendation 20).
Mandatory Biodiversity Net Gain is supporting the funding of investment for green 
infrastructure and is one of the mechanisms to create better places for local communities. </t>
  </si>
  <si>
    <t>Urgently collect data on the location, type and standard of SuDS and green infrastructure interventions</t>
  </si>
  <si>
    <t>Defra; DLUHC</t>
  </si>
  <si>
    <t>Local authorities</t>
  </si>
  <si>
    <t>The government’s Levelling up and Regeneration Bill will enable greater consistency and 
transparency to planning data by utilising data standards and collecting information using 
a standardised approach. This will enable greater consistency and availability of planning 
information. 
Collection of SuDS data is being further explored as part of the work to implement 
Schedule 3 to The Flood and Water Management Act 2010 in line with our commitment in 
the Plan for Water (also read recommendation 20). 
We will be consulting on a revised National Planning Policy Framework and proposals 
from National Development Management Policies in which we will explore incorporating
nature into development and the evidence underpinning these interventions, through 
better planning for green infrastructure and nature friendly buildings.</t>
  </si>
  <si>
    <t>UKAPR21</t>
  </si>
  <si>
    <t>Introduce an urban greenspace target to reverse the decline and ensure towns and cities are adapted to more frequent heatwaves</t>
  </si>
  <si>
    <t>The government’s Environmental Improvement Plan sets out our commitment for everyone 
to be within a 15-minute walk of a green or blue space. This commitment reflects and 
builds on the ongoing work across government to deliver better access to nature across all 
sections of society. 
DLUHC is also engaging with stakeholders to understand and establish how urban parks 
and other DLUHC-led policies can successfully contribute to the commitment.
In addition, as part of a forthcoming National Planning Policy Framework review, DLUHC 
has committed to exploring incorporating nature into development through better planning 
for green infrastructure and nature-friendly buildings. The requirement to consider green 
infrastructure where new development comes forward is embedded in the National Model 
Design Code, which provides guidance for local planning authorities on setting clear 
design standards through design codes to support climate change resilience and 
highlights the Green Infrastructure Framework.</t>
  </si>
  <si>
    <t>Provide a mechanism for setting out place-based targets for urban greenspace and unplanned impermeable urban surfaces in towns and cities</t>
  </si>
  <si>
    <t>DLUHC; Defra</t>
  </si>
  <si>
    <t>Local authorities; Natural England</t>
  </si>
  <si>
    <t>The government’s 25 Year Environment Plan included a commitment to introduce stronger 
new standards for green infrastructure, alongside a commitment to support Local 
Authorities to assess provision against these new standards.
In January 2023, Natural England launched the Green Infrastructure Framework: 
Principles and Standards for England to help local planning authorities and developers to 
create or improve green and blue infrastructure at a local level, particularly where 
provision is poorest. 
This includes the Urban Greening Factor standard; a planning tool, to be applied to major 
developments, to improve the provision of green infrastructure and increase the level of 
greening in urban environments.
With regard to unplanned impermeable surfaces, we note that the National Infrastructure 
Commission’s (NIC’s) 2022 report of surface water flooding highlighted the risks of 
unplanned impermeable surfaces. The government is considering the findings of the NIC’s 
report and will respond later this year.</t>
  </si>
  <si>
    <t>Undertake post occupancy evaluations of new build homes to monitor summer temperatures to ensure homes meet Part O when built.</t>
  </si>
  <si>
    <t>From 2024</t>
  </si>
  <si>
    <t>The government and the Building Safety Regulator will keep Approved Document O under 
review, including its implementation.
DLUHC will use recommendations from the Housing Health and Safety Rating System 
review to support the effective enforcement of quality and safety standards in all tenures of 
residential accommodation post-occupancy, including standards related to excess heat.</t>
  </si>
  <si>
    <t>Increase understanding of overheating risk in existing buildings by making use of annual empirical studies of overheating. For example, the Energy Follow Up Survey would be a useful tool to track overheating in homes if it were to be conducted each year. The Government should also assess other innovative ways to monitor temperatures in buildings, for example by using smart data.</t>
  </si>
  <si>
    <t>DfE; MoJ</t>
  </si>
  <si>
    <t>DESNZ is undertaking research to improve understanding of overheating, and pursuing 
innovative opportunities for monitoring temperatures in buildings. The department has 
commissioned Loughborough University to use the Energy Follow-Up Survey data to 
analyse trends in overheating across the existing housing stock, developing a better 
understanding of overheating vulnerability. This project will report back by the end of 2023. 
DESNZ is also commissioning a research programme called Homes for Net Zero which 
will provide ongoing monitoring and longitudinal data on temperature in a representative 
sample of the existing building stock. The first phase of this project will conclude in 2025. 
The planned second phase of this project would aim to provide a testbed to monitor the 
effectiveness of a range of different overheating adaptation measures.</t>
  </si>
  <si>
    <t>Through the cross-government working group on overheating ensure the Government is actively addressing the need to mitigate overheating risks when installing measures to increase the energy efficiency of buildings.</t>
  </si>
  <si>
    <t>Defra; Cabinet Office; DCMS; DfE; DLUHC; DfT; DHSC; DBT; MoJ; UK HSA</t>
  </si>
  <si>
    <t>The government’s Overheating Working Group is a forum for overheating policy leads, 
enabling research and capability sharing and collaboration as buildings are retrofitted to 
Net Zero. At senior levels, work on overheating is part of the existing cross-government 
climate and adaptation governance. 
Energy efficiency measures installed under current government schemes require installers 
to be Trustmark registered and measures must be installed in accordance with the Publicly 
Available Specification (PAS) 2030 and PAS 2035 standards. PAS 2035 and 2030 require 
a whole house approach to retrofit and ensures that the risks of unintended consequences 
are minimised.
For new buildings, the overheating (Part O) and energy efficiency (Part L) requirements of 
the building regulations were designed to complement and support each other, ensuring 
that measures installed to increase energy efficiency do not inadvertently lead to 
overheating risks. We are also reviewing the Decent Homes Standard to make sure it is fit 
for modern requirements.</t>
  </si>
  <si>
    <t>Track the resilience of the building stock through mandatory resilience reporting or Green Building Passports.</t>
  </si>
  <si>
    <t>The government plans to consult on reforms to the Energy Performance Certificate
regime, including improving access to building performance data, in the coming months. 
The Building Safety Regulator (BSR) will have a statutory role in overseeing the safety and 
standards of all buildings, including the resilience of buildings to climate risks. Section 5 of 
the Building Safety Act 2022 places a duty on BSR to keep safety and standards of all 
buildings under review. To help meet the Section 5 duty, BSR will gather and analyse 
information from a variety of sources, such as through feedback and advice from formal 
committees, input from stakeholders, and analysis of data, including analysing information 
received through voluntary occurrence reporting and mandatory occurrence reporting.
DESNZ and DLUHC are engaging with industry stakeholders to explore the delivery of 
Building Passports and are aware of projects delivering a passport or logbook package.</t>
  </si>
  <si>
    <t>UKAPR22</t>
  </si>
  <si>
    <t>Work with the Environment Agency and other risk management authorities, such as water and sewerage companies, to set clear targets for the uptake of property-level flood resilience and set out standards for quality and maintenance. This should include improved data collection and monitoring.</t>
  </si>
  <si>
    <t>It is important that Property Flood Resilience (PFR) is understood and trusted by 
consumers and industry (manufacturing, construction, and financial sectors) and that 
households and businesses are aware of the benefits and have information to take action 
to make their properties more resilient. 
Industry is developing the standards, tools and mechanisms that enable consumer 
confidence. We are focusing on engaging with industry to improve the drivers and remove 
barriers. This is through actions such as: 
• influencing Flood Re to identify and appraise options that would establish the 
mechanism needed to determine eligibility for discounted premiums for households 
with PFR
• continuing to influence and evaluate Flood Re’s Build Back Better (BBB) scheme. 
• as part of the Defra and industry PFR Roundtable, signal support and encourage an 
industry led PFR Code of Practice certification scheme, and new information 
platform</t>
  </si>
  <si>
    <t>Create a framework for data collection and monitoring property flood resilience installations</t>
  </si>
  <si>
    <t xml:space="preserve">Property Flood Resilience (PFR) is a developing market. We want to encourage innovation 
and learning by doing it. The government will consider the impact and effectiveness of 
such, and any changes required in the future to drive the growth of the PFR market. 
As part of the Defra and industry PFR roundtable a Code of Practice on PFR service 
delivery was published by the Construction Industry Research and Information 
Association. It complements British Standards on flood resilient construction and retrofit,
and resistance products. 
The Chartered Institution for Water and Environmental Management is developing a 
‘Certified Competent PFR Practitioner Scheme’. This approach will help grow the pool of 
trained professionals and improve the standards for the design, installation, and 
maintenance of PFR projects. The scheme will help to build confidence and trust in the 
market and the Environment Agency will be mandating the use of certified people within 
their next PFR framework. </t>
  </si>
  <si>
    <t xml:space="preserve">Make finance available to install proactive adaptation measures for overheating and flood resilience. This should be via grant schemes or green finance for private owners, with public funding targeted at low-income or vulnerable households, alongside energy efficiency retrofit. </t>
  </si>
  <si>
    <t>DESNZ; DLUHC; Defra</t>
  </si>
  <si>
    <t>Catalysing the green finance market is a priority for government to help support 
homeowners ineligible for grants with upfront improvement costs.
Launched in October 2022, the Green Home Finance Accelerator programme, is making 
up to £20 million available on a competitive basis to support the development of innovative 
green finance products and services for homeowners. 
Energy efficiency measures installed under current government schemes require installers 
to be Trustmark registered and measures must be installed in accordance with the Publicly 
Available Specification (PAS) 2030 and PAS 2035 standards. PAS 2035 and 2030 require 
a whole house approach to retrofit and ensures that the risks of unintended consequences 
are minimised.
Energy efficiency retrofits, if correctly installed, are unlikely to exacerbate overheating risk, 
and with adequate ventilation can in fact reduce risk of overheating for many building 
types.
For flood resilience, government funding from the capital Grant-in-Aid programme for 
resistance PFR is focused on reducing risk to those households (and businesses where it 
is integral to a wider scheme) at the highest risk, where it is cost beneficial to do so and in 
areas where PFR is the best solution for reducing risk.</t>
  </si>
  <si>
    <r>
      <t xml:space="preserve">Build on NHS Green Plans to ensure long-term adaptation planning is included. Ensure that NHS Trusts and Integrated Care Systems have the support and guidance needed to do this. </t>
    </r>
    <r>
      <rPr>
        <sz val="10"/>
        <color rgb="FF000000"/>
        <rFont val="Century Gothic"/>
        <family val="2"/>
      </rPr>
      <t> </t>
    </r>
  </si>
  <si>
    <t>NHS</t>
  </si>
  <si>
    <t>All NHS Trusts and Integrated Care Boards have Green Plans in place, which are 
strategies setting out an organisation’s key plans for net zero and broader sustainability 
issues, including climate resilience. Guidance is available to support Green Plan 
development, which recommends that climate adaptation should be an area of focus, 
summarising organisational plans to mitigate climate change risks. 
Most Green Plans outline action that will be undertaken from 2022 to 2025 and NHS 
England will start developing updated guidance with strengthened adaptation provisions 
from 2024, to inform future Green Plans. 
The current NHS Standard Contract includes a requirement for providers to reduce risks 
associated with climate change and severe weather to premises and services, through an 
array of mechanisms to protect service delivery, including business continuity plans. Every 
Trust has a business continuity plan and climate change adaptation is included in the NHS 
Emergency Preparedness, Resilience and Response core standards.</t>
  </si>
  <si>
    <t xml:space="preserve">Make available long-term, protected funding to adapt hospitals, care homes and other healthcare buildings to the impacts of climate change. </t>
  </si>
  <si>
    <t>It is the responsibility of NHS Trusts and other healthcare providers to ensure their estates 
are resilient, including to the impacts of climate change. The government will continue to 
provide major funding to support these responsibilities. Capital investment has increased 
significantly in recent times, reaching £10.6 billion in 2022 to 2023, up 17% from £9 billion 
in 2021 to 2022. We provided £4.2 billion capital last year (2022 to 2023) specifically for 
the NHS to spend on operational needs, including the maintenance and resilience of the 
NHS estate. A further £8.4 billion will be available through to 2025. Future funding for the 
health estate will be considered through the Spending Review process.</t>
  </si>
  <si>
    <t>The CQC must include the readiness of health and care providers to manage overheating and other extreme weather within the new Single Assessment Framework inspections. </t>
  </si>
  <si>
    <t>CQC</t>
  </si>
  <si>
    <t>CQC’s Single Assessment Framework, due to launch at the end of 2023, will apply to 
health and care providers, local authorities, and integrated care systems. Under the Single 
Assessment Framework, there is a quality statement for ‘safe environments’ and as part of 
this we will look at how providers ‘detect and control potential risks in the care 
environment.’ We will use this to look at environmental risks such as adverse weather 
events.
Climate change adaptation will also be looked at within the key question of ‘Well Led’ and 
the quality statement ‘governance, management and sustainability’, specifically looking at 
business continuity and severe weather plans including overheating. The key question 
‘Well Led’ is defined within the Single Assessment Framework as: based on meeting the 
needs of people who use services and wider communities, and all leaders and staff share 
this. Leaders proactively support staff and collaborate with partners to deliver care that is 
safe, integrated, person-centred and sustainable, and to reduce inequalities.</t>
  </si>
  <si>
    <t>Make the National Resilience Standards a statutory requirement</t>
  </si>
  <si>
    <t>The Civil Contingencies Act 2004: post-implementation review (CCA PIR) report
recommended that the National Resilience Standards should be placed on a statutory 
footing. This would require Category 1 and 2 responders to have due regard to the 
standards whilst fulfilling their duties under the Act. 
In addition to the CCA PIR there will be consideration of the outcomes of planned pilots to 
strengthen local resilience forums (England). These will be run by DLUHC and will focus 
on leadership, accountability and the integration of resilience into levelling up work, as well 
as testing how to bring about greater assurance and drive improvement in collective 
preparedness. The pilots are due to be completed by 2025 and CO will consider what 
legislative changes might be required to support the outcome of the pilots as findings 
emerge.</t>
  </si>
  <si>
    <t>Ensure the new reporting duty under the resilience framework from 2025 includes resilience to all climate risks, not just flooding, which may impact local communities</t>
  </si>
  <si>
    <t>The UK Government Resilience Framework commits us to delivering an annual statement 
to Parliament on civil contingency risk and resilience, with the first such statement due this 
year. This Statement will include the government’s understanding of the current risk 
picture, performance on resilience and current state of preparedness. This is informed by 
the revised National Security Risk Assessment (NSRA) which assesses risks over a longer 
timescale, includes multiple scenarios, and considers chronic risks and interdependencies 
such as those posed by climate change. The risk picture is also informed by the Integrated 
Review Refresh, which addresses risks from climate change, environmental damage and 
biodiversity loss. The government will take an agnostic approach to risks and resilience to 
ensure our plans do not preclude the most appropriate response, and will be informed by 
the widest possible range of relevant data and insights, alongside external challenge.</t>
  </si>
  <si>
    <t xml:space="preserve">Extend the scope of the fourth round of the Adaptation Reporting Power (ARP4) to include local authorities </t>
  </si>
  <si>
    <t>Our strategy for ARP4 sets out our intention to run a pilot of reporting among a group of 
local authorities, to test its costs and benefits. This will launch later this year, with reports 
due by the end of 2024. 
The guidance for reporting has been co-designed by Defra and a group of volunteer local 
authorities to ensure it will complement existing risk management practices and drive
adaptation action in local authorities in a non-duplicative way. It takes account of existing 
duties and the different roles and responsibilities of the different types of authorities.
After the reporting window closes at the end of 2024, we will evaluate the pilot to explore 
how well it worked and what value it brought to participants. This will inform future 
considerations of the case for wider roll-out across the sector in later rounds of adaptation 
reporting.</t>
  </si>
  <si>
    <t>Undertake an assessment of the characteristics of vulnerability and adaptive capacity across England</t>
  </si>
  <si>
    <t>We have established a new £15 million research programme which will launch next year
between Defra and UKRI, to help build the evidence base on effective adaptation action. 
As part of UK Research and Innovation's 'building a secure and resilient world’ and 
‘building a green future’ strategic themes, the programme will identify the skills, standards 
and data provision needed to increase adaptation capability across government and wider 
society.
The Defra and UKRI programme will enhance the assessment of vulnerability to climate 
impact and integrate with existing hazard data to produce improved climate risk 
information.
As part of the monitoring and evaluation work to support NAP3, Defra will undertake an 
assessment of adaptive capacity across government.</t>
  </si>
  <si>
    <t>Res. Sup. Chain Rep 22</t>
  </si>
  <si>
    <t>Ensure that the Sustainability Disclosure Requirements and supporting policies result in large businesses disclosing their current and future supply chain risks from extreme weather and climate change. This should include reporting the financial impacts of supply chain disruption and considering multiple climate change scenarios.</t>
  </si>
  <si>
    <t>Through the introduction of Climate-related Financial Disclosure Requirements in 2022, a 
core element of the UK’s Sustainability Disclosure Requirements, the largest UK 
Registered Companies (Public Interest Entities with over 500 employees and large private 
companies and LLPs with over 500 employees and over £500 million turnover) are 
required to disclose ‘an analysis of the resilience of the business model and strategy of the 
company or LLP, taking into consideration of different climate-related scenarios’. In 
accompanying guidance, the government has set out that this analysis should consider 
both transition risks and physical risks, and in their analysis of physical risks companies 
may need to consider ‘Where elements of a supply chain…are likely to be exposed to 
increased physical risks…to consider mitigating actions’. 
Further, the UK has set up a process to assess and endorse International Sustainability 
Standards Board disclosure standards, which explicitly recommend analysis of supply 
chain risks; they would be available for voluntary use by UK companies.</t>
  </si>
  <si>
    <r>
      <t xml:space="preserve">Provide financial support for smaller businesses to recover and adapt </t>
    </r>
    <r>
      <rPr>
        <b/>
        <sz val="9"/>
        <color rgb="FF000000"/>
        <rFont val="Calibri"/>
        <family val="2"/>
        <scheme val="minor"/>
      </rPr>
      <t> </t>
    </r>
    <r>
      <rPr>
        <sz val="9"/>
        <color rgb="FF000000"/>
        <rFont val="Calibri"/>
        <family val="2"/>
        <scheme val="minor"/>
      </rPr>
      <t>after extreme weather events (similar to existing grants which are usually offered after flooding or as Flood Re does for homeowners).</t>
    </r>
  </si>
  <si>
    <t>In a severe weather event with significant wide area impacts, local authorities can seek 
central support to help their communities and businesses return to normal through the 
government Flood Recovery Framework. This includes a core package of business and 
community recovery support for severely affected areas.
Before we consider other options for additional financial support, we need to further 
understand the barriers to adaptation which businesses face. To address this, DBT is 
focused on gathering information and data around business adaptation and mitigation,
including through surveying businesses to gauge current preparedness for climate risks. 
Depending on the results we will consider the viability of additional financial support. The 
survey concluded in August 2023 and work has commenced to assess results.
Government actions referenced in NAP3 also aim to build a more resilient economy, with 
the intention being to reduce exposure of businesses to extreme weather events, and 
thereby reduce the need for financial support.</t>
  </si>
  <si>
    <t xml:space="preserve">Increase capacity building through its overseas programmes to improve global capacity for climate resilience, including supply chains, health systems and early warning systems for climate hazards. Overseas programmes should work to reduce underlying vulnerabilities to climate risks and not just respond to disasters </t>
  </si>
  <si>
    <t>UK overseas programmes provide support for countries affected by climate related 
disasters, build resilience to climate hazards and support countries and communities to 
reduce underlying vulnerabilities. The UK has committed to triple International Climate 
Finance (ICF) funding for adaptation to £1.5 billion in 2025. Adaptation funding is being 
used for early warning and early action principles and programmes as key aspects of 
reducing vulnerability, alongside work on health systems. Three examples of programmes 
that use UK ICF to build capacity and increase resilience are:
• WISER (Weather and Climate Information Services), delivered by the UK MET 
office, the WISER programme has been delivering transformational change in the 
quality, accessibility and use of weather and climate information at all levels to 
support sustainable development in Africa since 2016. 
• Risk-Informed Early Action Partnership (REAP), bringing together diverse 
stakeholders across climate, humanitarian, and development communities to drive 
a systemic shift to early action with the target of making one billion people safer 
from disasters by 2025.
Climate Risk and Early Warning System (CREWS) - CREWS works with Least 
Developed Countries and Small Island Developing States to increase the 
accessibility of effective early warning systems to mitigate disaster risks, reduce 
impact and enhance climate resilience.</t>
  </si>
  <si>
    <t xml:space="preserve">Carry out stress testing exercises to understand the resilience of essential goods supply chains. This should include assessing the effectiveness of solutions like parallel supply chains or diversifying supplier locations based on assessments of climate risk. </t>
  </si>
  <si>
    <t>DBT will incorporate climate considerations in relevant critical supply chain stress tests by 
the end of 2024, including with international partners, to understand the resilience of 
critical supply chains to climate-related disruptions. 
Stress tests allow government to test supply chain resilience and identify new and novel 
interventions and policy levers to mitigate or manage vulnerabilities. A focus on climate 
risks, will enable government to simulate climate disruptions, assess the UK’s response 
and identify areas for future work and climate adaptation measures.</t>
  </si>
  <si>
    <t>Increase resources for adaptation as part of the existing SME Climate Hub.</t>
  </si>
  <si>
    <t>The government will increase climate adaptation information and guidance for businesses 
on the Small and Medium-sized Enterprise (SME) Climate Hub, including use of the hub to 
host climate risk factsheets. DBT will work with other departments and government 
partners to develop and publish factsheets for the major climate risks impacting 
businesses. These factsheets will be circulated to businesses through trusted government 
stakeholder networks, such as SME Climate Hub and Business Representative 
Organisations, by the end of 2023 to increase business awareness of information sources 
on tackling climate risks.</t>
  </si>
  <si>
    <r>
      <t>Ensure that resilience to extreme weather and climate change is part of industrial and security strategies such as the British Energy Security and Critical Minerals strategies.</t>
    </r>
    <r>
      <rPr>
        <b/>
        <sz val="8"/>
        <color rgb="FF000000"/>
        <rFont val="Century Gothic"/>
        <family val="2"/>
      </rPr>
      <t>  </t>
    </r>
  </si>
  <si>
    <t>DBT will ensure that resilience to extreme weather and climate change is part of the 
government’s sectoral, economic and security strategies through the NAP3 
implementation period to 2023 and beyond. Climate change adaptation is already 
integrated into the UK Government Resilience Framework, the Integrated Review Refresh, 
the Climate Finance Strategy, the Green Finance Strategy, and Powering up Britain – and 
will be included in DBT’s forthcoming Critical Imports Strategy, due to be published this 
year.</t>
  </si>
  <si>
    <t>Publish more accessible monitoring and data analysis of climate risks in order to support businesses to improve their resilience</t>
  </si>
  <si>
    <t>The government provides information to businesses to help them improve their resilience 
to climate change risks, including:
• the UK Climate Projections, produced by the Met Office on behalf of government, a
set of tools and data that show how the UK climate may change in the future.
• the Adverse Weather and Health Plan, which brings together and improves existing 
guidance on weather and health, underpinned by scientific evidence collection, 
guidance, and weather-health alerts.
• advice to individuals, communities, and businesses on flood and coastal-erosion 
risk, such as the Environment Agency’s flood risk alerts, the active flood checker, 
the long-term flood risk checking service and advice on flood risk information for 
planning applications.
In addition, DBT will work with the Met Office to review provision of accessible climate risk 
data to businesses by the end of 2023. We will produce and disseminate accessible 
climate risk factsheets and relevant climate intelligence to businesses, making use of data 
and resources from the Met Office and other government partners.</t>
  </si>
  <si>
    <t xml:space="preserve">Carry out a review of the impacts of recent supply chain disruption and how businesses and governments responded. Use the findings as part of building a strong resilience capability for the UK by taking an overarching view of systemic and interacting risks. </t>
  </si>
  <si>
    <t>The resilience of UK supply chains is a key priority for the government. The government
will continue to actively monitor the impact of supply chain disruption. Lead government 
departments (LGDs) are responsible for monitoring, analysing, and developing effective 
sector responses to risk. DBT works with LGDs, businesses and other governments to 
prepare and respond to disruptions, learn lessons from disruptive events, and build 
resilience capability.
DBT will publish a Critical Imports Strategy to support specific government and business 
action to strengthen resilience in critical and growth sectors this year. Through 
engagement with businesses, DBT has gathered intelligence on the barriers that 
businesses face to supply chain resilience and how business and government can 
respond. This delivers on the commitments in NAP3 to use the strategy to drive specific 
government and business action to strengthen our collective ability to respond to threats 
and hazards such as climate change.</t>
  </si>
  <si>
    <t>Review the value of an early warning system for global climate shocks and enhancing the ability of the Government to make fast decisions by bringing in technical advice and expertise when needed</t>
  </si>
  <si>
    <t>FCDO and the Cabinet Office will use government’s extensive network of overseas posts, 
researchers, and international relationships to identify emerging risks and escalating, 
where necessary, cascading risks through government’s existing risk management 
governance structures, and risk assessment products such as the NSRA. The Cabinet 
Office’s National Situation Centre (SitCen) brings together data and analysis from across 
and beyond government to inform crisis preparedness and response, providing some early 
warning capability. SitCen has established close working with both the Met Office and 
Office for National Statistics (ONS) and is able to ingest climate change data from both 
organisations rapidly, drawing on their scientific and analytical expertise. In the event of 
national emergencies, the Scientific Advisory Group for Emergencies can be convened to 
provide independent scientific advice to decision-makers.</t>
  </si>
  <si>
    <t>Extend the scope of ARP4 to include food supply chains. Defra should also ensure that all organisations who meet the criteria for participation are being invited to report.</t>
  </si>
  <si>
    <t xml:space="preserve">Please read the response to recommendation 3 on the inclusion of food supply 
organisations in ARP4. </t>
  </si>
  <si>
    <t xml:space="preserve">The Office for Budget Responsibility should undertake a full review of how the impacts of climate change in the UK will affect the UK’s macroeconomic performance and public finances, building on the analysis in their 2021 Fiscal Risks Report, to enable a full-cost benefit analysis for public investment in adaptation. </t>
  </si>
  <si>
    <t>OBR</t>
  </si>
  <si>
    <t>The Office for Budget Responsibility (OBR) is continuing to build its analysis of the 
economic and fiscal implications of climate change. The OBR has committed to working 
with the CCC, among others, as it develops its analysis of both adaptation to climate 
change, and decarbonisation on the route to net zero, consistent with its remit of 
examining and reporting on the sustainability of the public finances.</t>
  </si>
  <si>
    <t xml:space="preserve">UK public financial institutions (such as the UK Infrastructure Bank, British Business Bank, UK Export Finance, and British International Investment) – should create adaptation finance strategies, setting out how they will independently and collectively ensure that no viable UK climate adaptation project fails for lack of finance or insurance. </t>
  </si>
  <si>
    <t>Public finance institutions</t>
  </si>
  <si>
    <t>UK public financial institutions are aware that climate resilience is part of their 
responsibility and are helping to create the conditions for sufficient access to private sector 
finance for projects that can improve resilience. 
The UK Infrastructure Bank (UKIB) has published in its first Strategic Plan detail on 
measures it will take to deliver on its mandate to help the UK adapt to climate change, 
including considering the resilience of the infrastructure UKIB invests in. Within its 
Environmental, Social, Resilience and Governance framework, UKIB is implementing a 
process to measure climate risk in investment proposals.
UK Export Finance (UKEF) and the British Business Bank are also embedding 
consideration of climate change into their business, with UKEF increasing their support to 
climate adaptation sectors. More widely, one of the three building blocks of British 
International Investment’s Climate Change Strategy focuses on strengthening adaptation 
and resilience.
Specific adaptation finance strategies for financial institutions are therefore not needed as 
they are already embedding adaptation considerations into their work.</t>
  </si>
  <si>
    <t xml:space="preserve">UK public financial institutions should launch new sustainability-linked instruments tied to adaptation outcomes to help prime the market, potentially by offering guarantees to private issuers and lenders for adaptation-linked instruments. </t>
  </si>
  <si>
    <t>Sustainability-linked bonds (SLBs) are a type of bond with financial features, such as the 
coupon rate, being dependent on whether or not the issuer meets a set environmental 
goal. This could include reducing greenhouse gas emissions or increasing forest cover by 
a certain year. 
SLBs are a novel instrument of which there are currently only two sovereign issuers 
(Uruguay and Chile in 2022). HM Treasury and the Debt Management Office continue to 
monitor the market for sovereign SLBs, but there are currently no plans for any issuance 
by the UK Government.</t>
  </si>
  <si>
    <t>The Bank of England should examine how capital requirements for banks and insurers should be adjusted based on assessed climate risks in terms of how assets are impacted by climate risk, how existing and planned adaptation will influence this, and how some assets create climate risk and contribute to greater societal risk and fragility.</t>
  </si>
  <si>
    <t>HMT; Bank of England</t>
  </si>
  <si>
    <t>As part of the Bank of England (the Bank), the Prudential Regulation Authority (PRA) is 
responsible for ensuring regulated firms such as banks and insurers effectively manage 
the risks climate change poses to their safety and soundness, in support of the transition 
to net zero. 
The PRA already expects banks and insurers to identify, measure and control risks, 
including those arising in unlikely but very severe scenarios, which includes risks which 
are relevant to climate change. Since 2022, the PRA has been actively supervising firms’ 
management of climate risk.
In 2022, the Bank also undertook a review of climate risk in the capital framework, 
including consideration of the latest academic analysis and convened a conference to 
consider the issues, and published findings in March 2023. This review identified potential 
gaps in the current framework due to difficulties in estimating climate risks and challenges 
in capturing risks in the existing capital regimes. The Bank also continues to engage at 
international committees on the impact of climate risk on capital requirements.</t>
  </si>
  <si>
    <t xml:space="preserve">Financial regulators should provide directional guidance for financial institutions to measure physical climate risk and their contribution to climate adaptation (and maladaptation) outcomes across portfolios and loan books. This should be integrated into required climate-related disclosures as part of SDR, as well as enforced through microprudential supervision. </t>
  </si>
  <si>
    <t>HMT; Financial Regulators</t>
  </si>
  <si>
    <t xml:space="preserve">In their March 2023 report on climate-related risks, the Bank of England identified as a 
next step the ‘continued business as usual supervision against firms’ progress at 
embedding supervisory expectations in the management of financial risks from climate 
change.’ The Bank highlighted that it will also consider whether further guidance or 
updates to these expectations are warranted over time. As such the Bank is supporting the 
progress of firms in measuring climate risk and contribution to climate adaptation and is 
monitoring the need for further guidance.
The UK has implemented mandatory reporting against recommendations of the Taskforce 
on Climate-related Financial Disclosures (TCFD) across the economy as the core basis of 
Sustainability Disclosure Requirements (SDR). TCFD rules require disclosure of climate related financial risk information structured around four thematic areas: governance, 
strategy, risk management, and metrics or targets.
Additionally, the Transition Plan Taskforce published its Disclosure Framework and
associated guidance earlier this month. </t>
  </si>
  <si>
    <t xml:space="preserve">The UK should build on the work of the Transition Pathways Taskforce (on Net Zero-related corporate transition plans) to define common standards for what a high-quality adaptation transition plan should look like. This should include how relevant physical climate risks are measured and managed as well as how the plans would contribute to wider societal adaptation to climate change. </t>
  </si>
  <si>
    <t>HMT, DESNZ</t>
  </si>
  <si>
    <t>Read recommendation 12 response on the Transition Plan Taskforce.</t>
  </si>
  <si>
    <t xml:space="preserve">The updated Green Finance Strategy in 2023 and NAP3 should set out steps to ensure that the UK SDR initiatives (including the Green Taxonomy) are effective in improving our understanding of adaptation investment needs, directing finance towards adaptation and ensuring that regulators and auditors have the necessary expertise to monitor the quality of reporting, and provide incentives for organisations to report on their adaptation actions. </t>
  </si>
  <si>
    <t>HMT; DEFRA; DESNZ</t>
  </si>
  <si>
    <t>The government updated the Green Finance Strategy (GFS) in 2023, incorporating
adaptation and nature into its objectives and setting out the next steps on SDR.
SDR aims to increase the flow and uniformity of decision-useful information on 
sustainability which can inform firms’ capital allocation. TCFD rules are already in place 
across the UK economy to support firms’ governance, strategy and risk management 
around climate-related risks, with recommendations to consider and disclose adaptation 
and mitigation activities. 
Building on this, the government is setting up an endorsement and implementation 
process for a UK-endorsed version of the International Financial Reporting Standards 
Foundation’s International Sustainability Standards Board baseline standards; this would 
be available for voluntary use by UK companies. 
In the GFS, the government reiterated its commitment to deliver a UK Green Taxonomy. 
The government continues to expect to consult in autumn this year on how to define green 
economic activities, including consideration of adaptation. Any UK taxonomy must be 
proportionate, tailored to the UK and avoid undue burdens on companies.
SDR also includes Transition Plans (read response 12).
The government is keen to minimise and consolidate corporate reporting burdens.</t>
  </si>
  <si>
    <t xml:space="preserve">Government and its implementing agencies should ensure that a growing fraction of their funding helps to support pioneering projects that seek to provide proof of concepts of how adaptation actions can be successfully funded and delivered through public-private partnership funding and financing. </t>
  </si>
  <si>
    <t>HMT, Public Finance Institutions</t>
  </si>
  <si>
    <t>In addition to public investment underpinning NAP3 plans, private sector investment will be 
required to support adaptation action over the coming decades. In the 2023 Green 
Finance Strategy, the government committed to work with the Green Finance Institute to 
explore how blended finance models might be used to mobilise private finance to support 
the government’s green objectives. The Strategy also sets out how the Environment 
Agency is exploring opportunities for new financing mechanisms for facilitating insurance 
markets to build flood resilience, where that will reduce overall costs; as well as innovative 
financing mechanisms to support residents in properties impacted by sea level rise.
More widely, the UK Infrastructure Bank (UKIB) has published details on measures it will 
take to deliver on its mandate to help the UK adapt to climate change. This includes 
investing in early-stage technologies and business models that require lenders to take new 
risks. UKIB will assess deals on a case-by-case basis to identify financing structures that 
best fit the proposal’s needs.</t>
  </si>
  <si>
    <t xml:space="preserve">Government can enable the provision of data as a public good. This could include directly investing in open risk and resilience data and metrics or developing platforms and tools to share relevant datasets, such as those collected by insurance companies. </t>
  </si>
  <si>
    <t>DESNZ; ONS</t>
  </si>
  <si>
    <t>The government continues to work with a range of stakeholders and agencies, including 
the Met Office and ONS, to provide weather and climate data to the public. The Met Office 
launched their Climate Data Portal earlier this year, which makes key climate data and 
supporting information available for operational and strategic decision-making. As 
announced in the NAP3, the government is also piloting a Local Authority Climate Service, 
which builds on previous Met Office-led work, including ‘city packs’ developed through UK 
Research and Innovation, and will give all local authorities and local resilience forums
across the UK access to localised climate data and projections to inform adaptation 
decision-making in local areas.
In addition to this, the recently published National Risk Register, the external version of the 
National Security Risk Assessment, provides more risk information than ever before to 
support resilience professionals, businesses and other organisations in their planning, 
preparation and response.</t>
  </si>
  <si>
    <t xml:space="preserve">The interdependencies between physical, transition and liability risks must be considered for scenario analysis and stress testing. Stress testing of the financial system to climate change risks should be done regularly as data and methodological approaches improve our understanding of the risks and impacts. </t>
  </si>
  <si>
    <t>Bank of England</t>
  </si>
  <si>
    <t>In March 2023, the Bank of England published its report on climate-related risks and the 
regulatory capital frameworks. In this report, the Bank recognised that ‘the unique 
characteristics of climate risks… require a more forward-looking approach than used for 
many other risks’ and noted that ‘scenario analysis and stress testing will play a key role in 
this.’
The Bank also pledged to consider a number of underlying issues, including ‘the extent to 
which known expectations of how physical and transition risks will unfold over the typical 
stress test horizon could be incorporated into the baseline scenarios used within stress 
testing’.
As next steps, the Bank has said it will ‘further develop its capabilities to test the resilience 
of the financial system to climate risks. This includes how scenario exercises and stress 
tests can help the Bank and firms understand the exposure of the financial system to 
risks.’</t>
  </si>
  <si>
    <t>Government should prioritise creating markets for adaptation outcomes across relevant legislation and policy programmes, including initiatives on carbon market integrity and the Environmental Land Management Schemes.</t>
  </si>
  <si>
    <t>DEFRA; HMT; DESNZ</t>
  </si>
  <si>
    <t>The government’s 2023 Green Finance Strategy and Nature Markets Framework set out 
our commitment to supporting and accelerating the growth of nature markets and ensuring 
that they operate with high integrity. Nature markets are expected to deliver a number of 
climate adaptation benefits such as flood risk management.
Our nature investment standards programme with the British Standards Institution will play 
a key role in ensuring nature markets are high-integrity and deliver genuine environmental 
benefits. Through this programme, the UK will build on emerging international best 
practice – including the work of the Voluntary Carbon Markets Integrity Initiative and the 
Integrity Council for the Voluntary Carbon Market.</t>
  </si>
  <si>
    <t>The need for investment in adapting to climate change should be included within mandates/strategic priorities for all relevant regulated industry regulators and implementing agencies through resilience standards aligned to national-level objectives. There should be a duty for regulators to identify and create climate adaptation project pipelines, aligned with national adaptation objectives, and to set out how they will enable the realisation of that pipeline.</t>
  </si>
  <si>
    <t>2028 at latest</t>
  </si>
  <si>
    <t>This is a broad recommendation with applicability across a range of regulated sectors. In 
responding it is important to emphasise the importance of regulatory independence. 
As set out elsewhere in this response, regulators have a range of existing duties with 
respect to climate change resilience. NAP3 sets out in detail how each infrastructure 
sector is approaching the challenge of climate resilience, now and in the future, including 
the way in which regulatory frameworks drive investment in climate resilience.
The government will consider this recommendation alongside others in delivering 
commitments in the Resilience Framework to work with regulators and government 
agencies to review existing regulatory regimes on resilience to ensure they are fit for 
purpose. Notably, as set out in the Resilience Framework, the government will introduce 
standards on resilience across the private sector, where these do not already exist, 
adjusted to take into account the current landscape, priorities and needs across and 
between sectors. In the highest priority sectors that are not already regulated, and for the 
highest priority risks, the government will consider enforcing standards through regulation. 
The government is also considering a range of actions through the Green Finance 
Strategy 2023 to attract further investment into adaptation, including developing financial 
adaptation reporting, stronger evidence to understand adaptation investment need, and 
incorporating adaptation into the government’s green finance policy framework.</t>
  </si>
  <si>
    <t xml:space="preserve">Financial regulators in the UK should collaborate with international counterparts to establish a cost of capital observatory for physical risk, similar to efforts to track this for transition risk (for example by the International Energy Agency). </t>
  </si>
  <si>
    <t>Financial Regulators</t>
  </si>
  <si>
    <t>The financial regulators agree that climate change is a pressing issue facing the financial 
services sector. They continue to collaborate with other jurisdictions to understand both 
the transition and physical costs of climate risk, including whether the current regulatory 
capital treatment is appropriate.</t>
  </si>
  <si>
    <t>ID</t>
  </si>
  <si>
    <t>Action 1</t>
  </si>
  <si>
    <t>Action 2</t>
  </si>
  <si>
    <t>Action 3</t>
  </si>
  <si>
    <t>Action 4</t>
  </si>
  <si>
    <t>Action 5</t>
  </si>
  <si>
    <t>Action 6</t>
  </si>
  <si>
    <t>Action 7</t>
  </si>
  <si>
    <t>Action 8</t>
  </si>
  <si>
    <t>Action 9</t>
  </si>
  <si>
    <t>Action 10</t>
  </si>
  <si>
    <t>Action 11</t>
  </si>
  <si>
    <t>Action 12</t>
  </si>
  <si>
    <t>Action 13</t>
  </si>
  <si>
    <t>Action 14</t>
  </si>
  <si>
    <t>Action 15</t>
  </si>
  <si>
    <t># Actions</t>
  </si>
  <si>
    <t>Sector total</t>
  </si>
  <si>
    <t>ID03.3</t>
  </si>
  <si>
    <t>ARP - Adaptation Reporting Power</t>
  </si>
  <si>
    <t>AC - Adaptation (Sub-Committee) of the Committee on Climate Change</t>
  </si>
  <si>
    <t>BSR – Building Safety Regulator</t>
  </si>
  <si>
    <t>CCA PIR - Civil Contingencies Act 2004: Post-Implementation Review</t>
  </si>
  <si>
    <t xml:space="preserve">CCC – Climate Change Committee </t>
  </si>
  <si>
    <t>CO – Cabinet Office</t>
  </si>
  <si>
    <t xml:space="preserve">CQC- Care Quality Commission </t>
  </si>
  <si>
    <t>CCRA – Climate Change Risk Assessment</t>
  </si>
  <si>
    <t>CNI – Critical National Infrastructure-</t>
  </si>
  <si>
    <t>CS-N0W - Climate Services for a Net Zero resilient World E</t>
  </si>
  <si>
    <t>DBT – Department for Business and Trade</t>
  </si>
  <si>
    <t>DCMS – Department for Culture, Media and Sport</t>
  </si>
  <si>
    <t>Defra - Department for Environment, Food and Rural Affairs</t>
  </si>
  <si>
    <t>DESNZ – Department for Energy Security and Net Zero</t>
  </si>
  <si>
    <t>DfE – Department for Education</t>
  </si>
  <si>
    <t>DfT – Department for Transport</t>
  </si>
  <si>
    <t>DHSC – Department Health and Social Care</t>
  </si>
  <si>
    <t>DLUHC – Department for Levelling Up, Housing and Communities</t>
  </si>
  <si>
    <t>DSIT – Department for Science, Innovation and Technology</t>
  </si>
  <si>
    <t>EIP - Environmental Improvement Plan</t>
  </si>
  <si>
    <t>EU - European Union</t>
  </si>
  <si>
    <t>FaSS – Fisheries and Seafood Scheme</t>
  </si>
  <si>
    <t>FCA – Financial Conduct Authority</t>
  </si>
  <si>
    <t>FCDO – Foreign, Commonwealth and Development Office</t>
  </si>
  <si>
    <t>FCERM - Flood and Coastal Erosion Risk Management</t>
  </si>
  <si>
    <t>FSO- Future System Operator</t>
  </si>
  <si>
    <t>GFS – Green Finance Strategy</t>
  </si>
  <si>
    <t>HMT – His Majesty’s Treasury</t>
  </si>
  <si>
    <t>HPMA – Highly Protected Marine Area</t>
  </si>
  <si>
    <t>ICF – International Climate Finance</t>
  </si>
  <si>
    <t>LGD – Lead Government Department</t>
  </si>
  <si>
    <t>LNRS – Local Nature Recovery Strategy</t>
  </si>
  <si>
    <t>MPA – Marine Protected Area</t>
  </si>
  <si>
    <t>MSF – Major Service Failure</t>
  </si>
  <si>
    <t>NAP - National Adaptation Programme</t>
  </si>
  <si>
    <t>NHS - National Health Service</t>
  </si>
  <si>
    <t>NIC – National Infrastructure Commission</t>
  </si>
  <si>
    <t>NPPF - National Planning Policy Framework</t>
  </si>
  <si>
    <t>NSRA – National Security Risk Assessment</t>
  </si>
  <si>
    <t>OBR – Office for Budget Responsibility</t>
  </si>
  <si>
    <t>Ofwat - Water Services Regulation Authority</t>
  </si>
  <si>
    <t>ONS – Office for National Statistics</t>
  </si>
  <si>
    <t xml:space="preserve">ORR – Office of Rail and Road </t>
  </si>
  <si>
    <t>PAS – Publicly Available Specification</t>
  </si>
  <si>
    <t>PFR – Property Flood Resilience</t>
  </si>
  <si>
    <t>PI – Performance Indicators</t>
  </si>
  <si>
    <t>PR – Price Review</t>
  </si>
  <si>
    <t>PRA – Prudential Regulation Authority</t>
  </si>
  <si>
    <t>R&amp;D - Research and Development</t>
  </si>
  <si>
    <t>SDR - Sustainability Disclosure Requirements</t>
  </si>
  <si>
    <t>SitCen – National Situation Centre</t>
  </si>
  <si>
    <t>SLB – Sustainability-Linked Bond</t>
  </si>
  <si>
    <t>SME – Small and Medium-sizes Enterprise</t>
  </si>
  <si>
    <t>SSSI - Sites of Special Scientific Interest</t>
  </si>
  <si>
    <t>SuDS - Sustainable Drainage Systems</t>
  </si>
  <si>
    <t>TCFD - Taskforce on Climate-Related Financial Disclosures</t>
  </si>
  <si>
    <t>TPT – Transition Plan Taskforce</t>
  </si>
  <si>
    <t>UK – United Kingdom</t>
  </si>
  <si>
    <t>UKEF – UK Export Finance</t>
  </si>
  <si>
    <t>UKHSA – UK Health Security Agency</t>
  </si>
  <si>
    <t>UKIB – UK Infrastructure Bank</t>
  </si>
  <si>
    <t xml:space="preserve">UKRI- UK Research and Innovation </t>
  </si>
  <si>
    <t>UKSF – UK Seafood Fund</t>
  </si>
  <si>
    <t>WRMP - Water Resources Management Plan</t>
  </si>
  <si>
    <t>Key to typologies and evaluation scores</t>
  </si>
  <si>
    <t>Table 1. Used in tab 'CCRA3 Actions for NAP3' column F</t>
  </si>
  <si>
    <t xml:space="preserve">Typology </t>
  </si>
  <si>
    <t xml:space="preserve">Description </t>
  </si>
  <si>
    <t>Reference</t>
  </si>
  <si>
    <t>Address any current adaptation gap by implementing ‘no-regret’ or ‘low-regret’ actions to reduce risks associated with current climate variability as well as building future climate resilience, or to enhance opportunities.</t>
  </si>
  <si>
    <t>CCRA Chapter 2, section 2.3.1.2</t>
  </si>
  <si>
    <t>Intervene to ensure that adaptation is considered in near-term decisions that have long lifetimes, such as major infrastructure developments, in order to avoid ‘lock-in’ (see key terms).
This can include the use of decision making under uncertainty (DMUU) concepts (i.e. flexibility, robustness).</t>
  </si>
  <si>
    <t xml:space="preserve">Fast-track early adaptive management activities, especially for decisions that have long lead times or involve major future change, including planning, monitoring and research. </t>
  </si>
  <si>
    <t xml:space="preserve">Further research or monitoring to enhance learning and allow the use of evidence in forthcoming future decisions, for either risks or opportunities. </t>
  </si>
  <si>
    <t>None of the above typologies are clearly referred to within the CCRA3 text.</t>
  </si>
  <si>
    <t>ADAS addition</t>
  </si>
  <si>
    <t>Table 2. Used in tab 'CCRA3 Actions for NAP3' column G</t>
  </si>
  <si>
    <t>Typology confidence</t>
  </si>
  <si>
    <t>Chosen typology is clearly referred to in the CCRA3 text.</t>
  </si>
  <si>
    <t>Scoring framework developed by ADAS</t>
  </si>
  <si>
    <t>Typology is partially inferred to in the CCRA3 text to allow an informed judgement.</t>
  </si>
  <si>
    <t>Typology is not clearly referred to in the CCRA3 text, therefore the chosen typology reflects ADAS judgement.</t>
  </si>
  <si>
    <t>Table 3. Used in tab 'CCRA3 Actions for NAP3' column J</t>
  </si>
  <si>
    <t>Evaluation Score</t>
  </si>
  <si>
    <t>NAP3 fully addresses the sub-action in CCRA3.</t>
  </si>
  <si>
    <t xml:space="preserve">NAP3 has some gaps but includes actions that would go a large proportion of the way to delivering the full scope of the CCRA ask. </t>
  </si>
  <si>
    <t>NAP3 includes some small relevant actions, but there are large gaps missing in order to deliver the full scope of the CCRA ask.</t>
  </si>
  <si>
    <t>NAP3 includes some recognition of the sub-action in CCRA3 but does not address it. For example, the action is recognised in NAP3 but for implementation in NAP4 or beyond.</t>
  </si>
  <si>
    <t>There is insufficient information in the NAP3 documents reviewed to suggest that the sub-action in CCRA3 has been addressed.</t>
  </si>
  <si>
    <t>Table 4. Used in tab 'CCRA3 Actions for NAP3' column D</t>
  </si>
  <si>
    <t>Risk relevant to</t>
  </si>
  <si>
    <t>Action aimed at Government and/or Arm's Length Body (e.g. Environment Agency)</t>
  </si>
  <si>
    <t>Action aimed at a non-government or ALB audience, e.g. industry, business or land</t>
  </si>
  <si>
    <t>Unclear who the action is aimed at.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</si>
</sst>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9" x14ac:knownFonts="1">
    <font>
      <sz val="11"/>
      <color theme="1"/>
      <name val="Calibri"/>
      <family val="2"/>
      <scheme val="minor"/>
    </font>
    <font>
      <sz val="11"/>
      <color theme="1"/>
      <name val="Calibri"/>
      <family val="2"/>
      <scheme val="minor"/>
    </font>
    <font>
      <sz val="11"/>
      <color theme="0"/>
      <name val="Calibri"/>
      <family val="2"/>
      <scheme val="minor"/>
    </font>
    <font>
      <sz val="11"/>
      <color rgb="FF9C5700"/>
      <name val="Calibri"/>
      <family val="2"/>
      <scheme val="minor"/>
    </font>
    <font>
      <b/>
      <sz val="11"/>
      <color theme="0"/>
      <name val="Calibri"/>
      <family val="2"/>
      <scheme val="minor"/>
    </font>
    <font>
      <b/>
      <sz val="11"/>
      <color theme="1"/>
      <name val="Calibri"/>
      <family val="2"/>
      <scheme val="minor"/>
    </font>
    <font>
      <sz val="11"/>
      <name val="Calibri"/>
      <family val="2"/>
      <scheme val="minor"/>
    </font>
    <font>
      <b/>
      <sz val="11"/>
      <name val="Calibri"/>
      <family val="2"/>
      <scheme val="minor"/>
    </font>
    <font>
      <sz val="10"/>
      <color theme="1"/>
      <name val="Calibri"/>
      <family val="2"/>
      <scheme val="minor"/>
    </font>
    <font>
      <b/>
      <sz val="10"/>
      <color theme="4"/>
      <name val="Calibri"/>
      <family val="2"/>
      <scheme val="minor"/>
    </font>
    <font>
      <sz val="10"/>
      <color theme="0"/>
      <name val="Calibri"/>
      <family val="2"/>
    </font>
    <font>
      <b/>
      <sz val="10"/>
      <color theme="0"/>
      <name val="Calibri"/>
      <family val="2"/>
    </font>
    <font>
      <sz val="10"/>
      <color theme="1"/>
      <name val="Calibri"/>
      <family val="2"/>
    </font>
    <font>
      <b/>
      <sz val="10"/>
      <color theme="1"/>
      <name val="Calibri"/>
      <family val="2"/>
    </font>
    <font>
      <b/>
      <sz val="10"/>
      <name val="Calibri"/>
      <family val="2"/>
    </font>
    <font>
      <sz val="10"/>
      <name val="Calibri"/>
      <family val="2"/>
    </font>
    <font>
      <sz val="8"/>
      <name val="Calibri"/>
      <family val="2"/>
      <scheme val="minor"/>
    </font>
    <font>
      <b/>
      <u/>
      <sz val="10"/>
      <color theme="0"/>
      <name val="Calibri"/>
      <family val="2"/>
    </font>
    <font>
      <b/>
      <sz val="11"/>
      <color theme="1"/>
      <name val="Calibri"/>
      <family val="2"/>
    </font>
    <font>
      <sz val="11"/>
      <color theme="1"/>
      <name val="Calibri"/>
      <family val="2"/>
    </font>
    <font>
      <b/>
      <sz val="11"/>
      <color theme="0"/>
      <name val="Calibri"/>
      <family val="2"/>
    </font>
    <font>
      <sz val="10"/>
      <color theme="1"/>
      <name val="Calibri"/>
      <family val="2"/>
    </font>
    <font>
      <sz val="10"/>
      <color rgb="FF000000"/>
      <name val="Calibri"/>
      <family val="2"/>
    </font>
    <font>
      <sz val="9"/>
      <color indexed="81"/>
      <name val="Tahoma"/>
      <family val="2"/>
    </font>
    <font>
      <b/>
      <sz val="9"/>
      <color indexed="81"/>
      <name val="Tahoma"/>
      <family val="2"/>
    </font>
    <font>
      <sz val="10"/>
      <color theme="6"/>
      <name val="Calibri"/>
      <family val="2"/>
    </font>
    <font>
      <sz val="9"/>
      <color rgb="FF000000"/>
      <name val="Calibri"/>
      <family val="2"/>
      <scheme val="minor"/>
    </font>
    <font>
      <sz val="10"/>
      <color rgb="FF000000"/>
      <name val="Century Gothic"/>
      <family val="2"/>
    </font>
    <font>
      <b/>
      <sz val="8"/>
      <color rgb="FF000000"/>
      <name val="Century Gothic"/>
      <family val="2"/>
    </font>
    <font>
      <b/>
      <sz val="12"/>
      <color rgb="FFFFFFFF"/>
      <name val="Times New Roman"/>
      <family val="1"/>
    </font>
    <font>
      <sz val="9"/>
      <color theme="1"/>
      <name val="Calibri"/>
      <family val="2"/>
      <scheme val="minor"/>
    </font>
    <font>
      <b/>
      <sz val="9"/>
      <color theme="0"/>
      <name val="Calibri"/>
      <family val="2"/>
      <scheme val="minor"/>
    </font>
    <font>
      <u/>
      <sz val="11"/>
      <color theme="10"/>
      <name val="Calibri"/>
      <family val="2"/>
      <scheme val="minor"/>
    </font>
    <font>
      <b/>
      <sz val="11"/>
      <color theme="6"/>
      <name val="Calibri"/>
      <family val="2"/>
    </font>
    <font>
      <u/>
      <sz val="11"/>
      <color rgb="FF0070C0"/>
      <name val="Calibri"/>
      <family val="2"/>
      <scheme val="minor"/>
    </font>
    <font>
      <sz val="11"/>
      <color rgb="FF0070C0"/>
      <name val="Calibri"/>
      <family val="2"/>
      <scheme val="minor"/>
    </font>
    <font>
      <b/>
      <sz val="11"/>
      <color rgb="FF0070C0"/>
      <name val="Calibri"/>
      <family val="2"/>
    </font>
    <font>
      <sz val="11"/>
      <color rgb="FF0070C0"/>
      <name val="Calibri"/>
      <family val="2"/>
    </font>
    <font>
      <b/>
      <sz val="9"/>
      <color rgb="FF000000"/>
      <name val="Calibri"/>
      <family val="2"/>
      <scheme val="minor"/>
    </font>
  </fonts>
  <fills count="24">
    <fill>
      <patternFill patternType="none"/>
    </fill>
    <fill>
      <patternFill patternType="gray125"/>
    </fill>
    <fill>
      <patternFill patternType="solid">
        <fgColor rgb="FFFFEB9C"/>
      </patternFill>
    </fill>
    <fill>
      <patternFill patternType="solid">
        <fgColor theme="4"/>
      </patternFill>
    </fill>
    <fill>
      <patternFill patternType="solid">
        <fgColor theme="0"/>
        <bgColor indexed="64"/>
      </patternFill>
    </fill>
    <fill>
      <patternFill patternType="solid">
        <fgColor theme="4" tint="0.79998168889431442"/>
        <bgColor indexed="64"/>
      </patternFill>
    </fill>
    <fill>
      <patternFill patternType="solid">
        <fgColor theme="3" tint="0.39997558519241921"/>
        <bgColor indexed="64"/>
      </patternFill>
    </fill>
    <fill>
      <patternFill patternType="solid">
        <fgColor rgb="FFFFFF00"/>
        <bgColor indexed="64"/>
      </patternFill>
    </fill>
    <fill>
      <patternFill patternType="solid">
        <fgColor rgb="FF00B050"/>
        <bgColor indexed="64"/>
      </patternFill>
    </fill>
    <fill>
      <patternFill patternType="solid">
        <fgColor rgb="FFED33BC"/>
        <bgColor indexed="64"/>
      </patternFill>
    </fill>
    <fill>
      <patternFill patternType="solid">
        <fgColor rgb="FF0070C0"/>
        <bgColor indexed="64"/>
      </patternFill>
    </fill>
    <fill>
      <patternFill patternType="solid">
        <fgColor theme="8" tint="0.59999389629810485"/>
        <bgColor indexed="64"/>
      </patternFill>
    </fill>
    <fill>
      <patternFill patternType="solid">
        <fgColor rgb="FF92D050"/>
        <bgColor indexed="64"/>
      </patternFill>
    </fill>
    <fill>
      <patternFill patternType="solid">
        <fgColor theme="2" tint="-9.9978637043366805E-2"/>
        <bgColor indexed="64"/>
      </patternFill>
    </fill>
    <fill>
      <patternFill patternType="solid">
        <fgColor rgb="FFDE6742"/>
        <bgColor indexed="64"/>
      </patternFill>
    </fill>
    <fill>
      <patternFill patternType="solid">
        <fgColor rgb="FFA98477"/>
        <bgColor indexed="64"/>
      </patternFill>
    </fill>
    <fill>
      <patternFill patternType="solid">
        <fgColor theme="6" tint="0.39997558519241921"/>
        <bgColor indexed="64"/>
      </patternFill>
    </fill>
    <fill>
      <patternFill patternType="solid">
        <fgColor theme="3" tint="0.79998168889431442"/>
        <bgColor indexed="64"/>
      </patternFill>
    </fill>
    <fill>
      <patternFill patternType="solid">
        <fgColor theme="0" tint="-0.249977111117893"/>
        <bgColor indexed="64"/>
      </patternFill>
    </fill>
    <fill>
      <patternFill patternType="solid">
        <fgColor theme="8" tint="0.79998168889431442"/>
        <bgColor indexed="64"/>
      </patternFill>
    </fill>
    <fill>
      <patternFill patternType="solid">
        <fgColor theme="5" tint="0.79998168889431442"/>
        <bgColor indexed="64"/>
      </patternFill>
    </fill>
    <fill>
      <patternFill patternType="solid">
        <fgColor theme="7" tint="0.79998168889431442"/>
        <bgColor indexed="64"/>
      </patternFill>
    </fill>
    <fill>
      <patternFill patternType="solid">
        <fgColor theme="9"/>
        <bgColor indexed="64"/>
      </patternFill>
    </fill>
    <fill>
      <patternFill patternType="solid">
        <fgColor theme="5" tint="-0.499984740745262"/>
        <bgColor indexed="64"/>
      </patternFill>
    </fill>
  </fills>
  <borders count="16">
    <border>
      <left/>
      <right/>
      <top/>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style="thin">
        <color auto="1"/>
      </left>
      <right style="thin">
        <color auto="1"/>
      </right>
      <top style="thin">
        <color auto="1"/>
      </top>
      <bottom/>
      <diagonal/>
    </border>
    <border>
      <left/>
      <right style="thin">
        <color auto="1"/>
      </right>
      <top style="thin">
        <color auto="1"/>
      </top>
      <bottom/>
      <diagonal/>
    </border>
    <border>
      <left style="thin">
        <color auto="1"/>
      </left>
      <right/>
      <top style="thin">
        <color indexed="64"/>
      </top>
      <bottom/>
      <diagonal/>
    </border>
    <border>
      <left/>
      <right/>
      <top style="thin">
        <color indexed="64"/>
      </top>
      <bottom/>
      <diagonal/>
    </border>
    <border>
      <left/>
      <right style="thin">
        <color auto="1"/>
      </right>
      <top/>
      <bottom/>
      <diagonal/>
    </border>
    <border>
      <left style="thin">
        <color auto="1"/>
      </left>
      <right style="thin">
        <color auto="1"/>
      </right>
      <top/>
      <bottom/>
      <diagonal/>
    </border>
    <border>
      <left style="thin">
        <color auto="1"/>
      </left>
      <right style="thin">
        <color auto="1"/>
      </right>
      <top/>
      <bottom style="thin">
        <color auto="1"/>
      </bottom>
      <diagonal/>
    </border>
    <border>
      <left/>
      <right/>
      <top/>
      <bottom style="thin">
        <color indexed="64"/>
      </bottom>
      <diagonal/>
    </border>
    <border>
      <left style="thin">
        <color auto="1"/>
      </left>
      <right/>
      <top/>
      <bottom/>
      <diagonal/>
    </border>
    <border>
      <left style="thin">
        <color auto="1"/>
      </left>
      <right/>
      <top/>
      <bottom style="thin">
        <color auto="1"/>
      </bottom>
      <diagonal/>
    </border>
    <border>
      <left/>
      <right/>
      <top style="thin">
        <color indexed="64"/>
      </top>
      <bottom style="thin">
        <color indexed="64"/>
      </bottom>
      <diagonal/>
    </border>
    <border>
      <left/>
      <right style="thin">
        <color indexed="64"/>
      </right>
      <top/>
      <bottom style="thin">
        <color indexed="64"/>
      </bottom>
      <diagonal/>
    </border>
    <border>
      <left/>
      <right style="thin">
        <color auto="1"/>
      </right>
      <top style="thin">
        <color auto="1"/>
      </top>
      <bottom style="thin">
        <color auto="1"/>
      </bottom>
      <diagonal/>
    </border>
  </borders>
  <cellStyleXfs count="5">
    <xf numFmtId="0" fontId="0" fillId="0" borderId="0"/>
    <xf numFmtId="0" fontId="3" fillId="2" borderId="0" applyNumberFormat="0" applyBorder="0" applyAlignment="0" applyProtection="0"/>
    <xf numFmtId="0" fontId="2" fillId="3" borderId="0" applyNumberFormat="0" applyBorder="0" applyAlignment="0" applyProtection="0"/>
    <xf numFmtId="0" fontId="32" fillId="0" borderId="0" applyNumberFormat="0" applyFill="0" applyBorder="0" applyAlignment="0" applyProtection="0"/>
    <xf numFmtId="9" fontId="1" fillId="0" borderId="0" applyFont="0" applyFill="0" applyBorder="0" applyAlignment="0" applyProtection="0"/>
  </cellStyleXfs>
  <cellXfs count="246">
    <xf numFmtId="0" fontId="0" fillId="0" borderId="0" xfId="0"/>
    <xf numFmtId="0" fontId="0" fillId="0" borderId="0" xfId="0" applyAlignment="1">
      <alignment wrapText="1"/>
    </xf>
    <xf numFmtId="0" fontId="5" fillId="0" borderId="0" xfId="0" applyFont="1"/>
    <xf numFmtId="0" fontId="0" fillId="0" borderId="1" xfId="0" applyBorder="1" applyAlignment="1">
      <alignment vertical="top" wrapText="1"/>
    </xf>
    <xf numFmtId="0" fontId="5" fillId="0" borderId="5" xfId="0" applyFont="1" applyBorder="1" applyAlignment="1">
      <alignment horizontal="left"/>
    </xf>
    <xf numFmtId="0" fontId="0" fillId="0" borderId="6" xfId="0" applyBorder="1"/>
    <xf numFmtId="0" fontId="0" fillId="0" borderId="7" xfId="0" applyBorder="1" applyAlignment="1">
      <alignment vertical="top" wrapText="1"/>
    </xf>
    <xf numFmtId="0" fontId="5" fillId="0" borderId="10" xfId="0" applyFont="1" applyBorder="1"/>
    <xf numFmtId="0" fontId="0" fillId="0" borderId="10" xfId="0" applyBorder="1"/>
    <xf numFmtId="0" fontId="5" fillId="0" borderId="6" xfId="0" applyFont="1" applyBorder="1" applyAlignment="1">
      <alignment horizontal="left"/>
    </xf>
    <xf numFmtId="0" fontId="0" fillId="0" borderId="0" xfId="0" applyAlignment="1">
      <alignment vertical="top" wrapText="1"/>
    </xf>
    <xf numFmtId="0" fontId="5" fillId="0" borderId="11" xfId="0" applyFont="1" applyBorder="1" applyAlignment="1">
      <alignment horizontal="left"/>
    </xf>
    <xf numFmtId="0" fontId="6" fillId="0" borderId="13" xfId="0" applyFont="1" applyBorder="1"/>
    <xf numFmtId="0" fontId="0" fillId="0" borderId="13" xfId="0" applyBorder="1"/>
    <xf numFmtId="0" fontId="6" fillId="0" borderId="6" xfId="0" applyFont="1" applyBorder="1"/>
    <xf numFmtId="0" fontId="6" fillId="0" borderId="0" xfId="0" applyFont="1"/>
    <xf numFmtId="0" fontId="6" fillId="0" borderId="10" xfId="0" applyFont="1" applyBorder="1"/>
    <xf numFmtId="0" fontId="5" fillId="0" borderId="13" xfId="0" applyFont="1" applyBorder="1"/>
    <xf numFmtId="0" fontId="5" fillId="0" borderId="6" xfId="0" applyFont="1" applyBorder="1"/>
    <xf numFmtId="0" fontId="2" fillId="3" borderId="0" xfId="2"/>
    <xf numFmtId="0" fontId="2" fillId="3" borderId="0" xfId="2" applyAlignment="1">
      <alignment wrapText="1"/>
    </xf>
    <xf numFmtId="0" fontId="2" fillId="3" borderId="3" xfId="2" applyBorder="1" applyAlignment="1">
      <alignment horizontal="center" vertical="center" wrapText="1"/>
    </xf>
    <xf numFmtId="0" fontId="2" fillId="3" borderId="1" xfId="2" applyBorder="1" applyAlignment="1">
      <alignment wrapText="1"/>
    </xf>
    <xf numFmtId="0" fontId="5" fillId="0" borderId="1" xfId="0" applyFont="1" applyBorder="1" applyAlignment="1">
      <alignment vertical="top" wrapText="1"/>
    </xf>
    <xf numFmtId="0" fontId="0" fillId="0" borderId="8" xfId="0" applyBorder="1" applyAlignment="1">
      <alignment vertical="top" wrapText="1"/>
    </xf>
    <xf numFmtId="0" fontId="2" fillId="3" borderId="0" xfId="2" applyAlignment="1">
      <alignment horizontal="center" wrapText="1"/>
    </xf>
    <xf numFmtId="0" fontId="2" fillId="3" borderId="1" xfId="2" applyBorder="1" applyAlignment="1">
      <alignment horizontal="center" wrapText="1"/>
    </xf>
    <xf numFmtId="0" fontId="0" fillId="0" borderId="0" xfId="0" applyAlignment="1">
      <alignment horizontal="center" wrapText="1"/>
    </xf>
    <xf numFmtId="0" fontId="5" fillId="0" borderId="4" xfId="0" applyFont="1" applyBorder="1" applyAlignment="1">
      <alignment vertical="top" wrapText="1"/>
    </xf>
    <xf numFmtId="0" fontId="5" fillId="0" borderId="7" xfId="0" applyFont="1" applyBorder="1" applyAlignment="1">
      <alignment vertical="top" wrapText="1"/>
    </xf>
    <xf numFmtId="0" fontId="7" fillId="0" borderId="6" xfId="0" applyFont="1" applyBorder="1"/>
    <xf numFmtId="0" fontId="7" fillId="0" borderId="0" xfId="0" applyFont="1"/>
    <xf numFmtId="0" fontId="7" fillId="0" borderId="10" xfId="0" applyFont="1" applyBorder="1"/>
    <xf numFmtId="0" fontId="7" fillId="0" borderId="13" xfId="0" applyFont="1" applyBorder="1"/>
    <xf numFmtId="0" fontId="5" fillId="0" borderId="2" xfId="0" applyFont="1" applyBorder="1"/>
    <xf numFmtId="0" fontId="5" fillId="0" borderId="14" xfId="0" applyFont="1" applyBorder="1"/>
    <xf numFmtId="0" fontId="5" fillId="0" borderId="1" xfId="1" applyFont="1" applyFill="1" applyBorder="1" applyAlignment="1">
      <alignment horizontal="center" vertical="top" wrapText="1"/>
    </xf>
    <xf numFmtId="0" fontId="0" fillId="0" borderId="5" xfId="0" applyBorder="1" applyAlignment="1">
      <alignment horizontal="left"/>
    </xf>
    <xf numFmtId="0" fontId="0" fillId="0" borderId="11" xfId="0" applyBorder="1" applyAlignment="1">
      <alignment horizontal="left"/>
    </xf>
    <xf numFmtId="0" fontId="0" fillId="0" borderId="10" xfId="0" applyBorder="1" applyAlignment="1">
      <alignment horizontal="left"/>
    </xf>
    <xf numFmtId="0" fontId="0" fillId="4" borderId="0" xfId="0" applyFill="1"/>
    <xf numFmtId="0" fontId="9" fillId="4" borderId="0" xfId="0" applyFont="1" applyFill="1"/>
    <xf numFmtId="0" fontId="4" fillId="3" borderId="1" xfId="2" applyFont="1" applyBorder="1" applyAlignment="1">
      <alignment horizontal="center" wrapText="1"/>
    </xf>
    <xf numFmtId="0" fontId="5" fillId="0" borderId="1" xfId="0" applyFont="1" applyBorder="1" applyAlignment="1">
      <alignment horizontal="center" wrapText="1"/>
    </xf>
    <xf numFmtId="0" fontId="0" fillId="0" borderId="1" xfId="0" applyBorder="1" applyAlignment="1">
      <alignment horizontal="center" wrapText="1"/>
    </xf>
    <xf numFmtId="0" fontId="7" fillId="0" borderId="1" xfId="0" applyFont="1" applyBorder="1" applyAlignment="1">
      <alignment horizontal="center" wrapText="1"/>
    </xf>
    <xf numFmtId="0" fontId="4" fillId="3" borderId="0" xfId="2" applyFont="1" applyAlignment="1"/>
    <xf numFmtId="0" fontId="0" fillId="0" borderId="6" xfId="0" applyBorder="1" applyAlignment="1">
      <alignment wrapText="1"/>
    </xf>
    <xf numFmtId="0" fontId="1" fillId="0" borderId="3" xfId="1" applyFont="1" applyFill="1" applyBorder="1" applyAlignment="1">
      <alignment vertical="top" wrapText="1"/>
    </xf>
    <xf numFmtId="0" fontId="1" fillId="0" borderId="8" xfId="1" applyFont="1" applyFill="1" applyBorder="1" applyAlignment="1">
      <alignment vertical="top" wrapText="1"/>
    </xf>
    <xf numFmtId="0" fontId="1" fillId="0" borderId="9" xfId="1" applyFont="1" applyFill="1" applyBorder="1" applyAlignment="1">
      <alignment vertical="top" wrapText="1"/>
    </xf>
    <xf numFmtId="0" fontId="5" fillId="0" borderId="3" xfId="0" applyFont="1" applyBorder="1" applyAlignment="1">
      <alignment vertical="top" wrapText="1"/>
    </xf>
    <xf numFmtId="0" fontId="5" fillId="0" borderId="8" xfId="0" applyFont="1" applyBorder="1" applyAlignment="1">
      <alignment vertical="top" wrapText="1"/>
    </xf>
    <xf numFmtId="0" fontId="5" fillId="0" borderId="9" xfId="0" applyFont="1" applyBorder="1" applyAlignment="1">
      <alignment vertical="top" wrapText="1"/>
    </xf>
    <xf numFmtId="0" fontId="0" fillId="0" borderId="3" xfId="0" applyBorder="1" applyAlignment="1">
      <alignment vertical="top" wrapText="1"/>
    </xf>
    <xf numFmtId="0" fontId="0" fillId="0" borderId="9" xfId="0" applyBorder="1" applyAlignment="1">
      <alignment vertical="top" wrapText="1"/>
    </xf>
    <xf numFmtId="0" fontId="5" fillId="0" borderId="5" xfId="0" applyFont="1" applyBorder="1" applyAlignment="1">
      <alignment vertical="top" wrapText="1"/>
    </xf>
    <xf numFmtId="0" fontId="5" fillId="0" borderId="11" xfId="0" applyFont="1" applyBorder="1" applyAlignment="1">
      <alignment vertical="top" wrapText="1"/>
    </xf>
    <xf numFmtId="0" fontId="5" fillId="0" borderId="12" xfId="0" applyFont="1" applyBorder="1" applyAlignment="1">
      <alignment vertical="top" wrapText="1"/>
    </xf>
    <xf numFmtId="0" fontId="5" fillId="0" borderId="5" xfId="1" applyFont="1" applyFill="1" applyBorder="1" applyAlignment="1">
      <alignment vertical="top" wrapText="1"/>
    </xf>
    <xf numFmtId="0" fontId="5" fillId="0" borderId="11" xfId="1" applyFont="1" applyFill="1" applyBorder="1" applyAlignment="1">
      <alignment vertical="top" wrapText="1"/>
    </xf>
    <xf numFmtId="0" fontId="5" fillId="0" borderId="12" xfId="1" applyFont="1" applyFill="1" applyBorder="1" applyAlignment="1">
      <alignment vertical="top" wrapText="1"/>
    </xf>
    <xf numFmtId="0" fontId="5" fillId="0" borderId="3" xfId="1" applyFont="1" applyFill="1" applyBorder="1" applyAlignment="1">
      <alignment vertical="top" wrapText="1"/>
    </xf>
    <xf numFmtId="0" fontId="5" fillId="0" borderId="8" xfId="1" applyFont="1" applyFill="1" applyBorder="1" applyAlignment="1">
      <alignment vertical="top" wrapText="1"/>
    </xf>
    <xf numFmtId="0" fontId="5" fillId="0" borderId="9" xfId="1" applyFont="1" applyFill="1" applyBorder="1" applyAlignment="1">
      <alignment vertical="top" wrapText="1"/>
    </xf>
    <xf numFmtId="0" fontId="5" fillId="0" borderId="1" xfId="0" applyFont="1" applyBorder="1" applyAlignment="1">
      <alignment wrapText="1"/>
    </xf>
    <xf numFmtId="0" fontId="0" fillId="0" borderId="1" xfId="0" applyBorder="1" applyAlignment="1">
      <alignment wrapText="1"/>
    </xf>
    <xf numFmtId="0" fontId="7" fillId="0" borderId="1" xfId="0" applyFont="1" applyBorder="1" applyAlignment="1">
      <alignment wrapText="1"/>
    </xf>
    <xf numFmtId="0" fontId="6" fillId="0" borderId="1" xfId="0" applyFont="1" applyBorder="1" applyAlignment="1">
      <alignment wrapText="1"/>
    </xf>
    <xf numFmtId="0" fontId="5" fillId="0" borderId="3" xfId="0" applyFont="1" applyBorder="1" applyAlignment="1">
      <alignment wrapText="1"/>
    </xf>
    <xf numFmtId="0" fontId="5" fillId="0" borderId="8" xfId="0" applyFont="1" applyBorder="1" applyAlignment="1">
      <alignment wrapText="1"/>
    </xf>
    <xf numFmtId="0" fontId="5" fillId="0" borderId="9" xfId="0" applyFont="1" applyBorder="1" applyAlignment="1">
      <alignment wrapText="1"/>
    </xf>
    <xf numFmtId="0" fontId="0" fillId="0" borderId="3" xfId="0" applyBorder="1" applyAlignment="1">
      <alignment wrapText="1"/>
    </xf>
    <xf numFmtId="0" fontId="0" fillId="0" borderId="8" xfId="0" applyBorder="1" applyAlignment="1">
      <alignment wrapText="1"/>
    </xf>
    <xf numFmtId="0" fontId="0" fillId="0" borderId="9" xfId="0" applyBorder="1" applyAlignment="1">
      <alignment wrapText="1"/>
    </xf>
    <xf numFmtId="0" fontId="7" fillId="0" borderId="3" xfId="0" applyFont="1" applyBorder="1" applyAlignment="1">
      <alignment wrapText="1"/>
    </xf>
    <xf numFmtId="0" fontId="7" fillId="0" borderId="8" xfId="0" applyFont="1" applyBorder="1" applyAlignment="1">
      <alignment wrapText="1"/>
    </xf>
    <xf numFmtId="0" fontId="7" fillId="0" borderId="9" xfId="0" applyFont="1" applyBorder="1" applyAlignment="1">
      <alignment wrapText="1"/>
    </xf>
    <xf numFmtId="0" fontId="6" fillId="0" borderId="3" xfId="0" applyFont="1" applyBorder="1" applyAlignment="1">
      <alignment wrapText="1"/>
    </xf>
    <xf numFmtId="0" fontId="6" fillId="0" borderId="8" xfId="0" applyFont="1" applyBorder="1" applyAlignment="1">
      <alignment wrapText="1"/>
    </xf>
    <xf numFmtId="0" fontId="6" fillId="0" borderId="9" xfId="0" applyFont="1" applyBorder="1" applyAlignment="1">
      <alignment wrapText="1"/>
    </xf>
    <xf numFmtId="0" fontId="12" fillId="0" borderId="0" xfId="0" applyFont="1"/>
    <xf numFmtId="0" fontId="13" fillId="0" borderId="1" xfId="0" applyFont="1" applyBorder="1" applyAlignment="1">
      <alignment vertical="top" wrapText="1"/>
    </xf>
    <xf numFmtId="0" fontId="12" fillId="0" borderId="1" xfId="0" applyFont="1" applyBorder="1" applyAlignment="1">
      <alignment vertical="top" wrapText="1"/>
    </xf>
    <xf numFmtId="0" fontId="14" fillId="0" borderId="1" xfId="0" applyFont="1" applyBorder="1" applyAlignment="1">
      <alignment vertical="top" wrapText="1"/>
    </xf>
    <xf numFmtId="0" fontId="15" fillId="0" borderId="1" xfId="0" applyFont="1" applyBorder="1" applyAlignment="1">
      <alignment vertical="top" wrapText="1"/>
    </xf>
    <xf numFmtId="0" fontId="13" fillId="0" borderId="1" xfId="0" applyFont="1" applyBorder="1" applyAlignment="1">
      <alignment horizontal="left" vertical="top"/>
    </xf>
    <xf numFmtId="0" fontId="13" fillId="0" borderId="1" xfId="0" applyFont="1" applyBorder="1" applyAlignment="1">
      <alignment vertical="top"/>
    </xf>
    <xf numFmtId="0" fontId="12" fillId="0" borderId="1" xfId="0" applyFont="1" applyBorder="1" applyAlignment="1">
      <alignment vertical="top"/>
    </xf>
    <xf numFmtId="0" fontId="12" fillId="0" borderId="1" xfId="0" applyFont="1" applyBorder="1" applyAlignment="1">
      <alignment horizontal="left" vertical="top"/>
    </xf>
    <xf numFmtId="0" fontId="14" fillId="0" borderId="1" xfId="0" applyFont="1" applyBorder="1" applyAlignment="1">
      <alignment vertical="top"/>
    </xf>
    <xf numFmtId="0" fontId="15" fillId="0" borderId="1" xfId="0" applyFont="1" applyBorder="1" applyAlignment="1">
      <alignment vertical="top"/>
    </xf>
    <xf numFmtId="0" fontId="13" fillId="0" borderId="15" xfId="0" applyFont="1" applyBorder="1" applyAlignment="1">
      <alignment vertical="top" wrapText="1"/>
    </xf>
    <xf numFmtId="0" fontId="12" fillId="0" borderId="15" xfId="0" applyFont="1" applyBorder="1" applyAlignment="1">
      <alignment vertical="top" wrapText="1"/>
    </xf>
    <xf numFmtId="0" fontId="13" fillId="0" borderId="15" xfId="1" applyFont="1" applyFill="1" applyBorder="1" applyAlignment="1">
      <alignment vertical="top" wrapText="1"/>
    </xf>
    <xf numFmtId="0" fontId="12" fillId="0" borderId="15" xfId="1" applyFont="1" applyFill="1" applyBorder="1" applyAlignment="1">
      <alignment vertical="top" wrapText="1"/>
    </xf>
    <xf numFmtId="0" fontId="12" fillId="0" borderId="0" xfId="0" applyFont="1" applyAlignment="1">
      <alignment vertical="center"/>
    </xf>
    <xf numFmtId="0" fontId="12" fillId="0" borderId="0" xfId="0" applyFont="1" applyAlignment="1">
      <alignment vertical="top"/>
    </xf>
    <xf numFmtId="0" fontId="13" fillId="0" borderId="1" xfId="0" applyFont="1" applyBorder="1" applyAlignment="1">
      <alignment horizontal="center" vertical="top" wrapText="1"/>
    </xf>
    <xf numFmtId="0" fontId="12" fillId="0" borderId="1" xfId="0" applyFont="1" applyBorder="1" applyAlignment="1">
      <alignment horizontal="center" vertical="top" wrapText="1"/>
    </xf>
    <xf numFmtId="0" fontId="12" fillId="0" borderId="0" xfId="0" applyFont="1" applyAlignment="1">
      <alignment horizontal="center"/>
    </xf>
    <xf numFmtId="0" fontId="12" fillId="0" borderId="1" xfId="0" applyFont="1" applyBorder="1" applyAlignment="1">
      <alignment horizontal="left" vertical="top" wrapText="1"/>
    </xf>
    <xf numFmtId="0" fontId="19" fillId="0" borderId="0" xfId="0" applyFont="1" applyAlignment="1">
      <alignment vertical="top"/>
    </xf>
    <xf numFmtId="0" fontId="13" fillId="0" borderId="2" xfId="0" applyFont="1" applyBorder="1" applyAlignment="1">
      <alignment horizontal="center" vertical="top" wrapText="1"/>
    </xf>
    <xf numFmtId="0" fontId="12" fillId="0" borderId="2" xfId="0" applyFont="1" applyBorder="1" applyAlignment="1">
      <alignment horizontal="center" vertical="top"/>
    </xf>
    <xf numFmtId="0" fontId="13" fillId="0" borderId="2" xfId="0" applyFont="1" applyBorder="1" applyAlignment="1">
      <alignment horizontal="center" vertical="top"/>
    </xf>
    <xf numFmtId="0" fontId="12" fillId="0" borderId="2" xfId="0" applyFont="1" applyBorder="1" applyAlignment="1">
      <alignment horizontal="center" vertical="top" wrapText="1"/>
    </xf>
    <xf numFmtId="0" fontId="12" fillId="0" borderId="0" xfId="0" applyFont="1" applyAlignment="1">
      <alignment horizontal="left" vertical="top"/>
    </xf>
    <xf numFmtId="0" fontId="13" fillId="0" borderId="0" xfId="0" applyFont="1" applyAlignment="1">
      <alignment vertical="center"/>
    </xf>
    <xf numFmtId="0" fontId="4" fillId="6" borderId="1" xfId="0" applyFont="1" applyFill="1" applyBorder="1"/>
    <xf numFmtId="0" fontId="0" fillId="5" borderId="1" xfId="0" applyFill="1" applyBorder="1"/>
    <xf numFmtId="0" fontId="5" fillId="0" borderId="1" xfId="0" applyFont="1" applyBorder="1" applyAlignment="1">
      <alignment horizontal="center"/>
    </xf>
    <xf numFmtId="0" fontId="4" fillId="6" borderId="8" xfId="0" applyFont="1" applyFill="1" applyBorder="1"/>
    <xf numFmtId="0" fontId="22" fillId="0" borderId="1" xfId="0" applyFont="1" applyBorder="1" applyAlignment="1">
      <alignment horizontal="left" vertical="top" wrapText="1"/>
    </xf>
    <xf numFmtId="0" fontId="15" fillId="7" borderId="1" xfId="0" applyFont="1" applyFill="1" applyBorder="1" applyAlignment="1">
      <alignment vertical="top"/>
    </xf>
    <xf numFmtId="0" fontId="14" fillId="7" borderId="1" xfId="0" applyFont="1" applyFill="1" applyBorder="1" applyAlignment="1">
      <alignment vertical="top"/>
    </xf>
    <xf numFmtId="0" fontId="12" fillId="0" borderId="0" xfId="0" applyFont="1" applyAlignment="1">
      <alignment vertical="top" wrapText="1"/>
    </xf>
    <xf numFmtId="0" fontId="12" fillId="0" borderId="0" xfId="0" applyFont="1" applyAlignment="1">
      <alignment horizontal="left" vertical="top" wrapText="1"/>
    </xf>
    <xf numFmtId="0" fontId="15" fillId="0" borderId="1" xfId="0" applyFont="1" applyBorder="1" applyAlignment="1">
      <alignment horizontal="left" vertical="top" wrapText="1"/>
    </xf>
    <xf numFmtId="0" fontId="14" fillId="0" borderId="1" xfId="0" applyFont="1" applyBorder="1" applyAlignment="1">
      <alignment horizontal="left" vertical="top" wrapText="1"/>
    </xf>
    <xf numFmtId="0" fontId="13" fillId="0" borderId="1" xfId="0" applyFont="1" applyBorder="1" applyAlignment="1">
      <alignment horizontal="left" vertical="top" wrapText="1"/>
    </xf>
    <xf numFmtId="0" fontId="12" fillId="0" borderId="0" xfId="0" applyFont="1" applyAlignment="1">
      <alignment horizontal="left"/>
    </xf>
    <xf numFmtId="0" fontId="25" fillId="0" borderId="0" xfId="0" applyFont="1" applyAlignment="1">
      <alignment horizontal="center" vertical="top"/>
    </xf>
    <xf numFmtId="0" fontId="12" fillId="0" borderId="1" xfId="0" applyFont="1" applyBorder="1" applyAlignment="1">
      <alignment horizontal="center" vertical="top"/>
    </xf>
    <xf numFmtId="0" fontId="12" fillId="0" borderId="0" xfId="0" applyFont="1" applyAlignment="1">
      <alignment horizontal="center" vertical="top" wrapText="1"/>
    </xf>
    <xf numFmtId="0" fontId="0" fillId="0" borderId="0" xfId="0" applyAlignment="1">
      <alignment vertical="top"/>
    </xf>
    <xf numFmtId="0" fontId="26" fillId="0" borderId="0" xfId="0" applyFont="1" applyAlignment="1">
      <alignment vertical="top"/>
    </xf>
    <xf numFmtId="0" fontId="30" fillId="0" borderId="0" xfId="0" applyFont="1" applyAlignment="1">
      <alignment vertical="top"/>
    </xf>
    <xf numFmtId="0" fontId="0" fillId="0" borderId="0" xfId="0" applyAlignment="1">
      <alignment horizontal="center" vertical="top"/>
    </xf>
    <xf numFmtId="0" fontId="31" fillId="10" borderId="0" xfId="0" applyFont="1" applyFill="1" applyAlignment="1">
      <alignment vertical="top" wrapText="1"/>
    </xf>
    <xf numFmtId="0" fontId="31" fillId="8" borderId="0" xfId="0" applyFont="1" applyFill="1" applyAlignment="1">
      <alignment horizontal="left" vertical="top" wrapText="1"/>
    </xf>
    <xf numFmtId="0" fontId="31" fillId="8" borderId="0" xfId="0" applyFont="1" applyFill="1" applyAlignment="1">
      <alignment vertical="top" wrapText="1"/>
    </xf>
    <xf numFmtId="0" fontId="4" fillId="8" borderId="0" xfId="0" applyFont="1" applyFill="1"/>
    <xf numFmtId="0" fontId="12" fillId="0" borderId="0" xfId="0" applyFont="1" applyAlignment="1">
      <alignment horizontal="center" vertical="top" textRotation="90"/>
    </xf>
    <xf numFmtId="0" fontId="21" fillId="0" borderId="0" xfId="0" applyFont="1" applyAlignment="1">
      <alignment vertical="top"/>
    </xf>
    <xf numFmtId="0" fontId="0" fillId="4" borderId="0" xfId="0" applyFill="1" applyAlignment="1">
      <alignment wrapText="1"/>
    </xf>
    <xf numFmtId="0" fontId="5" fillId="11" borderId="0" xfId="0" applyFont="1" applyFill="1"/>
    <xf numFmtId="0" fontId="12" fillId="0" borderId="0" xfId="0" applyFont="1" applyAlignment="1">
      <alignment horizontal="center" vertical="top"/>
    </xf>
    <xf numFmtId="0" fontId="10" fillId="8" borderId="1" xfId="0" applyFont="1" applyFill="1" applyBorder="1" applyAlignment="1">
      <alignment horizontal="left" textRotation="90" wrapText="1"/>
    </xf>
    <xf numFmtId="0" fontId="10" fillId="9" borderId="1" xfId="0" applyFont="1" applyFill="1" applyBorder="1" applyAlignment="1">
      <alignment horizontal="left" textRotation="90" wrapText="1"/>
    </xf>
    <xf numFmtId="0" fontId="18" fillId="0" borderId="1" xfId="0" applyFont="1" applyBorder="1" applyAlignment="1">
      <alignment vertical="top"/>
    </xf>
    <xf numFmtId="0" fontId="18" fillId="0" borderId="0" xfId="0" applyFont="1" applyAlignment="1">
      <alignment vertical="top"/>
    </xf>
    <xf numFmtId="0" fontId="19" fillId="4" borderId="0" xfId="0" applyFont="1" applyFill="1" applyAlignment="1">
      <alignment vertical="top"/>
    </xf>
    <xf numFmtId="0" fontId="33" fillId="4" borderId="0" xfId="0" applyFont="1" applyFill="1" applyAlignment="1">
      <alignment vertical="top"/>
    </xf>
    <xf numFmtId="0" fontId="18" fillId="4" borderId="1" xfId="0" applyFont="1" applyFill="1" applyBorder="1" applyAlignment="1">
      <alignment vertical="top"/>
    </xf>
    <xf numFmtId="0" fontId="18" fillId="4" borderId="0" xfId="0" applyFont="1" applyFill="1" applyAlignment="1">
      <alignment vertical="top"/>
    </xf>
    <xf numFmtId="0" fontId="19" fillId="4" borderId="1" xfId="0" applyFont="1" applyFill="1" applyBorder="1" applyAlignment="1">
      <alignment vertical="top" wrapText="1"/>
    </xf>
    <xf numFmtId="0" fontId="19" fillId="4" borderId="1" xfId="0" applyFont="1" applyFill="1" applyBorder="1" applyAlignment="1">
      <alignment vertical="top"/>
    </xf>
    <xf numFmtId="0" fontId="19" fillId="4" borderId="2" xfId="0" applyFont="1" applyFill="1" applyBorder="1" applyAlignment="1">
      <alignment vertical="top"/>
    </xf>
    <xf numFmtId="0" fontId="0" fillId="0" borderId="1" xfId="0" applyBorder="1"/>
    <xf numFmtId="0" fontId="5" fillId="0" borderId="1" xfId="0" applyFont="1" applyBorder="1"/>
    <xf numFmtId="0" fontId="0" fillId="13" borderId="0" xfId="0" applyFill="1"/>
    <xf numFmtId="0" fontId="5" fillId="13" borderId="0" xfId="0" applyFont="1" applyFill="1"/>
    <xf numFmtId="0" fontId="5" fillId="4" borderId="0" xfId="0" applyFont="1" applyFill="1"/>
    <xf numFmtId="0" fontId="0" fillId="17" borderId="0" xfId="0" applyFill="1"/>
    <xf numFmtId="0" fontId="5" fillId="17" borderId="0" xfId="0" applyFont="1" applyFill="1"/>
    <xf numFmtId="0" fontId="19" fillId="0" borderId="1" xfId="0" applyFont="1" applyBorder="1" applyAlignment="1">
      <alignment vertical="top"/>
    </xf>
    <xf numFmtId="0" fontId="0" fillId="18" borderId="1" xfId="0" applyFill="1" applyBorder="1"/>
    <xf numFmtId="9" fontId="0" fillId="0" borderId="1" xfId="4" applyFont="1" applyFill="1" applyBorder="1"/>
    <xf numFmtId="9" fontId="0" fillId="18" borderId="1" xfId="4" applyFont="1" applyFill="1" applyBorder="1"/>
    <xf numFmtId="0" fontId="0" fillId="16" borderId="0" xfId="0" applyFill="1"/>
    <xf numFmtId="0" fontId="19" fillId="0" borderId="2" xfId="0" applyFont="1" applyBorder="1" applyAlignment="1">
      <alignment vertical="top"/>
    </xf>
    <xf numFmtId="0" fontId="0" fillId="19" borderId="0" xfId="0" applyFill="1"/>
    <xf numFmtId="0" fontId="5" fillId="19" borderId="0" xfId="0" applyFont="1" applyFill="1"/>
    <xf numFmtId="0" fontId="5" fillId="4" borderId="1" xfId="0" applyFont="1" applyFill="1" applyBorder="1" applyAlignment="1">
      <alignment wrapText="1"/>
    </xf>
    <xf numFmtId="0" fontId="0" fillId="0" borderId="1" xfId="4" applyNumberFormat="1" applyFont="1" applyFill="1" applyBorder="1"/>
    <xf numFmtId="0" fontId="0" fillId="18" borderId="1" xfId="4" applyNumberFormat="1" applyFont="1" applyFill="1" applyBorder="1"/>
    <xf numFmtId="0" fontId="5" fillId="4" borderId="1" xfId="0" applyFont="1" applyFill="1" applyBorder="1"/>
    <xf numFmtId="9" fontId="0" fillId="4" borderId="1" xfId="4" applyFont="1" applyFill="1" applyBorder="1"/>
    <xf numFmtId="0" fontId="5" fillId="20" borderId="1" xfId="0" applyFont="1" applyFill="1" applyBorder="1"/>
    <xf numFmtId="0" fontId="11" fillId="10" borderId="1" xfId="2" applyFont="1" applyFill="1" applyBorder="1" applyAlignment="1">
      <alignment horizontal="left" vertical="top" wrapText="1"/>
    </xf>
    <xf numFmtId="0" fontId="4" fillId="10" borderId="0" xfId="0" applyFont="1" applyFill="1"/>
    <xf numFmtId="0" fontId="0" fillId="10" borderId="0" xfId="0" applyFill="1"/>
    <xf numFmtId="0" fontId="34" fillId="4" borderId="0" xfId="3" applyFont="1" applyFill="1"/>
    <xf numFmtId="0" fontId="35" fillId="4" borderId="0" xfId="0" applyFont="1" applyFill="1"/>
    <xf numFmtId="0" fontId="0" fillId="20" borderId="0" xfId="0" applyFill="1"/>
    <xf numFmtId="0" fontId="5" fillId="20" borderId="0" xfId="0" applyFont="1" applyFill="1"/>
    <xf numFmtId="0" fontId="19" fillId="20" borderId="2" xfId="0" applyFont="1" applyFill="1" applyBorder="1" applyAlignment="1">
      <alignment vertical="top"/>
    </xf>
    <xf numFmtId="0" fontId="0" fillId="20" borderId="1" xfId="0" applyFill="1" applyBorder="1"/>
    <xf numFmtId="0" fontId="19" fillId="10" borderId="0" xfId="0" applyFont="1" applyFill="1" applyAlignment="1">
      <alignment vertical="top"/>
    </xf>
    <xf numFmtId="0" fontId="36" fillId="4" borderId="0" xfId="0" applyFont="1" applyFill="1" applyAlignment="1">
      <alignment vertical="top"/>
    </xf>
    <xf numFmtId="0" fontId="37" fillId="4" borderId="0" xfId="0" applyFont="1" applyFill="1" applyAlignment="1">
      <alignment vertical="top"/>
    </xf>
    <xf numFmtId="0" fontId="37" fillId="0" borderId="0" xfId="0" applyFont="1" applyAlignment="1">
      <alignment vertical="top"/>
    </xf>
    <xf numFmtId="0" fontId="26" fillId="0" borderId="0" xfId="0" applyFont="1" applyAlignment="1">
      <alignment vertical="top" wrapText="1"/>
    </xf>
    <xf numFmtId="0" fontId="26" fillId="0" borderId="0" xfId="0" applyFont="1" applyAlignment="1">
      <alignment horizontal="right" vertical="top"/>
    </xf>
    <xf numFmtId="0" fontId="26" fillId="0" borderId="0" xfId="0" applyFont="1" applyAlignment="1">
      <alignment horizontal="center" vertical="top"/>
    </xf>
    <xf numFmtId="9" fontId="5" fillId="20" borderId="1" xfId="4" applyFont="1" applyFill="1" applyBorder="1"/>
    <xf numFmtId="0" fontId="5" fillId="20" borderId="0" xfId="0" applyFont="1" applyFill="1" applyAlignment="1">
      <alignment horizontal="right"/>
    </xf>
    <xf numFmtId="9" fontId="0" fillId="20" borderId="0" xfId="4" applyFont="1" applyFill="1" applyBorder="1" applyAlignment="1">
      <alignment horizontal="center"/>
    </xf>
    <xf numFmtId="9" fontId="0" fillId="20" borderId="0" xfId="4" applyFont="1" applyFill="1"/>
    <xf numFmtId="9" fontId="0" fillId="4" borderId="0" xfId="4" applyFont="1" applyFill="1"/>
    <xf numFmtId="0" fontId="0" fillId="20" borderId="11" xfId="0" applyFill="1" applyBorder="1"/>
    <xf numFmtId="0" fontId="0" fillId="20" borderId="7" xfId="0" applyFill="1" applyBorder="1"/>
    <xf numFmtId="0" fontId="0" fillId="4" borderId="11" xfId="0" applyFill="1" applyBorder="1"/>
    <xf numFmtId="0" fontId="0" fillId="4" borderId="7" xfId="0" applyFill="1" applyBorder="1"/>
    <xf numFmtId="0" fontId="0" fillId="13" borderId="11" xfId="0" applyFill="1" applyBorder="1"/>
    <xf numFmtId="0" fontId="0" fillId="13" borderId="7" xfId="0" applyFill="1" applyBorder="1"/>
    <xf numFmtId="0" fontId="0" fillId="17" borderId="11" xfId="0" applyFill="1" applyBorder="1"/>
    <xf numFmtId="0" fontId="0" fillId="17" borderId="7" xfId="0" applyFill="1" applyBorder="1"/>
    <xf numFmtId="0" fontId="0" fillId="19" borderId="12" xfId="0" applyFill="1" applyBorder="1"/>
    <xf numFmtId="0" fontId="0" fillId="19" borderId="10" xfId="0" applyFill="1" applyBorder="1"/>
    <xf numFmtId="0" fontId="0" fillId="19" borderId="14" xfId="0" applyFill="1" applyBorder="1"/>
    <xf numFmtId="0" fontId="12" fillId="0" borderId="15" xfId="0" applyFont="1" applyBorder="1" applyAlignment="1">
      <alignment horizontal="center" vertical="top"/>
    </xf>
    <xf numFmtId="0" fontId="12" fillId="0" borderId="1" xfId="0" quotePrefix="1" applyFont="1" applyBorder="1" applyAlignment="1">
      <alignment vertical="top" wrapText="1"/>
    </xf>
    <xf numFmtId="0" fontId="8" fillId="0" borderId="1" xfId="0" applyFont="1" applyBorder="1" applyAlignment="1">
      <alignment wrapText="1"/>
    </xf>
    <xf numFmtId="0" fontId="8" fillId="0" borderId="1" xfId="0" applyFont="1" applyBorder="1" applyAlignment="1">
      <alignment vertical="top" wrapText="1"/>
    </xf>
    <xf numFmtId="0" fontId="12" fillId="21" borderId="1" xfId="0" applyFont="1" applyFill="1" applyBorder="1" applyAlignment="1">
      <alignment vertical="top" wrapText="1"/>
    </xf>
    <xf numFmtId="0" fontId="12" fillId="21" borderId="1" xfId="0" applyFont="1" applyFill="1" applyBorder="1" applyAlignment="1">
      <alignment horizontal="center" vertical="top" wrapText="1"/>
    </xf>
    <xf numFmtId="0" fontId="10" fillId="22" borderId="15" xfId="0" applyFont="1" applyFill="1" applyBorder="1" applyAlignment="1">
      <alignment horizontal="center" vertical="top" textRotation="90" wrapText="1"/>
    </xf>
    <xf numFmtId="0" fontId="10" fillId="22" borderId="1" xfId="0" applyFont="1" applyFill="1" applyBorder="1" applyAlignment="1">
      <alignment horizontal="center" vertical="top" textRotation="90" wrapText="1"/>
    </xf>
    <xf numFmtId="0" fontId="10" fillId="23" borderId="1" xfId="2" applyFont="1" applyFill="1" applyBorder="1" applyAlignment="1">
      <alignment horizontal="center" vertical="top" wrapText="1"/>
    </xf>
    <xf numFmtId="0" fontId="11" fillId="23" borderId="1" xfId="2" applyFont="1" applyFill="1" applyBorder="1" applyAlignment="1">
      <alignment horizontal="center" vertical="top" wrapText="1"/>
    </xf>
    <xf numFmtId="0" fontId="10" fillId="23" borderId="1" xfId="2" applyFont="1" applyFill="1" applyBorder="1" applyAlignment="1">
      <alignment vertical="top" wrapText="1"/>
    </xf>
    <xf numFmtId="0" fontId="11" fillId="10" borderId="1" xfId="0" applyFont="1" applyFill="1" applyBorder="1" applyAlignment="1">
      <alignment vertical="top" wrapText="1"/>
    </xf>
    <xf numFmtId="0" fontId="7" fillId="0" borderId="1" xfId="0" applyFont="1" applyBorder="1"/>
    <xf numFmtId="0" fontId="32" fillId="4" borderId="0" xfId="3" applyFill="1"/>
    <xf numFmtId="0" fontId="11" fillId="10" borderId="1" xfId="0" applyFont="1" applyFill="1" applyBorder="1" applyAlignment="1">
      <alignment vertical="top"/>
    </xf>
    <xf numFmtId="0" fontId="10" fillId="10" borderId="4" xfId="2" applyFont="1" applyFill="1" applyBorder="1" applyAlignment="1">
      <alignment horizontal="center" vertical="top" wrapText="1"/>
    </xf>
    <xf numFmtId="0" fontId="11" fillId="10" borderId="4" xfId="2" applyFont="1" applyFill="1" applyBorder="1" applyAlignment="1">
      <alignment horizontal="center" vertical="top" wrapText="1"/>
    </xf>
    <xf numFmtId="0" fontId="11" fillId="10" borderId="2" xfId="2" applyFont="1" applyFill="1" applyBorder="1" applyAlignment="1">
      <alignment horizontal="center" vertical="top" wrapText="1"/>
    </xf>
    <xf numFmtId="0" fontId="10" fillId="6" borderId="0" xfId="2" applyFont="1" applyFill="1" applyAlignment="1">
      <alignment vertical="top"/>
    </xf>
    <xf numFmtId="0" fontId="10" fillId="6" borderId="0" xfId="2" applyFont="1" applyFill="1" applyAlignment="1">
      <alignment vertical="top" wrapText="1"/>
    </xf>
    <xf numFmtId="0" fontId="10" fillId="6" borderId="1" xfId="2" applyFont="1" applyFill="1" applyBorder="1" applyAlignment="1">
      <alignment horizontal="center" vertical="top" wrapText="1"/>
    </xf>
    <xf numFmtId="0" fontId="10" fillId="6" borderId="1" xfId="2" applyFont="1" applyFill="1" applyBorder="1" applyAlignment="1">
      <alignment vertical="top" wrapText="1"/>
    </xf>
    <xf numFmtId="0" fontId="10" fillId="6" borderId="1" xfId="2" applyFont="1" applyFill="1" applyBorder="1" applyAlignment="1">
      <alignment horizontal="left" vertical="top" wrapText="1"/>
    </xf>
    <xf numFmtId="9" fontId="0" fillId="17" borderId="0" xfId="0" applyNumberFormat="1" applyFill="1"/>
    <xf numFmtId="9" fontId="0" fillId="20" borderId="0" xfId="0" applyNumberFormat="1" applyFill="1"/>
    <xf numFmtId="0" fontId="8" fillId="4" borderId="0" xfId="0" applyFont="1" applyFill="1" applyAlignment="1">
      <alignment horizontal="left" vertical="top" wrapText="1"/>
    </xf>
    <xf numFmtId="0" fontId="5" fillId="16" borderId="1" xfId="0" applyFont="1" applyFill="1" applyBorder="1" applyAlignment="1">
      <alignment horizontal="center"/>
    </xf>
    <xf numFmtId="0" fontId="5" fillId="4" borderId="2" xfId="0" applyFont="1" applyFill="1" applyBorder="1" applyAlignment="1">
      <alignment horizontal="left"/>
    </xf>
    <xf numFmtId="0" fontId="5" fillId="4" borderId="13" xfId="0" applyFont="1" applyFill="1" applyBorder="1" applyAlignment="1">
      <alignment horizontal="left"/>
    </xf>
    <xf numFmtId="0" fontId="5" fillId="4" borderId="15" xfId="0" applyFont="1" applyFill="1" applyBorder="1" applyAlignment="1">
      <alignment horizontal="left"/>
    </xf>
    <xf numFmtId="0" fontId="5" fillId="4" borderId="1" xfId="0" applyFont="1" applyFill="1" applyBorder="1" applyAlignment="1">
      <alignment horizontal="left"/>
    </xf>
    <xf numFmtId="0" fontId="0" fillId="4" borderId="1" xfId="0" applyFill="1" applyBorder="1" applyAlignment="1">
      <alignment horizontal="left"/>
    </xf>
    <xf numFmtId="0" fontId="5" fillId="0" borderId="5" xfId="0" applyFont="1" applyBorder="1" applyAlignment="1">
      <alignment horizontal="left" vertical="center"/>
    </xf>
    <xf numFmtId="0" fontId="5" fillId="0" borderId="6" xfId="0" applyFont="1" applyBorder="1" applyAlignment="1">
      <alignment horizontal="left" vertical="center"/>
    </xf>
    <xf numFmtId="0" fontId="5" fillId="0" borderId="4" xfId="0" applyFont="1" applyBorder="1" applyAlignment="1">
      <alignment horizontal="left" vertical="center"/>
    </xf>
    <xf numFmtId="0" fontId="5" fillId="0" borderId="12" xfId="0" applyFont="1" applyBorder="1" applyAlignment="1">
      <alignment horizontal="left" vertical="center"/>
    </xf>
    <xf numFmtId="0" fontId="5" fillId="0" borderId="10" xfId="0" applyFont="1" applyBorder="1" applyAlignment="1">
      <alignment horizontal="left" vertical="center"/>
    </xf>
    <xf numFmtId="0" fontId="5" fillId="0" borderId="14" xfId="0" applyFont="1" applyBorder="1" applyAlignment="1">
      <alignment horizontal="left" vertical="center"/>
    </xf>
    <xf numFmtId="0" fontId="5" fillId="12" borderId="1" xfId="0" applyFont="1" applyFill="1" applyBorder="1" applyAlignment="1">
      <alignment horizontal="center"/>
    </xf>
    <xf numFmtId="0" fontId="5" fillId="14" borderId="1" xfId="0" applyFont="1" applyFill="1" applyBorder="1" applyAlignment="1">
      <alignment horizontal="center"/>
    </xf>
    <xf numFmtId="0" fontId="5" fillId="10" borderId="1" xfId="0" applyFont="1" applyFill="1" applyBorder="1" applyAlignment="1">
      <alignment horizontal="center"/>
    </xf>
    <xf numFmtId="0" fontId="5" fillId="15" borderId="1" xfId="0" applyFont="1" applyFill="1" applyBorder="1" applyAlignment="1">
      <alignment horizontal="center"/>
    </xf>
    <xf numFmtId="0" fontId="5" fillId="0" borderId="1" xfId="0" applyFont="1" applyBorder="1" applyAlignment="1">
      <alignment horizontal="center" vertical="center"/>
    </xf>
    <xf numFmtId="0" fontId="20" fillId="10" borderId="0" xfId="0" applyFont="1" applyFill="1" applyAlignment="1">
      <alignment horizontal="left" vertical="top"/>
    </xf>
  </cellXfs>
  <cellStyles count="5">
    <cellStyle name="Accent1" xfId="2" builtinId="29"/>
    <cellStyle name="Hyperlink" xfId="3" builtinId="8"/>
    <cellStyle name="Neutral" xfId="1" builtinId="28"/>
    <cellStyle name="Normal" xfId="0" builtinId="0"/>
    <cellStyle name="Percent" xfId="4" builtinId="5"/>
  </cellStyles>
  <dxfs count="16">
    <dxf>
      <font>
        <color rgb="FF006100"/>
      </font>
      <fill>
        <patternFill>
          <bgColor rgb="FFC6EFCE"/>
        </patternFill>
      </fill>
    </dxf>
    <dxf>
      <font>
        <color rgb="FF9C0006"/>
      </font>
      <fill>
        <patternFill>
          <bgColor rgb="FFFFC7CE"/>
        </patternFill>
      </fill>
    </dxf>
    <dxf>
      <font>
        <color theme="0" tint="-0.24994659260841701"/>
      </font>
      <fill>
        <patternFill>
          <bgColor theme="0"/>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b val="0"/>
        <i val="0"/>
        <strike val="0"/>
        <condense val="0"/>
        <extend val="0"/>
        <outline val="0"/>
        <shadow val="0"/>
        <u val="none"/>
        <vertAlign val="baseline"/>
        <sz val="11"/>
        <color auto="1"/>
        <name val="Calibri"/>
        <family val="2"/>
        <scheme val="minor"/>
      </font>
      <border diagonalUp="0" diagonalDown="0">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auto="1"/>
        <name val="Calibri"/>
        <family val="2"/>
        <scheme val="minor"/>
      </font>
      <border diagonalUp="0" diagonalDown="0">
        <left/>
        <right/>
        <top style="thin">
          <color indexed="64"/>
        </top>
        <bottom style="thin">
          <color indexed="64"/>
        </bottom>
        <vertical/>
        <horizontal/>
      </border>
    </dxf>
    <dxf>
      <border diagonalUp="0" diagonalDown="0">
        <left/>
        <right/>
        <top style="thin">
          <color indexed="64"/>
        </top>
        <bottom style="thin">
          <color indexed="64"/>
        </bottom>
        <vertical/>
        <horizontal/>
      </border>
    </dxf>
    <dxf>
      <border diagonalUp="0" diagonalDown="0">
        <left/>
        <right/>
        <top style="thin">
          <color indexed="64"/>
        </top>
        <bottom style="thin">
          <color indexed="64"/>
        </bottom>
        <vertical/>
        <horizontal/>
      </border>
    </dxf>
    <dxf>
      <border diagonalUp="0" diagonalDown="0">
        <left/>
        <right/>
        <top style="thin">
          <color indexed="64"/>
        </top>
        <bottom style="thin">
          <color indexed="64"/>
        </bottom>
        <vertical/>
        <horizontal/>
      </border>
    </dxf>
    <dxf>
      <border diagonalUp="0" diagonalDown="0">
        <left/>
        <right/>
        <top style="thin">
          <color indexed="64"/>
        </top>
        <bottom style="thin">
          <color indexed="64"/>
        </bottom>
        <vertical/>
        <horizontal/>
      </border>
    </dxf>
    <dxf>
      <border diagonalUp="0" diagonalDown="0" outline="0">
        <left/>
        <right/>
        <top style="thin">
          <color indexed="64"/>
        </top>
        <bottom style="thin">
          <color indexed="64"/>
        </bottom>
      </border>
    </dxf>
    <dxf>
      <font>
        <b val="0"/>
        <i val="0"/>
        <strike val="0"/>
        <condense val="0"/>
        <extend val="0"/>
        <outline val="0"/>
        <shadow val="0"/>
        <u val="none"/>
        <vertAlign val="baseline"/>
        <sz val="11"/>
        <color theme="1"/>
        <name val="Calibri"/>
        <family val="2"/>
        <scheme val="minor"/>
      </font>
      <border diagonalUp="0" diagonalDown="0" outline="0">
        <left/>
        <right/>
        <top style="thin">
          <color indexed="64"/>
        </top>
        <bottom style="thin">
          <color indexed="64"/>
        </bottom>
      </border>
    </dxf>
    <dxf>
      <border outline="0">
        <bottom style="thin">
          <color indexed="64"/>
        </bottom>
      </border>
    </dxf>
    <dxf>
      <font>
        <b/>
        <i val="0"/>
        <strike val="0"/>
        <condense val="0"/>
        <extend val="0"/>
        <outline val="0"/>
        <shadow val="0"/>
        <u val="none"/>
        <vertAlign val="baseline"/>
        <sz val="11"/>
        <color theme="1"/>
        <name val="Calibri"/>
        <family val="2"/>
        <scheme val="minor"/>
      </font>
      <fill>
        <patternFill patternType="solid">
          <fgColor indexed="64"/>
          <bgColor theme="6" tint="0.79998168889431442"/>
        </patternFill>
      </fill>
    </dxf>
  </dxfs>
  <tableStyles count="0" defaultTableStyle="TableStyleMedium2" defaultPivotStyle="PivotStyleLight16"/>
  <colors>
    <mruColors>
      <color rgb="FFE3513D"/>
      <color rgb="FFA98477"/>
      <color rgb="FF56B343"/>
      <color rgb="FF1A5F31"/>
      <color rgb="FFDE6742"/>
      <color rgb="FFED33BC"/>
      <color rgb="FFAEC5EB"/>
      <color rgb="FFC230F0"/>
      <color rgb="FFE43CE0"/>
      <color rgb="FF080808"/>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18" Type="http://schemas.openxmlformats.org/officeDocument/2006/relationships/customXml" Target="../customXml/item4.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17" Type="http://schemas.openxmlformats.org/officeDocument/2006/relationships/customXml" Target="../customXml/item3.xml"/><Relationship Id="rId2" Type="http://schemas.openxmlformats.org/officeDocument/2006/relationships/worksheet" Target="worksheets/sheet2.xml"/><Relationship Id="rId16" Type="http://schemas.openxmlformats.org/officeDocument/2006/relationships/customXml" Target="../customXml/item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customXml" Target="../customXml/item1.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All</a:t>
            </a:r>
            <a:r>
              <a:rPr lang="en-US" baseline="0"/>
              <a:t> actions </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pieChart>
        <c:varyColors val="1"/>
        <c:ser>
          <c:idx val="0"/>
          <c:order val="0"/>
          <c:tx>
            <c:strRef>
              <c:f>Graphs!$C$19</c:f>
              <c:strCache>
                <c:ptCount val="1"/>
                <c:pt idx="0">
                  <c:v>COUNT of actions</c:v>
                </c:pt>
              </c:strCache>
            </c:strRef>
          </c:tx>
          <c:dPt>
            <c:idx val="0"/>
            <c:bubble3D val="0"/>
            <c:spPr>
              <a:solidFill>
                <a:schemeClr val="accent1">
                  <a:tint val="54000"/>
                </a:schemeClr>
              </a:solidFill>
              <a:ln w="19050">
                <a:solidFill>
                  <a:schemeClr val="lt1"/>
                </a:solidFill>
              </a:ln>
              <a:effectLst/>
            </c:spPr>
            <c:extLst>
              <c:ext xmlns:c16="http://schemas.microsoft.com/office/drawing/2014/chart" uri="{C3380CC4-5D6E-409C-BE32-E72D297353CC}">
                <c16:uniqueId val="{00000001-1F17-4DE8-A3DF-8DBCE26FC466}"/>
              </c:ext>
            </c:extLst>
          </c:dPt>
          <c:dPt>
            <c:idx val="1"/>
            <c:bubble3D val="0"/>
            <c:spPr>
              <a:solidFill>
                <a:schemeClr val="accent1">
                  <a:tint val="77000"/>
                </a:schemeClr>
              </a:solidFill>
              <a:ln w="19050">
                <a:solidFill>
                  <a:schemeClr val="lt1"/>
                </a:solidFill>
              </a:ln>
              <a:effectLst/>
            </c:spPr>
            <c:extLst>
              <c:ext xmlns:c16="http://schemas.microsoft.com/office/drawing/2014/chart" uri="{C3380CC4-5D6E-409C-BE32-E72D297353CC}">
                <c16:uniqueId val="{00000001-5833-46F0-8EAA-CF7E46942BB9}"/>
              </c:ext>
            </c:extLst>
          </c:dPt>
          <c:dPt>
            <c:idx val="2"/>
            <c:bubble3D val="0"/>
            <c:spPr>
              <a:solidFill>
                <a:schemeClr val="accent1"/>
              </a:solidFill>
              <a:ln w="19050">
                <a:solidFill>
                  <a:schemeClr val="lt1"/>
                </a:solidFill>
              </a:ln>
              <a:effectLst/>
            </c:spPr>
            <c:extLst>
              <c:ext xmlns:c16="http://schemas.microsoft.com/office/drawing/2014/chart" uri="{C3380CC4-5D6E-409C-BE32-E72D297353CC}">
                <c16:uniqueId val="{00000005-1F17-4DE8-A3DF-8DBCE26FC466}"/>
              </c:ext>
            </c:extLst>
          </c:dPt>
          <c:dPt>
            <c:idx val="3"/>
            <c:bubble3D val="0"/>
            <c:spPr>
              <a:solidFill>
                <a:schemeClr val="accent1">
                  <a:shade val="76000"/>
                </a:schemeClr>
              </a:solidFill>
              <a:ln w="19050">
                <a:solidFill>
                  <a:schemeClr val="lt1"/>
                </a:solidFill>
              </a:ln>
              <a:effectLst/>
            </c:spPr>
            <c:extLst>
              <c:ext xmlns:c16="http://schemas.microsoft.com/office/drawing/2014/chart" uri="{C3380CC4-5D6E-409C-BE32-E72D297353CC}">
                <c16:uniqueId val="{00000007-1F17-4DE8-A3DF-8DBCE26FC466}"/>
              </c:ext>
            </c:extLst>
          </c:dPt>
          <c:dPt>
            <c:idx val="4"/>
            <c:bubble3D val="0"/>
            <c:spPr>
              <a:solidFill>
                <a:schemeClr val="accent1">
                  <a:shade val="53000"/>
                </a:schemeClr>
              </a:solidFill>
              <a:ln w="19050">
                <a:solidFill>
                  <a:schemeClr val="lt1"/>
                </a:solidFill>
              </a:ln>
              <a:effectLst/>
            </c:spPr>
            <c:extLst>
              <c:ext xmlns:c16="http://schemas.microsoft.com/office/drawing/2014/chart" uri="{C3380CC4-5D6E-409C-BE32-E72D297353CC}">
                <c16:uniqueId val="{00000009-1F17-4DE8-A3DF-8DBCE26FC466}"/>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Graphs!$B$20:$B$24</c:f>
              <c:strCache>
                <c:ptCount val="5"/>
                <c:pt idx="0">
                  <c:v>Fully addressed</c:v>
                </c:pt>
                <c:pt idx="1">
                  <c:v>Significantly addressed</c:v>
                </c:pt>
                <c:pt idx="2">
                  <c:v>Minimally addressed</c:v>
                </c:pt>
                <c:pt idx="3">
                  <c:v>Recognised but not addressed</c:v>
                </c:pt>
                <c:pt idx="4">
                  <c:v>Not addressed</c:v>
                </c:pt>
              </c:strCache>
            </c:strRef>
          </c:cat>
          <c:val>
            <c:numRef>
              <c:f>Graphs!$C$20:$C$24</c:f>
              <c:numCache>
                <c:formatCode>General</c:formatCode>
                <c:ptCount val="5"/>
                <c:pt idx="0">
                  <c:v>15</c:v>
                </c:pt>
                <c:pt idx="1">
                  <c:v>68</c:v>
                </c:pt>
                <c:pt idx="2">
                  <c:v>90</c:v>
                </c:pt>
                <c:pt idx="3">
                  <c:v>35</c:v>
                </c:pt>
                <c:pt idx="4">
                  <c:v>43</c:v>
                </c:pt>
              </c:numCache>
            </c:numRef>
          </c:val>
          <c:extLst>
            <c:ext xmlns:c16="http://schemas.microsoft.com/office/drawing/2014/chart" uri="{C3380CC4-5D6E-409C-BE32-E72D297353CC}">
              <c16:uniqueId val="{00000000-5833-46F0-8EAA-CF7E46942BB9}"/>
            </c:ext>
          </c:extLst>
        </c:ser>
        <c:dLbls>
          <c:showLegendKey val="0"/>
          <c:showVal val="0"/>
          <c:showCatName val="0"/>
          <c:showSerName val="0"/>
          <c:showPercent val="0"/>
          <c:showBubbleSize val="0"/>
          <c:showLeaderLines val="1"/>
        </c:dLbls>
        <c:firstSliceAng val="0"/>
      </c:pieChart>
      <c:spPr>
        <a:noFill/>
        <a:ln>
          <a:noFill/>
        </a:ln>
        <a:effectLst/>
      </c:spPr>
    </c:plotArea>
    <c:legend>
      <c:legendPos val="r"/>
      <c:layout>
        <c:manualLayout>
          <c:xMode val="edge"/>
          <c:yMode val="edge"/>
          <c:x val="0.65193402200871686"/>
          <c:y val="0.37709929443517626"/>
          <c:w val="0.30892224710443306"/>
          <c:h val="0.35582741820654773"/>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a:t>Count of actions</a:t>
            </a:r>
            <a:r>
              <a:rPr lang="en-GB" baseline="0"/>
              <a:t> by government department</a:t>
            </a:r>
            <a:endParaRPr lang="en-GB"/>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strRef>
              <c:f>Graphs!$B$85</c:f>
              <c:strCache>
                <c:ptCount val="1"/>
                <c:pt idx="0">
                  <c:v>Fully addressed</c:v>
                </c:pt>
              </c:strCache>
            </c:strRef>
          </c:tx>
          <c:spPr>
            <a:solidFill>
              <a:schemeClr val="accent1">
                <a:tint val="54000"/>
              </a:schemeClr>
            </a:solidFill>
            <a:ln>
              <a:noFill/>
            </a:ln>
            <a:effectLst/>
          </c:spPr>
          <c:invertIfNegative val="0"/>
          <c:cat>
            <c:strRef>
              <c:f>Graphs!$C$84:$N$84</c:f>
              <c:strCache>
                <c:ptCount val="12"/>
                <c:pt idx="0">
                  <c:v>Cross-government</c:v>
                </c:pt>
                <c:pt idx="1">
                  <c:v>DBT</c:v>
                </c:pt>
                <c:pt idx="2">
                  <c:v>DCMS</c:v>
                </c:pt>
                <c:pt idx="3">
                  <c:v>Defra</c:v>
                </c:pt>
                <c:pt idx="4">
                  <c:v>DESNZ</c:v>
                </c:pt>
                <c:pt idx="5">
                  <c:v>DfT</c:v>
                </c:pt>
                <c:pt idx="6">
                  <c:v>DHSC</c:v>
                </c:pt>
                <c:pt idx="7">
                  <c:v>DLUHC</c:v>
                </c:pt>
                <c:pt idx="8">
                  <c:v>DSIT</c:v>
                </c:pt>
                <c:pt idx="9">
                  <c:v>FCDO</c:v>
                </c:pt>
                <c:pt idx="10">
                  <c:v>HMT</c:v>
                </c:pt>
                <c:pt idx="11">
                  <c:v>MoJ</c:v>
                </c:pt>
              </c:strCache>
            </c:strRef>
          </c:cat>
          <c:val>
            <c:numRef>
              <c:f>Graphs!$C$85:$N$85</c:f>
              <c:numCache>
                <c:formatCode>General</c:formatCode>
                <c:ptCount val="12"/>
                <c:pt idx="0">
                  <c:v>0</c:v>
                </c:pt>
                <c:pt idx="1">
                  <c:v>1</c:v>
                </c:pt>
                <c:pt idx="2">
                  <c:v>1</c:v>
                </c:pt>
                <c:pt idx="3">
                  <c:v>10</c:v>
                </c:pt>
                <c:pt idx="4">
                  <c:v>0</c:v>
                </c:pt>
                <c:pt idx="5">
                  <c:v>1</c:v>
                </c:pt>
                <c:pt idx="6">
                  <c:v>2</c:v>
                </c:pt>
                <c:pt idx="7">
                  <c:v>0</c:v>
                </c:pt>
                <c:pt idx="8">
                  <c:v>0</c:v>
                </c:pt>
                <c:pt idx="9">
                  <c:v>0</c:v>
                </c:pt>
                <c:pt idx="10">
                  <c:v>0</c:v>
                </c:pt>
                <c:pt idx="11">
                  <c:v>0</c:v>
                </c:pt>
              </c:numCache>
            </c:numRef>
          </c:val>
          <c:extLst>
            <c:ext xmlns:c16="http://schemas.microsoft.com/office/drawing/2014/chart" uri="{C3380CC4-5D6E-409C-BE32-E72D297353CC}">
              <c16:uniqueId val="{00000000-2142-4492-85EC-805EEB0B407E}"/>
            </c:ext>
          </c:extLst>
        </c:ser>
        <c:ser>
          <c:idx val="1"/>
          <c:order val="1"/>
          <c:tx>
            <c:strRef>
              <c:f>Graphs!$B$86</c:f>
              <c:strCache>
                <c:ptCount val="1"/>
                <c:pt idx="0">
                  <c:v>Significantly addressed</c:v>
                </c:pt>
              </c:strCache>
            </c:strRef>
          </c:tx>
          <c:spPr>
            <a:solidFill>
              <a:schemeClr val="accent1">
                <a:tint val="77000"/>
              </a:schemeClr>
            </a:solidFill>
            <a:ln>
              <a:noFill/>
            </a:ln>
            <a:effectLst/>
          </c:spPr>
          <c:invertIfNegative val="0"/>
          <c:cat>
            <c:strRef>
              <c:f>Graphs!$C$84:$N$84</c:f>
              <c:strCache>
                <c:ptCount val="12"/>
                <c:pt idx="0">
                  <c:v>Cross-government</c:v>
                </c:pt>
                <c:pt idx="1">
                  <c:v>DBT</c:v>
                </c:pt>
                <c:pt idx="2">
                  <c:v>DCMS</c:v>
                </c:pt>
                <c:pt idx="3">
                  <c:v>Defra</c:v>
                </c:pt>
                <c:pt idx="4">
                  <c:v>DESNZ</c:v>
                </c:pt>
                <c:pt idx="5">
                  <c:v>DfT</c:v>
                </c:pt>
                <c:pt idx="6">
                  <c:v>DHSC</c:v>
                </c:pt>
                <c:pt idx="7">
                  <c:v>DLUHC</c:v>
                </c:pt>
                <c:pt idx="8">
                  <c:v>DSIT</c:v>
                </c:pt>
                <c:pt idx="9">
                  <c:v>FCDO</c:v>
                </c:pt>
                <c:pt idx="10">
                  <c:v>HMT</c:v>
                </c:pt>
                <c:pt idx="11">
                  <c:v>MoJ</c:v>
                </c:pt>
              </c:strCache>
            </c:strRef>
          </c:cat>
          <c:val>
            <c:numRef>
              <c:f>Graphs!$C$86:$N$86</c:f>
              <c:numCache>
                <c:formatCode>General</c:formatCode>
                <c:ptCount val="12"/>
                <c:pt idx="0">
                  <c:v>0</c:v>
                </c:pt>
                <c:pt idx="1">
                  <c:v>7</c:v>
                </c:pt>
                <c:pt idx="2">
                  <c:v>0</c:v>
                </c:pt>
                <c:pt idx="3">
                  <c:v>35</c:v>
                </c:pt>
                <c:pt idx="4">
                  <c:v>11</c:v>
                </c:pt>
                <c:pt idx="5">
                  <c:v>4</c:v>
                </c:pt>
                <c:pt idx="6">
                  <c:v>8</c:v>
                </c:pt>
                <c:pt idx="7">
                  <c:v>7</c:v>
                </c:pt>
                <c:pt idx="8">
                  <c:v>5</c:v>
                </c:pt>
                <c:pt idx="9">
                  <c:v>1</c:v>
                </c:pt>
                <c:pt idx="10">
                  <c:v>1</c:v>
                </c:pt>
                <c:pt idx="11">
                  <c:v>2</c:v>
                </c:pt>
              </c:numCache>
            </c:numRef>
          </c:val>
          <c:extLst>
            <c:ext xmlns:c16="http://schemas.microsoft.com/office/drawing/2014/chart" uri="{C3380CC4-5D6E-409C-BE32-E72D297353CC}">
              <c16:uniqueId val="{00000001-2142-4492-85EC-805EEB0B407E}"/>
            </c:ext>
          </c:extLst>
        </c:ser>
        <c:ser>
          <c:idx val="2"/>
          <c:order val="2"/>
          <c:tx>
            <c:strRef>
              <c:f>Graphs!$B$87</c:f>
              <c:strCache>
                <c:ptCount val="1"/>
                <c:pt idx="0">
                  <c:v>Minimally addressed</c:v>
                </c:pt>
              </c:strCache>
            </c:strRef>
          </c:tx>
          <c:spPr>
            <a:solidFill>
              <a:schemeClr val="accent1"/>
            </a:solidFill>
            <a:ln>
              <a:noFill/>
            </a:ln>
            <a:effectLst/>
          </c:spPr>
          <c:invertIfNegative val="0"/>
          <c:cat>
            <c:strRef>
              <c:f>Graphs!$C$84:$N$84</c:f>
              <c:strCache>
                <c:ptCount val="12"/>
                <c:pt idx="0">
                  <c:v>Cross-government</c:v>
                </c:pt>
                <c:pt idx="1">
                  <c:v>DBT</c:v>
                </c:pt>
                <c:pt idx="2">
                  <c:v>DCMS</c:v>
                </c:pt>
                <c:pt idx="3">
                  <c:v>Defra</c:v>
                </c:pt>
                <c:pt idx="4">
                  <c:v>DESNZ</c:v>
                </c:pt>
                <c:pt idx="5">
                  <c:v>DfT</c:v>
                </c:pt>
                <c:pt idx="6">
                  <c:v>DHSC</c:v>
                </c:pt>
                <c:pt idx="7">
                  <c:v>DLUHC</c:v>
                </c:pt>
                <c:pt idx="8">
                  <c:v>DSIT</c:v>
                </c:pt>
                <c:pt idx="9">
                  <c:v>FCDO</c:v>
                </c:pt>
                <c:pt idx="10">
                  <c:v>HMT</c:v>
                </c:pt>
                <c:pt idx="11">
                  <c:v>MoJ</c:v>
                </c:pt>
              </c:strCache>
            </c:strRef>
          </c:cat>
          <c:val>
            <c:numRef>
              <c:f>Graphs!$C$87:$N$87</c:f>
              <c:numCache>
                <c:formatCode>General</c:formatCode>
                <c:ptCount val="12"/>
                <c:pt idx="0">
                  <c:v>2</c:v>
                </c:pt>
                <c:pt idx="1">
                  <c:v>14</c:v>
                </c:pt>
                <c:pt idx="2">
                  <c:v>1</c:v>
                </c:pt>
                <c:pt idx="3">
                  <c:v>48</c:v>
                </c:pt>
                <c:pt idx="4">
                  <c:v>17</c:v>
                </c:pt>
                <c:pt idx="5">
                  <c:v>9</c:v>
                </c:pt>
                <c:pt idx="6">
                  <c:v>4</c:v>
                </c:pt>
                <c:pt idx="7">
                  <c:v>6</c:v>
                </c:pt>
                <c:pt idx="8">
                  <c:v>7</c:v>
                </c:pt>
                <c:pt idx="9">
                  <c:v>5</c:v>
                </c:pt>
                <c:pt idx="10">
                  <c:v>3</c:v>
                </c:pt>
                <c:pt idx="11">
                  <c:v>0</c:v>
                </c:pt>
              </c:numCache>
            </c:numRef>
          </c:val>
          <c:extLst>
            <c:ext xmlns:c16="http://schemas.microsoft.com/office/drawing/2014/chart" uri="{C3380CC4-5D6E-409C-BE32-E72D297353CC}">
              <c16:uniqueId val="{00000002-2142-4492-85EC-805EEB0B407E}"/>
            </c:ext>
          </c:extLst>
        </c:ser>
        <c:ser>
          <c:idx val="3"/>
          <c:order val="3"/>
          <c:tx>
            <c:strRef>
              <c:f>Graphs!$B$88</c:f>
              <c:strCache>
                <c:ptCount val="1"/>
                <c:pt idx="0">
                  <c:v>Recognised but not addressed</c:v>
                </c:pt>
              </c:strCache>
            </c:strRef>
          </c:tx>
          <c:spPr>
            <a:solidFill>
              <a:schemeClr val="accent1">
                <a:shade val="76000"/>
              </a:schemeClr>
            </a:solidFill>
            <a:ln>
              <a:noFill/>
            </a:ln>
            <a:effectLst/>
          </c:spPr>
          <c:invertIfNegative val="0"/>
          <c:cat>
            <c:strRef>
              <c:f>Graphs!$C$84:$N$84</c:f>
              <c:strCache>
                <c:ptCount val="12"/>
                <c:pt idx="0">
                  <c:v>Cross-government</c:v>
                </c:pt>
                <c:pt idx="1">
                  <c:v>DBT</c:v>
                </c:pt>
                <c:pt idx="2">
                  <c:v>DCMS</c:v>
                </c:pt>
                <c:pt idx="3">
                  <c:v>Defra</c:v>
                </c:pt>
                <c:pt idx="4">
                  <c:v>DESNZ</c:v>
                </c:pt>
                <c:pt idx="5">
                  <c:v>DfT</c:v>
                </c:pt>
                <c:pt idx="6">
                  <c:v>DHSC</c:v>
                </c:pt>
                <c:pt idx="7">
                  <c:v>DLUHC</c:v>
                </c:pt>
                <c:pt idx="8">
                  <c:v>DSIT</c:v>
                </c:pt>
                <c:pt idx="9">
                  <c:v>FCDO</c:v>
                </c:pt>
                <c:pt idx="10">
                  <c:v>HMT</c:v>
                </c:pt>
                <c:pt idx="11">
                  <c:v>MoJ</c:v>
                </c:pt>
              </c:strCache>
            </c:strRef>
          </c:cat>
          <c:val>
            <c:numRef>
              <c:f>Graphs!$C$88:$N$88</c:f>
              <c:numCache>
                <c:formatCode>General</c:formatCode>
                <c:ptCount val="12"/>
                <c:pt idx="0">
                  <c:v>0</c:v>
                </c:pt>
                <c:pt idx="1">
                  <c:v>5</c:v>
                </c:pt>
                <c:pt idx="2">
                  <c:v>0</c:v>
                </c:pt>
                <c:pt idx="3">
                  <c:v>19</c:v>
                </c:pt>
                <c:pt idx="4">
                  <c:v>3</c:v>
                </c:pt>
                <c:pt idx="5">
                  <c:v>1</c:v>
                </c:pt>
                <c:pt idx="6">
                  <c:v>0</c:v>
                </c:pt>
                <c:pt idx="7">
                  <c:v>1</c:v>
                </c:pt>
                <c:pt idx="8">
                  <c:v>0</c:v>
                </c:pt>
                <c:pt idx="9">
                  <c:v>3</c:v>
                </c:pt>
                <c:pt idx="10">
                  <c:v>2</c:v>
                </c:pt>
                <c:pt idx="11">
                  <c:v>2</c:v>
                </c:pt>
              </c:numCache>
            </c:numRef>
          </c:val>
          <c:extLst>
            <c:ext xmlns:c16="http://schemas.microsoft.com/office/drawing/2014/chart" uri="{C3380CC4-5D6E-409C-BE32-E72D297353CC}">
              <c16:uniqueId val="{00000003-2142-4492-85EC-805EEB0B407E}"/>
            </c:ext>
          </c:extLst>
        </c:ser>
        <c:ser>
          <c:idx val="4"/>
          <c:order val="4"/>
          <c:tx>
            <c:strRef>
              <c:f>Graphs!$B$89</c:f>
              <c:strCache>
                <c:ptCount val="1"/>
                <c:pt idx="0">
                  <c:v>Not addressed</c:v>
                </c:pt>
              </c:strCache>
            </c:strRef>
          </c:tx>
          <c:spPr>
            <a:solidFill>
              <a:schemeClr val="accent1">
                <a:shade val="53000"/>
              </a:schemeClr>
            </a:solidFill>
            <a:ln>
              <a:noFill/>
            </a:ln>
            <a:effectLst/>
          </c:spPr>
          <c:invertIfNegative val="0"/>
          <c:cat>
            <c:strRef>
              <c:f>Graphs!$C$84:$N$84</c:f>
              <c:strCache>
                <c:ptCount val="12"/>
                <c:pt idx="0">
                  <c:v>Cross-government</c:v>
                </c:pt>
                <c:pt idx="1">
                  <c:v>DBT</c:v>
                </c:pt>
                <c:pt idx="2">
                  <c:v>DCMS</c:v>
                </c:pt>
                <c:pt idx="3">
                  <c:v>Defra</c:v>
                </c:pt>
                <c:pt idx="4">
                  <c:v>DESNZ</c:v>
                </c:pt>
                <c:pt idx="5">
                  <c:v>DfT</c:v>
                </c:pt>
                <c:pt idx="6">
                  <c:v>DHSC</c:v>
                </c:pt>
                <c:pt idx="7">
                  <c:v>DLUHC</c:v>
                </c:pt>
                <c:pt idx="8">
                  <c:v>DSIT</c:v>
                </c:pt>
                <c:pt idx="9">
                  <c:v>FCDO</c:v>
                </c:pt>
                <c:pt idx="10">
                  <c:v>HMT</c:v>
                </c:pt>
                <c:pt idx="11">
                  <c:v>MoJ</c:v>
                </c:pt>
              </c:strCache>
            </c:strRef>
          </c:cat>
          <c:val>
            <c:numRef>
              <c:f>Graphs!$C$89:$N$89</c:f>
              <c:numCache>
                <c:formatCode>General</c:formatCode>
                <c:ptCount val="12"/>
                <c:pt idx="0">
                  <c:v>0</c:v>
                </c:pt>
                <c:pt idx="1">
                  <c:v>12</c:v>
                </c:pt>
                <c:pt idx="2">
                  <c:v>0</c:v>
                </c:pt>
                <c:pt idx="3">
                  <c:v>23</c:v>
                </c:pt>
                <c:pt idx="4">
                  <c:v>5</c:v>
                </c:pt>
                <c:pt idx="5">
                  <c:v>2</c:v>
                </c:pt>
                <c:pt idx="6">
                  <c:v>0</c:v>
                </c:pt>
                <c:pt idx="7">
                  <c:v>3</c:v>
                </c:pt>
                <c:pt idx="8">
                  <c:v>1</c:v>
                </c:pt>
                <c:pt idx="9">
                  <c:v>1</c:v>
                </c:pt>
                <c:pt idx="10">
                  <c:v>2</c:v>
                </c:pt>
                <c:pt idx="11">
                  <c:v>0</c:v>
                </c:pt>
              </c:numCache>
            </c:numRef>
          </c:val>
          <c:extLst>
            <c:ext xmlns:c16="http://schemas.microsoft.com/office/drawing/2014/chart" uri="{C3380CC4-5D6E-409C-BE32-E72D297353CC}">
              <c16:uniqueId val="{00000004-2142-4492-85EC-805EEB0B407E}"/>
            </c:ext>
          </c:extLst>
        </c:ser>
        <c:dLbls>
          <c:showLegendKey val="0"/>
          <c:showVal val="0"/>
          <c:showCatName val="0"/>
          <c:showSerName val="0"/>
          <c:showPercent val="0"/>
          <c:showBubbleSize val="0"/>
        </c:dLbls>
        <c:gapWidth val="219"/>
        <c:overlap val="-27"/>
        <c:axId val="124460320"/>
        <c:axId val="2076054688"/>
      </c:barChart>
      <c:catAx>
        <c:axId val="124460320"/>
        <c:scaling>
          <c:orientation val="minMax"/>
        </c:scaling>
        <c:delete val="0"/>
        <c:axPos val="b"/>
        <c:title>
          <c:tx>
            <c:rich>
              <a:bodyPr rot="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r>
                  <a:rPr lang="en-GB" b="1"/>
                  <a:t>Government department</a:t>
                </a:r>
              </a:p>
            </c:rich>
          </c:tx>
          <c:layout>
            <c:manualLayout>
              <c:xMode val="edge"/>
              <c:yMode val="edge"/>
              <c:x val="0.41049262125082381"/>
              <c:y val="0.77739089678305562"/>
            </c:manualLayout>
          </c:layout>
          <c:overlay val="0"/>
          <c:spPr>
            <a:noFill/>
            <a:ln>
              <a:noFill/>
            </a:ln>
            <a:effectLst/>
          </c:spPr>
          <c:txPr>
            <a:bodyPr rot="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76054688"/>
        <c:crosses val="autoZero"/>
        <c:auto val="1"/>
        <c:lblAlgn val="ctr"/>
        <c:lblOffset val="100"/>
        <c:noMultiLvlLbl val="0"/>
      </c:catAx>
      <c:valAx>
        <c:axId val="2076054688"/>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r>
                  <a:rPr lang="en-GB" b="1"/>
                  <a:t>No.</a:t>
                </a:r>
                <a:r>
                  <a:rPr lang="en-GB" b="1" baseline="0"/>
                  <a:t> of actions</a:t>
                </a:r>
                <a:endParaRPr lang="en-GB" b="1"/>
              </a:p>
            </c:rich>
          </c:tx>
          <c:overlay val="0"/>
          <c:spPr>
            <a:noFill/>
            <a:ln>
              <a:noFill/>
            </a:ln>
            <a:effectLst/>
          </c:spPr>
          <c:txPr>
            <a:bodyPr rot="-540000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4460320"/>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a:t>Percentage</a:t>
            </a:r>
            <a:r>
              <a:rPr lang="en-GB" baseline="0"/>
              <a:t> of actions by government department</a:t>
            </a:r>
            <a:endParaRPr lang="en-GB"/>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stacked"/>
        <c:varyColors val="0"/>
        <c:ser>
          <c:idx val="0"/>
          <c:order val="0"/>
          <c:tx>
            <c:strRef>
              <c:f>Graphs!$B$97</c:f>
              <c:strCache>
                <c:ptCount val="1"/>
                <c:pt idx="0">
                  <c:v>Fully addressed</c:v>
                </c:pt>
              </c:strCache>
            </c:strRef>
          </c:tx>
          <c:spPr>
            <a:solidFill>
              <a:schemeClr val="accent1">
                <a:tint val="54000"/>
              </a:schemeClr>
            </a:solidFill>
            <a:ln>
              <a:noFill/>
            </a:ln>
            <a:effectLst/>
          </c:spPr>
          <c:invertIfNegative val="0"/>
          <c:cat>
            <c:strRef>
              <c:f>Graphs!$C$96:$N$96</c:f>
              <c:strCache>
                <c:ptCount val="12"/>
                <c:pt idx="0">
                  <c:v>Cross-government</c:v>
                </c:pt>
                <c:pt idx="1">
                  <c:v>DBT</c:v>
                </c:pt>
                <c:pt idx="2">
                  <c:v>DCMS</c:v>
                </c:pt>
                <c:pt idx="3">
                  <c:v>Defra</c:v>
                </c:pt>
                <c:pt idx="4">
                  <c:v>DESNZ</c:v>
                </c:pt>
                <c:pt idx="5">
                  <c:v>DfT</c:v>
                </c:pt>
                <c:pt idx="6">
                  <c:v>DHSC</c:v>
                </c:pt>
                <c:pt idx="7">
                  <c:v>DLUHC</c:v>
                </c:pt>
                <c:pt idx="8">
                  <c:v>DSIT</c:v>
                </c:pt>
                <c:pt idx="9">
                  <c:v>FCDO</c:v>
                </c:pt>
                <c:pt idx="10">
                  <c:v>HMT</c:v>
                </c:pt>
                <c:pt idx="11">
                  <c:v>MoJ</c:v>
                </c:pt>
              </c:strCache>
            </c:strRef>
          </c:cat>
          <c:val>
            <c:numRef>
              <c:f>Graphs!$C$97:$N$97</c:f>
              <c:numCache>
                <c:formatCode>0%</c:formatCode>
                <c:ptCount val="12"/>
                <c:pt idx="0">
                  <c:v>0</c:v>
                </c:pt>
                <c:pt idx="1">
                  <c:v>2.564102564102564E-2</c:v>
                </c:pt>
                <c:pt idx="2">
                  <c:v>0.5</c:v>
                </c:pt>
                <c:pt idx="3">
                  <c:v>7.407407407407407E-2</c:v>
                </c:pt>
                <c:pt idx="4">
                  <c:v>0</c:v>
                </c:pt>
                <c:pt idx="5">
                  <c:v>5.8823529411764705E-2</c:v>
                </c:pt>
                <c:pt idx="6">
                  <c:v>0.14285714285714285</c:v>
                </c:pt>
                <c:pt idx="7">
                  <c:v>0</c:v>
                </c:pt>
                <c:pt idx="8">
                  <c:v>0</c:v>
                </c:pt>
                <c:pt idx="9">
                  <c:v>0</c:v>
                </c:pt>
                <c:pt idx="10">
                  <c:v>0</c:v>
                </c:pt>
                <c:pt idx="11">
                  <c:v>0</c:v>
                </c:pt>
              </c:numCache>
            </c:numRef>
          </c:val>
          <c:extLst>
            <c:ext xmlns:c16="http://schemas.microsoft.com/office/drawing/2014/chart" uri="{C3380CC4-5D6E-409C-BE32-E72D297353CC}">
              <c16:uniqueId val="{00000000-4D5E-4C68-9850-A8AAEA02137A}"/>
            </c:ext>
          </c:extLst>
        </c:ser>
        <c:ser>
          <c:idx val="1"/>
          <c:order val="1"/>
          <c:tx>
            <c:strRef>
              <c:f>Graphs!$B$98</c:f>
              <c:strCache>
                <c:ptCount val="1"/>
                <c:pt idx="0">
                  <c:v>Significantly addressed</c:v>
                </c:pt>
              </c:strCache>
            </c:strRef>
          </c:tx>
          <c:spPr>
            <a:solidFill>
              <a:schemeClr val="accent1">
                <a:tint val="77000"/>
              </a:schemeClr>
            </a:solidFill>
            <a:ln>
              <a:noFill/>
            </a:ln>
            <a:effectLst/>
          </c:spPr>
          <c:invertIfNegative val="0"/>
          <c:cat>
            <c:strRef>
              <c:f>Graphs!$C$96:$N$96</c:f>
              <c:strCache>
                <c:ptCount val="12"/>
                <c:pt idx="0">
                  <c:v>Cross-government</c:v>
                </c:pt>
                <c:pt idx="1">
                  <c:v>DBT</c:v>
                </c:pt>
                <c:pt idx="2">
                  <c:v>DCMS</c:v>
                </c:pt>
                <c:pt idx="3">
                  <c:v>Defra</c:v>
                </c:pt>
                <c:pt idx="4">
                  <c:v>DESNZ</c:v>
                </c:pt>
                <c:pt idx="5">
                  <c:v>DfT</c:v>
                </c:pt>
                <c:pt idx="6">
                  <c:v>DHSC</c:v>
                </c:pt>
                <c:pt idx="7">
                  <c:v>DLUHC</c:v>
                </c:pt>
                <c:pt idx="8">
                  <c:v>DSIT</c:v>
                </c:pt>
                <c:pt idx="9">
                  <c:v>FCDO</c:v>
                </c:pt>
                <c:pt idx="10">
                  <c:v>HMT</c:v>
                </c:pt>
                <c:pt idx="11">
                  <c:v>MoJ</c:v>
                </c:pt>
              </c:strCache>
            </c:strRef>
          </c:cat>
          <c:val>
            <c:numRef>
              <c:f>Graphs!$C$98:$N$98</c:f>
              <c:numCache>
                <c:formatCode>0%</c:formatCode>
                <c:ptCount val="12"/>
                <c:pt idx="0">
                  <c:v>0</c:v>
                </c:pt>
                <c:pt idx="1">
                  <c:v>0.17948717948717949</c:v>
                </c:pt>
                <c:pt idx="2">
                  <c:v>0</c:v>
                </c:pt>
                <c:pt idx="3">
                  <c:v>0.25925925925925924</c:v>
                </c:pt>
                <c:pt idx="4">
                  <c:v>0.30555555555555558</c:v>
                </c:pt>
                <c:pt idx="5">
                  <c:v>0.23529411764705882</c:v>
                </c:pt>
                <c:pt idx="6">
                  <c:v>0.5714285714285714</c:v>
                </c:pt>
                <c:pt idx="7">
                  <c:v>0.41176470588235292</c:v>
                </c:pt>
                <c:pt idx="8">
                  <c:v>0.38461538461538464</c:v>
                </c:pt>
                <c:pt idx="9">
                  <c:v>0.1</c:v>
                </c:pt>
                <c:pt idx="10">
                  <c:v>0.125</c:v>
                </c:pt>
                <c:pt idx="11">
                  <c:v>0.5</c:v>
                </c:pt>
              </c:numCache>
            </c:numRef>
          </c:val>
          <c:extLst>
            <c:ext xmlns:c16="http://schemas.microsoft.com/office/drawing/2014/chart" uri="{C3380CC4-5D6E-409C-BE32-E72D297353CC}">
              <c16:uniqueId val="{00000001-4D5E-4C68-9850-A8AAEA02137A}"/>
            </c:ext>
          </c:extLst>
        </c:ser>
        <c:ser>
          <c:idx val="2"/>
          <c:order val="2"/>
          <c:tx>
            <c:strRef>
              <c:f>Graphs!$B$99</c:f>
              <c:strCache>
                <c:ptCount val="1"/>
                <c:pt idx="0">
                  <c:v>Minimally addressed</c:v>
                </c:pt>
              </c:strCache>
            </c:strRef>
          </c:tx>
          <c:spPr>
            <a:solidFill>
              <a:schemeClr val="accent1"/>
            </a:solidFill>
            <a:ln>
              <a:noFill/>
            </a:ln>
            <a:effectLst/>
          </c:spPr>
          <c:invertIfNegative val="0"/>
          <c:cat>
            <c:strRef>
              <c:f>Graphs!$C$96:$N$96</c:f>
              <c:strCache>
                <c:ptCount val="12"/>
                <c:pt idx="0">
                  <c:v>Cross-government</c:v>
                </c:pt>
                <c:pt idx="1">
                  <c:v>DBT</c:v>
                </c:pt>
                <c:pt idx="2">
                  <c:v>DCMS</c:v>
                </c:pt>
                <c:pt idx="3">
                  <c:v>Defra</c:v>
                </c:pt>
                <c:pt idx="4">
                  <c:v>DESNZ</c:v>
                </c:pt>
                <c:pt idx="5">
                  <c:v>DfT</c:v>
                </c:pt>
                <c:pt idx="6">
                  <c:v>DHSC</c:v>
                </c:pt>
                <c:pt idx="7">
                  <c:v>DLUHC</c:v>
                </c:pt>
                <c:pt idx="8">
                  <c:v>DSIT</c:v>
                </c:pt>
                <c:pt idx="9">
                  <c:v>FCDO</c:v>
                </c:pt>
                <c:pt idx="10">
                  <c:v>HMT</c:v>
                </c:pt>
                <c:pt idx="11">
                  <c:v>MoJ</c:v>
                </c:pt>
              </c:strCache>
            </c:strRef>
          </c:cat>
          <c:val>
            <c:numRef>
              <c:f>Graphs!$C$99:$N$99</c:f>
              <c:numCache>
                <c:formatCode>0%</c:formatCode>
                <c:ptCount val="12"/>
                <c:pt idx="0">
                  <c:v>1</c:v>
                </c:pt>
                <c:pt idx="1">
                  <c:v>0.35897435897435898</c:v>
                </c:pt>
                <c:pt idx="2">
                  <c:v>0.5</c:v>
                </c:pt>
                <c:pt idx="3">
                  <c:v>0.35555555555555557</c:v>
                </c:pt>
                <c:pt idx="4">
                  <c:v>0.47222222222222221</c:v>
                </c:pt>
                <c:pt idx="5">
                  <c:v>0.52941176470588236</c:v>
                </c:pt>
                <c:pt idx="6">
                  <c:v>0.2857142857142857</c:v>
                </c:pt>
                <c:pt idx="7">
                  <c:v>0.35294117647058826</c:v>
                </c:pt>
                <c:pt idx="8">
                  <c:v>0.53846153846153844</c:v>
                </c:pt>
                <c:pt idx="9">
                  <c:v>0.5</c:v>
                </c:pt>
                <c:pt idx="10">
                  <c:v>0.375</c:v>
                </c:pt>
                <c:pt idx="11">
                  <c:v>0</c:v>
                </c:pt>
              </c:numCache>
            </c:numRef>
          </c:val>
          <c:extLst>
            <c:ext xmlns:c16="http://schemas.microsoft.com/office/drawing/2014/chart" uri="{C3380CC4-5D6E-409C-BE32-E72D297353CC}">
              <c16:uniqueId val="{00000002-4D5E-4C68-9850-A8AAEA02137A}"/>
            </c:ext>
          </c:extLst>
        </c:ser>
        <c:ser>
          <c:idx val="3"/>
          <c:order val="3"/>
          <c:tx>
            <c:strRef>
              <c:f>Graphs!$B$100</c:f>
              <c:strCache>
                <c:ptCount val="1"/>
                <c:pt idx="0">
                  <c:v>Recognised but not addressed</c:v>
                </c:pt>
              </c:strCache>
            </c:strRef>
          </c:tx>
          <c:spPr>
            <a:solidFill>
              <a:schemeClr val="accent1">
                <a:shade val="76000"/>
              </a:schemeClr>
            </a:solidFill>
            <a:ln>
              <a:noFill/>
            </a:ln>
            <a:effectLst/>
          </c:spPr>
          <c:invertIfNegative val="0"/>
          <c:cat>
            <c:strRef>
              <c:f>Graphs!$C$96:$N$96</c:f>
              <c:strCache>
                <c:ptCount val="12"/>
                <c:pt idx="0">
                  <c:v>Cross-government</c:v>
                </c:pt>
                <c:pt idx="1">
                  <c:v>DBT</c:v>
                </c:pt>
                <c:pt idx="2">
                  <c:v>DCMS</c:v>
                </c:pt>
                <c:pt idx="3">
                  <c:v>Defra</c:v>
                </c:pt>
                <c:pt idx="4">
                  <c:v>DESNZ</c:v>
                </c:pt>
                <c:pt idx="5">
                  <c:v>DfT</c:v>
                </c:pt>
                <c:pt idx="6">
                  <c:v>DHSC</c:v>
                </c:pt>
                <c:pt idx="7">
                  <c:v>DLUHC</c:v>
                </c:pt>
                <c:pt idx="8">
                  <c:v>DSIT</c:v>
                </c:pt>
                <c:pt idx="9">
                  <c:v>FCDO</c:v>
                </c:pt>
                <c:pt idx="10">
                  <c:v>HMT</c:v>
                </c:pt>
                <c:pt idx="11">
                  <c:v>MoJ</c:v>
                </c:pt>
              </c:strCache>
            </c:strRef>
          </c:cat>
          <c:val>
            <c:numRef>
              <c:f>Graphs!$C$100:$N$100</c:f>
              <c:numCache>
                <c:formatCode>0%</c:formatCode>
                <c:ptCount val="12"/>
                <c:pt idx="0">
                  <c:v>0</c:v>
                </c:pt>
                <c:pt idx="1">
                  <c:v>0.12820512820512819</c:v>
                </c:pt>
                <c:pt idx="2">
                  <c:v>0</c:v>
                </c:pt>
                <c:pt idx="3">
                  <c:v>0.14074074074074075</c:v>
                </c:pt>
                <c:pt idx="4">
                  <c:v>8.3333333333333329E-2</c:v>
                </c:pt>
                <c:pt idx="5">
                  <c:v>5.8823529411764705E-2</c:v>
                </c:pt>
                <c:pt idx="6">
                  <c:v>0</c:v>
                </c:pt>
                <c:pt idx="7">
                  <c:v>5.8823529411764705E-2</c:v>
                </c:pt>
                <c:pt idx="8">
                  <c:v>0</c:v>
                </c:pt>
                <c:pt idx="9">
                  <c:v>0.3</c:v>
                </c:pt>
                <c:pt idx="10">
                  <c:v>0.25</c:v>
                </c:pt>
                <c:pt idx="11">
                  <c:v>0.5</c:v>
                </c:pt>
              </c:numCache>
            </c:numRef>
          </c:val>
          <c:extLst>
            <c:ext xmlns:c16="http://schemas.microsoft.com/office/drawing/2014/chart" uri="{C3380CC4-5D6E-409C-BE32-E72D297353CC}">
              <c16:uniqueId val="{00000003-4D5E-4C68-9850-A8AAEA02137A}"/>
            </c:ext>
          </c:extLst>
        </c:ser>
        <c:ser>
          <c:idx val="4"/>
          <c:order val="4"/>
          <c:tx>
            <c:strRef>
              <c:f>Graphs!$B$101</c:f>
              <c:strCache>
                <c:ptCount val="1"/>
                <c:pt idx="0">
                  <c:v>Not addressed</c:v>
                </c:pt>
              </c:strCache>
            </c:strRef>
          </c:tx>
          <c:spPr>
            <a:solidFill>
              <a:schemeClr val="accent1">
                <a:shade val="53000"/>
              </a:schemeClr>
            </a:solidFill>
            <a:ln>
              <a:noFill/>
            </a:ln>
            <a:effectLst/>
          </c:spPr>
          <c:invertIfNegative val="0"/>
          <c:cat>
            <c:strRef>
              <c:f>Graphs!$C$96:$N$96</c:f>
              <c:strCache>
                <c:ptCount val="12"/>
                <c:pt idx="0">
                  <c:v>Cross-government</c:v>
                </c:pt>
                <c:pt idx="1">
                  <c:v>DBT</c:v>
                </c:pt>
                <c:pt idx="2">
                  <c:v>DCMS</c:v>
                </c:pt>
                <c:pt idx="3">
                  <c:v>Defra</c:v>
                </c:pt>
                <c:pt idx="4">
                  <c:v>DESNZ</c:v>
                </c:pt>
                <c:pt idx="5">
                  <c:v>DfT</c:v>
                </c:pt>
                <c:pt idx="6">
                  <c:v>DHSC</c:v>
                </c:pt>
                <c:pt idx="7">
                  <c:v>DLUHC</c:v>
                </c:pt>
                <c:pt idx="8">
                  <c:v>DSIT</c:v>
                </c:pt>
                <c:pt idx="9">
                  <c:v>FCDO</c:v>
                </c:pt>
                <c:pt idx="10">
                  <c:v>HMT</c:v>
                </c:pt>
                <c:pt idx="11">
                  <c:v>MoJ</c:v>
                </c:pt>
              </c:strCache>
            </c:strRef>
          </c:cat>
          <c:val>
            <c:numRef>
              <c:f>Graphs!$C$101:$N$101</c:f>
              <c:numCache>
                <c:formatCode>0%</c:formatCode>
                <c:ptCount val="12"/>
                <c:pt idx="0">
                  <c:v>0</c:v>
                </c:pt>
                <c:pt idx="1">
                  <c:v>0.30769230769230771</c:v>
                </c:pt>
                <c:pt idx="2">
                  <c:v>0</c:v>
                </c:pt>
                <c:pt idx="3">
                  <c:v>0.17037037037037037</c:v>
                </c:pt>
                <c:pt idx="4">
                  <c:v>0.1388888888888889</c:v>
                </c:pt>
                <c:pt idx="5">
                  <c:v>0.11764705882352941</c:v>
                </c:pt>
                <c:pt idx="6">
                  <c:v>0</c:v>
                </c:pt>
                <c:pt idx="7">
                  <c:v>0.17647058823529413</c:v>
                </c:pt>
                <c:pt idx="8">
                  <c:v>7.6923076923076927E-2</c:v>
                </c:pt>
                <c:pt idx="9">
                  <c:v>0.1</c:v>
                </c:pt>
                <c:pt idx="10">
                  <c:v>0.25</c:v>
                </c:pt>
                <c:pt idx="11">
                  <c:v>0</c:v>
                </c:pt>
              </c:numCache>
            </c:numRef>
          </c:val>
          <c:extLst>
            <c:ext xmlns:c16="http://schemas.microsoft.com/office/drawing/2014/chart" uri="{C3380CC4-5D6E-409C-BE32-E72D297353CC}">
              <c16:uniqueId val="{00000004-4D5E-4C68-9850-A8AAEA02137A}"/>
            </c:ext>
          </c:extLst>
        </c:ser>
        <c:dLbls>
          <c:showLegendKey val="0"/>
          <c:showVal val="0"/>
          <c:showCatName val="0"/>
          <c:showSerName val="0"/>
          <c:showPercent val="0"/>
          <c:showBubbleSize val="0"/>
        </c:dLbls>
        <c:gapWidth val="219"/>
        <c:overlap val="100"/>
        <c:axId val="2072825712"/>
        <c:axId val="2124857088"/>
      </c:barChart>
      <c:catAx>
        <c:axId val="2072825712"/>
        <c:scaling>
          <c:orientation val="minMax"/>
        </c:scaling>
        <c:delete val="0"/>
        <c:axPos val="b"/>
        <c:title>
          <c:tx>
            <c:rich>
              <a:bodyPr rot="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r>
                  <a:rPr lang="en-GB" b="1"/>
                  <a:t>Government</a:t>
                </a:r>
                <a:r>
                  <a:rPr lang="en-GB" b="1" baseline="0"/>
                  <a:t> department</a:t>
                </a:r>
                <a:endParaRPr lang="en-GB" b="1"/>
              </a:p>
            </c:rich>
          </c:tx>
          <c:layout>
            <c:manualLayout>
              <c:xMode val="edge"/>
              <c:yMode val="edge"/>
              <c:x val="0.38763556828123757"/>
              <c:y val="0.76074846879727742"/>
            </c:manualLayout>
          </c:layout>
          <c:overlay val="0"/>
          <c:spPr>
            <a:noFill/>
            <a:ln>
              <a:noFill/>
            </a:ln>
            <a:effectLst/>
          </c:spPr>
          <c:txPr>
            <a:bodyPr rot="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24857088"/>
        <c:crosses val="autoZero"/>
        <c:auto val="1"/>
        <c:lblAlgn val="ctr"/>
        <c:lblOffset val="100"/>
        <c:noMultiLvlLbl val="0"/>
      </c:catAx>
      <c:valAx>
        <c:axId val="2124857088"/>
        <c:scaling>
          <c:orientation val="minMax"/>
          <c:max val="1"/>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r>
                  <a:rPr lang="en-GB" b="1"/>
                  <a:t>%</a:t>
                </a:r>
                <a:r>
                  <a:rPr lang="en-GB" b="1" baseline="0"/>
                  <a:t> of actions</a:t>
                </a:r>
                <a:endParaRPr lang="en-GB" b="1"/>
              </a:p>
            </c:rich>
          </c:tx>
          <c:overlay val="0"/>
          <c:spPr>
            <a:noFill/>
            <a:ln>
              <a:noFill/>
            </a:ln>
            <a:effectLst/>
          </c:spPr>
          <c:txPr>
            <a:bodyPr rot="-540000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endParaRPr lang="en-US"/>
            </a:p>
          </c:txPr>
        </c:title>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72825712"/>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a:t>Natural Environment</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pieChart>
        <c:varyColors val="1"/>
        <c:ser>
          <c:idx val="0"/>
          <c:order val="0"/>
          <c:dPt>
            <c:idx val="0"/>
            <c:bubble3D val="0"/>
            <c:spPr>
              <a:solidFill>
                <a:schemeClr val="accent1">
                  <a:tint val="54000"/>
                </a:schemeClr>
              </a:solidFill>
              <a:ln w="19050">
                <a:solidFill>
                  <a:schemeClr val="lt1"/>
                </a:solidFill>
              </a:ln>
              <a:effectLst/>
            </c:spPr>
            <c:extLst>
              <c:ext xmlns:c16="http://schemas.microsoft.com/office/drawing/2014/chart" uri="{C3380CC4-5D6E-409C-BE32-E72D297353CC}">
                <c16:uniqueId val="{00000001-ADD9-42CA-A466-6EF9641C8344}"/>
              </c:ext>
            </c:extLst>
          </c:dPt>
          <c:dPt>
            <c:idx val="1"/>
            <c:bubble3D val="0"/>
            <c:spPr>
              <a:solidFill>
                <a:schemeClr val="accent1">
                  <a:tint val="77000"/>
                </a:schemeClr>
              </a:solidFill>
              <a:ln w="19050">
                <a:solidFill>
                  <a:schemeClr val="lt1"/>
                </a:solidFill>
              </a:ln>
              <a:effectLst/>
            </c:spPr>
            <c:extLst>
              <c:ext xmlns:c16="http://schemas.microsoft.com/office/drawing/2014/chart" uri="{C3380CC4-5D6E-409C-BE32-E72D297353CC}">
                <c16:uniqueId val="{00000003-ADD9-42CA-A466-6EF9641C8344}"/>
              </c:ext>
            </c:extLst>
          </c:dPt>
          <c:dPt>
            <c:idx val="2"/>
            <c:bubble3D val="0"/>
            <c:spPr>
              <a:solidFill>
                <a:schemeClr val="accent1"/>
              </a:solidFill>
              <a:ln w="19050">
                <a:solidFill>
                  <a:schemeClr val="lt1"/>
                </a:solidFill>
              </a:ln>
              <a:effectLst/>
            </c:spPr>
            <c:extLst>
              <c:ext xmlns:c16="http://schemas.microsoft.com/office/drawing/2014/chart" uri="{C3380CC4-5D6E-409C-BE32-E72D297353CC}">
                <c16:uniqueId val="{00000005-ADD9-42CA-A466-6EF9641C8344}"/>
              </c:ext>
            </c:extLst>
          </c:dPt>
          <c:dPt>
            <c:idx val="3"/>
            <c:bubble3D val="0"/>
            <c:spPr>
              <a:solidFill>
                <a:schemeClr val="accent1">
                  <a:shade val="76000"/>
                </a:schemeClr>
              </a:solidFill>
              <a:ln w="19050">
                <a:solidFill>
                  <a:schemeClr val="lt1"/>
                </a:solidFill>
              </a:ln>
              <a:effectLst/>
            </c:spPr>
            <c:extLst>
              <c:ext xmlns:c16="http://schemas.microsoft.com/office/drawing/2014/chart" uri="{C3380CC4-5D6E-409C-BE32-E72D297353CC}">
                <c16:uniqueId val="{00000007-ADD9-42CA-A466-6EF9641C8344}"/>
              </c:ext>
            </c:extLst>
          </c:dPt>
          <c:dPt>
            <c:idx val="4"/>
            <c:bubble3D val="0"/>
            <c:spPr>
              <a:solidFill>
                <a:schemeClr val="accent1">
                  <a:shade val="53000"/>
                </a:schemeClr>
              </a:solidFill>
              <a:ln w="19050">
                <a:solidFill>
                  <a:schemeClr val="lt1"/>
                </a:solidFill>
              </a:ln>
              <a:effectLst/>
            </c:spPr>
            <c:extLst>
              <c:ext xmlns:c16="http://schemas.microsoft.com/office/drawing/2014/chart" uri="{C3380CC4-5D6E-409C-BE32-E72D297353CC}">
                <c16:uniqueId val="{00000009-ADD9-42CA-A466-6EF9641C8344}"/>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Graphs!$B$39:$B$43</c:f>
              <c:strCache>
                <c:ptCount val="5"/>
                <c:pt idx="0">
                  <c:v>Fully addressed</c:v>
                </c:pt>
                <c:pt idx="1">
                  <c:v>Significantly addressed</c:v>
                </c:pt>
                <c:pt idx="2">
                  <c:v>Minimally addressed</c:v>
                </c:pt>
                <c:pt idx="3">
                  <c:v>Recognised but not addressed</c:v>
                </c:pt>
                <c:pt idx="4">
                  <c:v>Not addressed</c:v>
                </c:pt>
              </c:strCache>
            </c:strRef>
          </c:cat>
          <c:val>
            <c:numRef>
              <c:f>Graphs!$C$39:$C$43</c:f>
              <c:numCache>
                <c:formatCode>General</c:formatCode>
                <c:ptCount val="5"/>
                <c:pt idx="0">
                  <c:v>7</c:v>
                </c:pt>
                <c:pt idx="1">
                  <c:v>24</c:v>
                </c:pt>
                <c:pt idx="2">
                  <c:v>29</c:v>
                </c:pt>
                <c:pt idx="3">
                  <c:v>12</c:v>
                </c:pt>
                <c:pt idx="4">
                  <c:v>13</c:v>
                </c:pt>
              </c:numCache>
            </c:numRef>
          </c:val>
          <c:extLst>
            <c:ext xmlns:c16="http://schemas.microsoft.com/office/drawing/2014/chart" uri="{C3380CC4-5D6E-409C-BE32-E72D297353CC}">
              <c16:uniqueId val="{00000000-22F6-4D18-B15A-7F7FDA98D91D}"/>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28575" cap="flat" cmpd="sng" algn="ctr">
      <a:solidFill>
        <a:srgbClr val="56B343"/>
      </a:solidFill>
      <a:round/>
    </a:ln>
    <a:effectLst/>
  </c:spPr>
  <c:txPr>
    <a:bodyPr/>
    <a:lstStyle/>
    <a:p>
      <a:pPr>
        <a:defRPr/>
      </a:pPr>
      <a:endParaRPr lang="en-US"/>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a:t>Infrastructure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pieChart>
        <c:varyColors val="1"/>
        <c:ser>
          <c:idx val="0"/>
          <c:order val="0"/>
          <c:dPt>
            <c:idx val="0"/>
            <c:bubble3D val="0"/>
            <c:spPr>
              <a:solidFill>
                <a:schemeClr val="accent1">
                  <a:tint val="54000"/>
                </a:schemeClr>
              </a:solidFill>
              <a:ln w="19050">
                <a:solidFill>
                  <a:schemeClr val="lt1"/>
                </a:solidFill>
              </a:ln>
              <a:effectLst/>
            </c:spPr>
            <c:extLst>
              <c:ext xmlns:c16="http://schemas.microsoft.com/office/drawing/2014/chart" uri="{C3380CC4-5D6E-409C-BE32-E72D297353CC}">
                <c16:uniqueId val="{00000001-F039-4D38-A95E-17F09202BE89}"/>
              </c:ext>
            </c:extLst>
          </c:dPt>
          <c:dPt>
            <c:idx val="1"/>
            <c:bubble3D val="0"/>
            <c:spPr>
              <a:solidFill>
                <a:schemeClr val="accent1">
                  <a:tint val="77000"/>
                </a:schemeClr>
              </a:solidFill>
              <a:ln w="19050">
                <a:solidFill>
                  <a:schemeClr val="lt1"/>
                </a:solidFill>
              </a:ln>
              <a:effectLst/>
            </c:spPr>
            <c:extLst>
              <c:ext xmlns:c16="http://schemas.microsoft.com/office/drawing/2014/chart" uri="{C3380CC4-5D6E-409C-BE32-E72D297353CC}">
                <c16:uniqueId val="{00000003-F039-4D38-A95E-17F09202BE89}"/>
              </c:ext>
            </c:extLst>
          </c:dPt>
          <c:dPt>
            <c:idx val="2"/>
            <c:bubble3D val="0"/>
            <c:spPr>
              <a:solidFill>
                <a:schemeClr val="accent1"/>
              </a:solidFill>
              <a:ln w="19050">
                <a:solidFill>
                  <a:schemeClr val="lt1"/>
                </a:solidFill>
              </a:ln>
              <a:effectLst/>
            </c:spPr>
            <c:extLst>
              <c:ext xmlns:c16="http://schemas.microsoft.com/office/drawing/2014/chart" uri="{C3380CC4-5D6E-409C-BE32-E72D297353CC}">
                <c16:uniqueId val="{00000005-F039-4D38-A95E-17F09202BE89}"/>
              </c:ext>
            </c:extLst>
          </c:dPt>
          <c:dPt>
            <c:idx val="3"/>
            <c:bubble3D val="0"/>
            <c:spPr>
              <a:solidFill>
                <a:schemeClr val="accent1">
                  <a:shade val="76000"/>
                </a:schemeClr>
              </a:solidFill>
              <a:ln w="19050">
                <a:solidFill>
                  <a:schemeClr val="lt1"/>
                </a:solidFill>
              </a:ln>
              <a:effectLst/>
            </c:spPr>
            <c:extLst>
              <c:ext xmlns:c16="http://schemas.microsoft.com/office/drawing/2014/chart" uri="{C3380CC4-5D6E-409C-BE32-E72D297353CC}">
                <c16:uniqueId val="{00000007-F039-4D38-A95E-17F09202BE89}"/>
              </c:ext>
            </c:extLst>
          </c:dPt>
          <c:dPt>
            <c:idx val="4"/>
            <c:bubble3D val="0"/>
            <c:spPr>
              <a:solidFill>
                <a:schemeClr val="accent1">
                  <a:shade val="53000"/>
                </a:schemeClr>
              </a:solidFill>
              <a:ln w="19050">
                <a:solidFill>
                  <a:schemeClr val="lt1"/>
                </a:solidFill>
              </a:ln>
              <a:effectLst/>
            </c:spPr>
            <c:extLst>
              <c:ext xmlns:c16="http://schemas.microsoft.com/office/drawing/2014/chart" uri="{C3380CC4-5D6E-409C-BE32-E72D297353CC}">
                <c16:uniqueId val="{00000009-F039-4D38-A95E-17F09202BE89}"/>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Graphs!$B$47:$B$51</c:f>
              <c:strCache>
                <c:ptCount val="5"/>
                <c:pt idx="0">
                  <c:v>Fully addressed</c:v>
                </c:pt>
                <c:pt idx="1">
                  <c:v>Significantly addressed</c:v>
                </c:pt>
                <c:pt idx="2">
                  <c:v>Minimally addressed</c:v>
                </c:pt>
                <c:pt idx="3">
                  <c:v>Recognised but not addressed</c:v>
                </c:pt>
                <c:pt idx="4">
                  <c:v>Not addressed</c:v>
                </c:pt>
              </c:strCache>
            </c:strRef>
          </c:cat>
          <c:val>
            <c:numRef>
              <c:f>Graphs!$C$47:$C$51</c:f>
              <c:numCache>
                <c:formatCode>General</c:formatCode>
                <c:ptCount val="5"/>
                <c:pt idx="0">
                  <c:v>3</c:v>
                </c:pt>
                <c:pt idx="1">
                  <c:v>15</c:v>
                </c:pt>
                <c:pt idx="2">
                  <c:v>16</c:v>
                </c:pt>
                <c:pt idx="3">
                  <c:v>5</c:v>
                </c:pt>
                <c:pt idx="4">
                  <c:v>6</c:v>
                </c:pt>
              </c:numCache>
            </c:numRef>
          </c:val>
          <c:extLst>
            <c:ext xmlns:c16="http://schemas.microsoft.com/office/drawing/2014/chart" uri="{C3380CC4-5D6E-409C-BE32-E72D297353CC}">
              <c16:uniqueId val="{00000000-1ADE-41EB-B166-47CE1A727EEB}"/>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28575" cap="flat" cmpd="sng" algn="ctr">
      <a:solidFill>
        <a:srgbClr val="E3513D"/>
      </a:solidFill>
      <a:round/>
    </a:ln>
    <a:effectLst/>
  </c:spPr>
  <c:txPr>
    <a:bodyPr/>
    <a:lstStyle/>
    <a:p>
      <a:pPr>
        <a:defRPr/>
      </a:pPr>
      <a:endParaRPr lang="en-US"/>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a:t>Health, Communities &amp; Built Environment</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pieChart>
        <c:varyColors val="1"/>
        <c:ser>
          <c:idx val="0"/>
          <c:order val="0"/>
          <c:dPt>
            <c:idx val="0"/>
            <c:bubble3D val="0"/>
            <c:spPr>
              <a:solidFill>
                <a:schemeClr val="accent1">
                  <a:tint val="54000"/>
                </a:schemeClr>
              </a:solidFill>
              <a:ln w="19050">
                <a:solidFill>
                  <a:schemeClr val="lt1"/>
                </a:solidFill>
              </a:ln>
              <a:effectLst/>
            </c:spPr>
            <c:extLst>
              <c:ext xmlns:c16="http://schemas.microsoft.com/office/drawing/2014/chart" uri="{C3380CC4-5D6E-409C-BE32-E72D297353CC}">
                <c16:uniqueId val="{00000001-3C71-4FCD-93E8-711614ECB44D}"/>
              </c:ext>
            </c:extLst>
          </c:dPt>
          <c:dPt>
            <c:idx val="1"/>
            <c:bubble3D val="0"/>
            <c:spPr>
              <a:solidFill>
                <a:schemeClr val="accent1">
                  <a:tint val="77000"/>
                </a:schemeClr>
              </a:solidFill>
              <a:ln w="19050">
                <a:solidFill>
                  <a:schemeClr val="lt1"/>
                </a:solidFill>
              </a:ln>
              <a:effectLst/>
            </c:spPr>
            <c:extLst>
              <c:ext xmlns:c16="http://schemas.microsoft.com/office/drawing/2014/chart" uri="{C3380CC4-5D6E-409C-BE32-E72D297353CC}">
                <c16:uniqueId val="{00000003-3C71-4FCD-93E8-711614ECB44D}"/>
              </c:ext>
            </c:extLst>
          </c:dPt>
          <c:dPt>
            <c:idx val="2"/>
            <c:bubble3D val="0"/>
            <c:spPr>
              <a:solidFill>
                <a:schemeClr val="accent1"/>
              </a:solidFill>
              <a:ln w="19050">
                <a:solidFill>
                  <a:schemeClr val="lt1"/>
                </a:solidFill>
              </a:ln>
              <a:effectLst/>
            </c:spPr>
            <c:extLst>
              <c:ext xmlns:c16="http://schemas.microsoft.com/office/drawing/2014/chart" uri="{C3380CC4-5D6E-409C-BE32-E72D297353CC}">
                <c16:uniqueId val="{00000005-3C71-4FCD-93E8-711614ECB44D}"/>
              </c:ext>
            </c:extLst>
          </c:dPt>
          <c:dPt>
            <c:idx val="3"/>
            <c:bubble3D val="0"/>
            <c:spPr>
              <a:solidFill>
                <a:schemeClr val="accent1">
                  <a:shade val="76000"/>
                </a:schemeClr>
              </a:solidFill>
              <a:ln w="19050">
                <a:solidFill>
                  <a:schemeClr val="lt1"/>
                </a:solidFill>
              </a:ln>
              <a:effectLst/>
            </c:spPr>
            <c:extLst>
              <c:ext xmlns:c16="http://schemas.microsoft.com/office/drawing/2014/chart" uri="{C3380CC4-5D6E-409C-BE32-E72D297353CC}">
                <c16:uniqueId val="{00000007-3C71-4FCD-93E8-711614ECB44D}"/>
              </c:ext>
            </c:extLst>
          </c:dPt>
          <c:dPt>
            <c:idx val="4"/>
            <c:bubble3D val="0"/>
            <c:spPr>
              <a:solidFill>
                <a:schemeClr val="accent1">
                  <a:shade val="53000"/>
                </a:schemeClr>
              </a:solidFill>
              <a:ln w="19050">
                <a:solidFill>
                  <a:schemeClr val="lt1"/>
                </a:solidFill>
              </a:ln>
              <a:effectLst/>
            </c:spPr>
            <c:extLst>
              <c:ext xmlns:c16="http://schemas.microsoft.com/office/drawing/2014/chart" uri="{C3380CC4-5D6E-409C-BE32-E72D297353CC}">
                <c16:uniqueId val="{00000009-3C71-4FCD-93E8-711614ECB44D}"/>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Graphs!$B$55:$B$59</c:f>
              <c:strCache>
                <c:ptCount val="5"/>
                <c:pt idx="0">
                  <c:v>Fully addressed</c:v>
                </c:pt>
                <c:pt idx="1">
                  <c:v>Significantly addressed</c:v>
                </c:pt>
                <c:pt idx="2">
                  <c:v>Minimally addressed</c:v>
                </c:pt>
                <c:pt idx="3">
                  <c:v>Recognised but not addressed</c:v>
                </c:pt>
                <c:pt idx="4">
                  <c:v>Not addressed</c:v>
                </c:pt>
              </c:strCache>
            </c:strRef>
          </c:cat>
          <c:val>
            <c:numRef>
              <c:f>Graphs!$C$55:$C$59</c:f>
              <c:numCache>
                <c:formatCode>General</c:formatCode>
                <c:ptCount val="5"/>
                <c:pt idx="0">
                  <c:v>3</c:v>
                </c:pt>
                <c:pt idx="1">
                  <c:v>17</c:v>
                </c:pt>
                <c:pt idx="2">
                  <c:v>21</c:v>
                </c:pt>
                <c:pt idx="3">
                  <c:v>5</c:v>
                </c:pt>
                <c:pt idx="4">
                  <c:v>7</c:v>
                </c:pt>
              </c:numCache>
            </c:numRef>
          </c:val>
          <c:extLst>
            <c:ext xmlns:c16="http://schemas.microsoft.com/office/drawing/2014/chart" uri="{C3380CC4-5D6E-409C-BE32-E72D297353CC}">
              <c16:uniqueId val="{00000000-5CD4-4F51-ADB7-F9E0D9713DE3}"/>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28575" cap="flat" cmpd="sng" algn="ctr">
      <a:solidFill>
        <a:srgbClr val="0070C0"/>
      </a:solidFill>
      <a:round/>
    </a:ln>
    <a:effectLst/>
  </c:spPr>
  <c:txPr>
    <a:bodyPr/>
    <a:lstStyle/>
    <a:p>
      <a:pPr>
        <a:defRPr/>
      </a:pPr>
      <a:endParaRPr lang="en-US"/>
    </a:p>
  </c:tx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a:t>Business</a:t>
            </a:r>
            <a:r>
              <a:rPr lang="en-GB" baseline="0"/>
              <a:t> &amp; Industry</a:t>
            </a:r>
            <a:endParaRPr lang="en-GB"/>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pieChart>
        <c:varyColors val="1"/>
        <c:ser>
          <c:idx val="0"/>
          <c:order val="0"/>
          <c:dPt>
            <c:idx val="0"/>
            <c:bubble3D val="0"/>
            <c:spPr>
              <a:solidFill>
                <a:schemeClr val="accent1">
                  <a:tint val="54000"/>
                </a:schemeClr>
              </a:solidFill>
              <a:ln w="19050">
                <a:solidFill>
                  <a:schemeClr val="lt1"/>
                </a:solidFill>
              </a:ln>
              <a:effectLst/>
            </c:spPr>
            <c:extLst>
              <c:ext xmlns:c16="http://schemas.microsoft.com/office/drawing/2014/chart" uri="{C3380CC4-5D6E-409C-BE32-E72D297353CC}">
                <c16:uniqueId val="{00000001-75F9-4155-BAD9-9D1AE4FF6643}"/>
              </c:ext>
            </c:extLst>
          </c:dPt>
          <c:dPt>
            <c:idx val="1"/>
            <c:bubble3D val="0"/>
            <c:spPr>
              <a:solidFill>
                <a:schemeClr val="accent1">
                  <a:tint val="77000"/>
                </a:schemeClr>
              </a:solidFill>
              <a:ln w="19050">
                <a:solidFill>
                  <a:schemeClr val="lt1"/>
                </a:solidFill>
              </a:ln>
              <a:effectLst/>
            </c:spPr>
            <c:extLst>
              <c:ext xmlns:c16="http://schemas.microsoft.com/office/drawing/2014/chart" uri="{C3380CC4-5D6E-409C-BE32-E72D297353CC}">
                <c16:uniqueId val="{00000003-75F9-4155-BAD9-9D1AE4FF6643}"/>
              </c:ext>
            </c:extLst>
          </c:dPt>
          <c:dPt>
            <c:idx val="2"/>
            <c:bubble3D val="0"/>
            <c:spPr>
              <a:solidFill>
                <a:schemeClr val="accent1"/>
              </a:solidFill>
              <a:ln w="19050">
                <a:solidFill>
                  <a:schemeClr val="lt1"/>
                </a:solidFill>
              </a:ln>
              <a:effectLst/>
            </c:spPr>
            <c:extLst>
              <c:ext xmlns:c16="http://schemas.microsoft.com/office/drawing/2014/chart" uri="{C3380CC4-5D6E-409C-BE32-E72D297353CC}">
                <c16:uniqueId val="{00000005-75F9-4155-BAD9-9D1AE4FF6643}"/>
              </c:ext>
            </c:extLst>
          </c:dPt>
          <c:dPt>
            <c:idx val="3"/>
            <c:bubble3D val="0"/>
            <c:spPr>
              <a:solidFill>
                <a:schemeClr val="accent1">
                  <a:shade val="76000"/>
                </a:schemeClr>
              </a:solidFill>
              <a:ln w="19050">
                <a:solidFill>
                  <a:schemeClr val="lt1"/>
                </a:solidFill>
              </a:ln>
              <a:effectLst/>
            </c:spPr>
            <c:extLst>
              <c:ext xmlns:c16="http://schemas.microsoft.com/office/drawing/2014/chart" uri="{C3380CC4-5D6E-409C-BE32-E72D297353CC}">
                <c16:uniqueId val="{00000007-75F9-4155-BAD9-9D1AE4FF6643}"/>
              </c:ext>
            </c:extLst>
          </c:dPt>
          <c:dPt>
            <c:idx val="4"/>
            <c:bubble3D val="0"/>
            <c:spPr>
              <a:solidFill>
                <a:schemeClr val="accent1">
                  <a:shade val="53000"/>
                </a:schemeClr>
              </a:solidFill>
              <a:ln w="19050">
                <a:solidFill>
                  <a:schemeClr val="lt1"/>
                </a:solidFill>
              </a:ln>
              <a:effectLst/>
            </c:spPr>
            <c:extLst>
              <c:ext xmlns:c16="http://schemas.microsoft.com/office/drawing/2014/chart" uri="{C3380CC4-5D6E-409C-BE32-E72D297353CC}">
                <c16:uniqueId val="{00000009-75F9-4155-BAD9-9D1AE4FF6643}"/>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Graphs!$B$63:$B$67</c:f>
              <c:strCache>
                <c:ptCount val="5"/>
                <c:pt idx="0">
                  <c:v>Fully addressed</c:v>
                </c:pt>
                <c:pt idx="1">
                  <c:v>Significantly addressed</c:v>
                </c:pt>
                <c:pt idx="2">
                  <c:v>Minimally addressed</c:v>
                </c:pt>
                <c:pt idx="3">
                  <c:v>Recognised but not addressed</c:v>
                </c:pt>
                <c:pt idx="4">
                  <c:v>Not addressed</c:v>
                </c:pt>
              </c:strCache>
            </c:strRef>
          </c:cat>
          <c:val>
            <c:numRef>
              <c:f>Graphs!$C$63:$C$67</c:f>
              <c:numCache>
                <c:formatCode>General</c:formatCode>
                <c:ptCount val="5"/>
                <c:pt idx="0">
                  <c:v>1</c:v>
                </c:pt>
                <c:pt idx="1">
                  <c:v>7</c:v>
                </c:pt>
                <c:pt idx="2">
                  <c:v>16</c:v>
                </c:pt>
                <c:pt idx="3">
                  <c:v>7</c:v>
                </c:pt>
                <c:pt idx="4">
                  <c:v>14</c:v>
                </c:pt>
              </c:numCache>
            </c:numRef>
          </c:val>
          <c:extLst>
            <c:ext xmlns:c16="http://schemas.microsoft.com/office/drawing/2014/chart" uri="{C3380CC4-5D6E-409C-BE32-E72D297353CC}">
              <c16:uniqueId val="{00000000-190E-41FB-A57E-1B3D377D1731}"/>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28575" cap="flat" cmpd="sng" algn="ctr">
      <a:solidFill>
        <a:srgbClr val="A98477"/>
      </a:solidFill>
      <a:round/>
    </a:ln>
    <a:effectLst/>
  </c:spPr>
  <c:txPr>
    <a:bodyPr/>
    <a:lstStyle/>
    <a:p>
      <a:pPr>
        <a:defRPr/>
      </a:pPr>
      <a:endParaRPr lang="en-US"/>
    </a:p>
  </c:tx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a:t>International</a:t>
            </a:r>
            <a:r>
              <a:rPr lang="en-GB" baseline="0"/>
              <a:t> Dimensions</a:t>
            </a:r>
            <a:endParaRPr lang="en-GB"/>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pieChart>
        <c:varyColors val="1"/>
        <c:ser>
          <c:idx val="0"/>
          <c:order val="0"/>
          <c:dPt>
            <c:idx val="0"/>
            <c:bubble3D val="0"/>
            <c:spPr>
              <a:solidFill>
                <a:schemeClr val="accent1">
                  <a:tint val="54000"/>
                </a:schemeClr>
              </a:solidFill>
              <a:ln w="19050">
                <a:solidFill>
                  <a:schemeClr val="lt1"/>
                </a:solidFill>
              </a:ln>
              <a:effectLst/>
            </c:spPr>
            <c:extLst>
              <c:ext xmlns:c16="http://schemas.microsoft.com/office/drawing/2014/chart" uri="{C3380CC4-5D6E-409C-BE32-E72D297353CC}">
                <c16:uniqueId val="{00000001-294D-41CA-89D5-41862251A822}"/>
              </c:ext>
            </c:extLst>
          </c:dPt>
          <c:dPt>
            <c:idx val="1"/>
            <c:bubble3D val="0"/>
            <c:spPr>
              <a:solidFill>
                <a:schemeClr val="accent1">
                  <a:tint val="77000"/>
                </a:schemeClr>
              </a:solidFill>
              <a:ln w="19050">
                <a:solidFill>
                  <a:schemeClr val="lt1"/>
                </a:solidFill>
              </a:ln>
              <a:effectLst/>
            </c:spPr>
            <c:extLst>
              <c:ext xmlns:c16="http://schemas.microsoft.com/office/drawing/2014/chart" uri="{C3380CC4-5D6E-409C-BE32-E72D297353CC}">
                <c16:uniqueId val="{00000003-294D-41CA-89D5-41862251A822}"/>
              </c:ext>
            </c:extLst>
          </c:dPt>
          <c:dPt>
            <c:idx val="2"/>
            <c:bubble3D val="0"/>
            <c:spPr>
              <a:solidFill>
                <a:schemeClr val="accent1"/>
              </a:solidFill>
              <a:ln w="19050">
                <a:solidFill>
                  <a:schemeClr val="lt1"/>
                </a:solidFill>
              </a:ln>
              <a:effectLst/>
            </c:spPr>
            <c:extLst>
              <c:ext xmlns:c16="http://schemas.microsoft.com/office/drawing/2014/chart" uri="{C3380CC4-5D6E-409C-BE32-E72D297353CC}">
                <c16:uniqueId val="{00000005-294D-41CA-89D5-41862251A822}"/>
              </c:ext>
            </c:extLst>
          </c:dPt>
          <c:dPt>
            <c:idx val="3"/>
            <c:bubble3D val="0"/>
            <c:spPr>
              <a:solidFill>
                <a:schemeClr val="accent1">
                  <a:shade val="76000"/>
                </a:schemeClr>
              </a:solidFill>
              <a:ln w="19050">
                <a:solidFill>
                  <a:schemeClr val="lt1"/>
                </a:solidFill>
              </a:ln>
              <a:effectLst/>
            </c:spPr>
            <c:extLst>
              <c:ext xmlns:c16="http://schemas.microsoft.com/office/drawing/2014/chart" uri="{C3380CC4-5D6E-409C-BE32-E72D297353CC}">
                <c16:uniqueId val="{00000007-294D-41CA-89D5-41862251A822}"/>
              </c:ext>
            </c:extLst>
          </c:dPt>
          <c:dPt>
            <c:idx val="4"/>
            <c:bubble3D val="0"/>
            <c:spPr>
              <a:solidFill>
                <a:schemeClr val="accent1">
                  <a:shade val="53000"/>
                </a:schemeClr>
              </a:solidFill>
              <a:ln w="19050">
                <a:solidFill>
                  <a:schemeClr val="lt1"/>
                </a:solidFill>
              </a:ln>
              <a:effectLst/>
            </c:spPr>
            <c:extLst>
              <c:ext xmlns:c16="http://schemas.microsoft.com/office/drawing/2014/chart" uri="{C3380CC4-5D6E-409C-BE32-E72D297353CC}">
                <c16:uniqueId val="{00000009-294D-41CA-89D5-41862251A822}"/>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Graphs!$B$71:$B$75</c:f>
              <c:strCache>
                <c:ptCount val="5"/>
                <c:pt idx="0">
                  <c:v>Fully addressed</c:v>
                </c:pt>
                <c:pt idx="1">
                  <c:v>Significantly addressed</c:v>
                </c:pt>
                <c:pt idx="2">
                  <c:v>Minimally addressed</c:v>
                </c:pt>
                <c:pt idx="3">
                  <c:v>Recognised but not addressed</c:v>
                </c:pt>
                <c:pt idx="4">
                  <c:v>Not addressed</c:v>
                </c:pt>
              </c:strCache>
            </c:strRef>
          </c:cat>
          <c:val>
            <c:numRef>
              <c:f>Graphs!$C$71:$C$75</c:f>
              <c:numCache>
                <c:formatCode>General</c:formatCode>
                <c:ptCount val="5"/>
                <c:pt idx="0">
                  <c:v>1</c:v>
                </c:pt>
                <c:pt idx="1">
                  <c:v>5</c:v>
                </c:pt>
                <c:pt idx="2">
                  <c:v>8</c:v>
                </c:pt>
                <c:pt idx="3">
                  <c:v>6</c:v>
                </c:pt>
                <c:pt idx="4">
                  <c:v>3</c:v>
                </c:pt>
              </c:numCache>
            </c:numRef>
          </c:val>
          <c:extLst>
            <c:ext xmlns:c16="http://schemas.microsoft.com/office/drawing/2014/chart" uri="{C3380CC4-5D6E-409C-BE32-E72D297353CC}">
              <c16:uniqueId val="{00000000-0A81-4E86-A19C-D9B128A1FD81}"/>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28575" cap="flat" cmpd="sng" algn="ctr">
      <a:solidFill>
        <a:schemeClr val="accent3">
          <a:lumMod val="60000"/>
          <a:lumOff val="40000"/>
        </a:schemeClr>
      </a:solidFill>
      <a:round/>
    </a:ln>
    <a:effectLst/>
  </c:spPr>
  <c:txPr>
    <a:bodyPr/>
    <a:lstStyle/>
    <a:p>
      <a:pPr>
        <a:defRPr/>
      </a:pPr>
      <a:endParaRPr lang="en-US"/>
    </a:p>
  </c:txPr>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a:t>Count of actions by urgency score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stacked"/>
        <c:varyColors val="0"/>
        <c:ser>
          <c:idx val="0"/>
          <c:order val="0"/>
          <c:tx>
            <c:strRef>
              <c:f>Graphs!$B$115</c:f>
              <c:strCache>
                <c:ptCount val="1"/>
                <c:pt idx="0">
                  <c:v>Fully addressed</c:v>
                </c:pt>
              </c:strCache>
            </c:strRef>
          </c:tx>
          <c:spPr>
            <a:solidFill>
              <a:schemeClr val="accent1">
                <a:tint val="54000"/>
              </a:schemeClr>
            </a:solidFill>
            <a:ln>
              <a:noFill/>
            </a:ln>
            <a:effectLst/>
          </c:spPr>
          <c:invertIfNegative val="0"/>
          <c:cat>
            <c:strRef>
              <c:f>Graphs!$C$114:$F$114</c:f>
              <c:strCache>
                <c:ptCount val="4"/>
                <c:pt idx="0">
                  <c:v>Further investigation</c:v>
                </c:pt>
                <c:pt idx="1">
                  <c:v>More action needed</c:v>
                </c:pt>
                <c:pt idx="2">
                  <c:v>Sustain current action</c:v>
                </c:pt>
                <c:pt idx="3">
                  <c:v>Watching brief</c:v>
                </c:pt>
              </c:strCache>
            </c:strRef>
          </c:cat>
          <c:val>
            <c:numRef>
              <c:f>Graphs!$C$115:$F$115</c:f>
              <c:numCache>
                <c:formatCode>General</c:formatCode>
                <c:ptCount val="4"/>
                <c:pt idx="0">
                  <c:v>3</c:v>
                </c:pt>
                <c:pt idx="1">
                  <c:v>12</c:v>
                </c:pt>
                <c:pt idx="2">
                  <c:v>0</c:v>
                </c:pt>
                <c:pt idx="3">
                  <c:v>0</c:v>
                </c:pt>
              </c:numCache>
            </c:numRef>
          </c:val>
          <c:extLst>
            <c:ext xmlns:c16="http://schemas.microsoft.com/office/drawing/2014/chart" uri="{C3380CC4-5D6E-409C-BE32-E72D297353CC}">
              <c16:uniqueId val="{00000000-2E6D-4F38-A050-C4F6F4F7A9F3}"/>
            </c:ext>
          </c:extLst>
        </c:ser>
        <c:ser>
          <c:idx val="1"/>
          <c:order val="1"/>
          <c:tx>
            <c:strRef>
              <c:f>Graphs!$B$116</c:f>
              <c:strCache>
                <c:ptCount val="1"/>
                <c:pt idx="0">
                  <c:v>Significantly addressed</c:v>
                </c:pt>
              </c:strCache>
            </c:strRef>
          </c:tx>
          <c:spPr>
            <a:solidFill>
              <a:schemeClr val="accent1">
                <a:tint val="77000"/>
              </a:schemeClr>
            </a:solidFill>
            <a:ln>
              <a:noFill/>
            </a:ln>
            <a:effectLst/>
          </c:spPr>
          <c:invertIfNegative val="0"/>
          <c:cat>
            <c:strRef>
              <c:f>Graphs!$C$114:$F$114</c:f>
              <c:strCache>
                <c:ptCount val="4"/>
                <c:pt idx="0">
                  <c:v>Further investigation</c:v>
                </c:pt>
                <c:pt idx="1">
                  <c:v>More action needed</c:v>
                </c:pt>
                <c:pt idx="2">
                  <c:v>Sustain current action</c:v>
                </c:pt>
                <c:pt idx="3">
                  <c:v>Watching brief</c:v>
                </c:pt>
              </c:strCache>
            </c:strRef>
          </c:cat>
          <c:val>
            <c:numRef>
              <c:f>Graphs!$C$116:$F$116</c:f>
              <c:numCache>
                <c:formatCode>General</c:formatCode>
                <c:ptCount val="4"/>
                <c:pt idx="0">
                  <c:v>15</c:v>
                </c:pt>
                <c:pt idx="1">
                  <c:v>51</c:v>
                </c:pt>
                <c:pt idx="2">
                  <c:v>2</c:v>
                </c:pt>
                <c:pt idx="3">
                  <c:v>0</c:v>
                </c:pt>
              </c:numCache>
            </c:numRef>
          </c:val>
          <c:extLst>
            <c:ext xmlns:c16="http://schemas.microsoft.com/office/drawing/2014/chart" uri="{C3380CC4-5D6E-409C-BE32-E72D297353CC}">
              <c16:uniqueId val="{00000001-2E6D-4F38-A050-C4F6F4F7A9F3}"/>
            </c:ext>
          </c:extLst>
        </c:ser>
        <c:ser>
          <c:idx val="2"/>
          <c:order val="2"/>
          <c:tx>
            <c:strRef>
              <c:f>Graphs!$B$117</c:f>
              <c:strCache>
                <c:ptCount val="1"/>
                <c:pt idx="0">
                  <c:v>Minimally addressed</c:v>
                </c:pt>
              </c:strCache>
            </c:strRef>
          </c:tx>
          <c:spPr>
            <a:solidFill>
              <a:schemeClr val="accent1"/>
            </a:solidFill>
            <a:ln>
              <a:noFill/>
            </a:ln>
            <a:effectLst/>
          </c:spPr>
          <c:invertIfNegative val="0"/>
          <c:cat>
            <c:strRef>
              <c:f>Graphs!$C$114:$F$114</c:f>
              <c:strCache>
                <c:ptCount val="4"/>
                <c:pt idx="0">
                  <c:v>Further investigation</c:v>
                </c:pt>
                <c:pt idx="1">
                  <c:v>More action needed</c:v>
                </c:pt>
                <c:pt idx="2">
                  <c:v>Sustain current action</c:v>
                </c:pt>
                <c:pt idx="3">
                  <c:v>Watching brief</c:v>
                </c:pt>
              </c:strCache>
            </c:strRef>
          </c:cat>
          <c:val>
            <c:numRef>
              <c:f>Graphs!$C$117:$F$117</c:f>
              <c:numCache>
                <c:formatCode>General</c:formatCode>
                <c:ptCount val="4"/>
                <c:pt idx="0">
                  <c:v>29</c:v>
                </c:pt>
                <c:pt idx="1">
                  <c:v>53</c:v>
                </c:pt>
                <c:pt idx="2">
                  <c:v>4</c:v>
                </c:pt>
                <c:pt idx="3">
                  <c:v>4</c:v>
                </c:pt>
              </c:numCache>
            </c:numRef>
          </c:val>
          <c:extLst>
            <c:ext xmlns:c16="http://schemas.microsoft.com/office/drawing/2014/chart" uri="{C3380CC4-5D6E-409C-BE32-E72D297353CC}">
              <c16:uniqueId val="{00000002-2E6D-4F38-A050-C4F6F4F7A9F3}"/>
            </c:ext>
          </c:extLst>
        </c:ser>
        <c:ser>
          <c:idx val="3"/>
          <c:order val="3"/>
          <c:tx>
            <c:strRef>
              <c:f>Graphs!$B$118</c:f>
              <c:strCache>
                <c:ptCount val="1"/>
                <c:pt idx="0">
                  <c:v>Recognised but not addressed</c:v>
                </c:pt>
              </c:strCache>
            </c:strRef>
          </c:tx>
          <c:spPr>
            <a:solidFill>
              <a:schemeClr val="accent1">
                <a:shade val="76000"/>
              </a:schemeClr>
            </a:solidFill>
            <a:ln>
              <a:noFill/>
            </a:ln>
            <a:effectLst/>
          </c:spPr>
          <c:invertIfNegative val="0"/>
          <c:cat>
            <c:strRef>
              <c:f>Graphs!$C$114:$F$114</c:f>
              <c:strCache>
                <c:ptCount val="4"/>
                <c:pt idx="0">
                  <c:v>Further investigation</c:v>
                </c:pt>
                <c:pt idx="1">
                  <c:v>More action needed</c:v>
                </c:pt>
                <c:pt idx="2">
                  <c:v>Sustain current action</c:v>
                </c:pt>
                <c:pt idx="3">
                  <c:v>Watching brief</c:v>
                </c:pt>
              </c:strCache>
            </c:strRef>
          </c:cat>
          <c:val>
            <c:numRef>
              <c:f>Graphs!$C$118:$F$118</c:f>
              <c:numCache>
                <c:formatCode>General</c:formatCode>
                <c:ptCount val="4"/>
                <c:pt idx="0">
                  <c:v>10</c:v>
                </c:pt>
                <c:pt idx="1">
                  <c:v>21</c:v>
                </c:pt>
                <c:pt idx="2">
                  <c:v>3</c:v>
                </c:pt>
                <c:pt idx="3">
                  <c:v>1</c:v>
                </c:pt>
              </c:numCache>
            </c:numRef>
          </c:val>
          <c:extLst>
            <c:ext xmlns:c16="http://schemas.microsoft.com/office/drawing/2014/chart" uri="{C3380CC4-5D6E-409C-BE32-E72D297353CC}">
              <c16:uniqueId val="{00000003-2E6D-4F38-A050-C4F6F4F7A9F3}"/>
            </c:ext>
          </c:extLst>
        </c:ser>
        <c:ser>
          <c:idx val="4"/>
          <c:order val="4"/>
          <c:tx>
            <c:strRef>
              <c:f>Graphs!$B$119</c:f>
              <c:strCache>
                <c:ptCount val="1"/>
                <c:pt idx="0">
                  <c:v>Not addressed</c:v>
                </c:pt>
              </c:strCache>
            </c:strRef>
          </c:tx>
          <c:spPr>
            <a:solidFill>
              <a:schemeClr val="accent1">
                <a:shade val="53000"/>
              </a:schemeClr>
            </a:solidFill>
            <a:ln>
              <a:noFill/>
            </a:ln>
            <a:effectLst/>
          </c:spPr>
          <c:invertIfNegative val="0"/>
          <c:cat>
            <c:strRef>
              <c:f>Graphs!$C$114:$F$114</c:f>
              <c:strCache>
                <c:ptCount val="4"/>
                <c:pt idx="0">
                  <c:v>Further investigation</c:v>
                </c:pt>
                <c:pt idx="1">
                  <c:v>More action needed</c:v>
                </c:pt>
                <c:pt idx="2">
                  <c:v>Sustain current action</c:v>
                </c:pt>
                <c:pt idx="3">
                  <c:v>Watching brief</c:v>
                </c:pt>
              </c:strCache>
            </c:strRef>
          </c:cat>
          <c:val>
            <c:numRef>
              <c:f>Graphs!$C$119:$F$119</c:f>
              <c:numCache>
                <c:formatCode>General</c:formatCode>
                <c:ptCount val="4"/>
                <c:pt idx="0">
                  <c:v>12</c:v>
                </c:pt>
                <c:pt idx="1">
                  <c:v>28</c:v>
                </c:pt>
                <c:pt idx="2">
                  <c:v>2</c:v>
                </c:pt>
                <c:pt idx="3">
                  <c:v>1</c:v>
                </c:pt>
              </c:numCache>
            </c:numRef>
          </c:val>
          <c:extLst>
            <c:ext xmlns:c16="http://schemas.microsoft.com/office/drawing/2014/chart" uri="{C3380CC4-5D6E-409C-BE32-E72D297353CC}">
              <c16:uniqueId val="{00000004-2E6D-4F38-A050-C4F6F4F7A9F3}"/>
            </c:ext>
          </c:extLst>
        </c:ser>
        <c:dLbls>
          <c:showLegendKey val="0"/>
          <c:showVal val="0"/>
          <c:showCatName val="0"/>
          <c:showSerName val="0"/>
          <c:showPercent val="0"/>
          <c:showBubbleSize val="0"/>
        </c:dLbls>
        <c:gapWidth val="150"/>
        <c:overlap val="100"/>
        <c:axId val="1978925744"/>
        <c:axId val="1720033536"/>
      </c:barChart>
      <c:catAx>
        <c:axId val="1978925744"/>
        <c:scaling>
          <c:orientation val="minMax"/>
        </c:scaling>
        <c:delete val="0"/>
        <c:axPos val="b"/>
        <c:title>
          <c:tx>
            <c:rich>
              <a:bodyPr rot="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r>
                  <a:rPr lang="en-GB" b="1"/>
                  <a:t>Urgency score</a:t>
                </a:r>
              </a:p>
            </c:rich>
          </c:tx>
          <c:layout>
            <c:manualLayout>
              <c:xMode val="edge"/>
              <c:yMode val="edge"/>
              <c:x val="0.4743946043629792"/>
              <c:y val="0.82805339817970425"/>
            </c:manualLayout>
          </c:layout>
          <c:overlay val="0"/>
          <c:spPr>
            <a:noFill/>
            <a:ln>
              <a:noFill/>
            </a:ln>
            <a:effectLst/>
          </c:spPr>
          <c:txPr>
            <a:bodyPr rot="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20033536"/>
        <c:crosses val="autoZero"/>
        <c:auto val="1"/>
        <c:lblAlgn val="ctr"/>
        <c:lblOffset val="100"/>
        <c:noMultiLvlLbl val="0"/>
      </c:catAx>
      <c:valAx>
        <c:axId val="1720033536"/>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r>
                  <a:rPr lang="en-GB" b="1"/>
                  <a:t>No. of actions</a:t>
                </a:r>
              </a:p>
            </c:rich>
          </c:tx>
          <c:overlay val="0"/>
          <c:spPr>
            <a:noFill/>
            <a:ln>
              <a:noFill/>
            </a:ln>
            <a:effectLst/>
          </c:spPr>
          <c:txPr>
            <a:bodyPr rot="-540000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78925744"/>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a:t>Percentage</a:t>
            </a:r>
            <a:r>
              <a:rPr lang="en-GB" baseline="0"/>
              <a:t> of actions by urgency score </a:t>
            </a:r>
            <a:endParaRPr lang="en-GB"/>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stacked"/>
        <c:varyColors val="0"/>
        <c:ser>
          <c:idx val="0"/>
          <c:order val="0"/>
          <c:tx>
            <c:strRef>
              <c:f>Graphs!$B$125</c:f>
              <c:strCache>
                <c:ptCount val="1"/>
                <c:pt idx="0">
                  <c:v>Fully addressed</c:v>
                </c:pt>
              </c:strCache>
            </c:strRef>
          </c:tx>
          <c:spPr>
            <a:solidFill>
              <a:schemeClr val="accent1">
                <a:tint val="54000"/>
              </a:schemeClr>
            </a:solidFill>
            <a:ln>
              <a:noFill/>
            </a:ln>
            <a:effectLst/>
          </c:spPr>
          <c:invertIfNegative val="0"/>
          <c:cat>
            <c:strRef>
              <c:f>Graphs!$C$124:$F$124</c:f>
              <c:strCache>
                <c:ptCount val="4"/>
                <c:pt idx="0">
                  <c:v>Further investigation</c:v>
                </c:pt>
                <c:pt idx="1">
                  <c:v>More action needed</c:v>
                </c:pt>
                <c:pt idx="2">
                  <c:v>Sustain current action</c:v>
                </c:pt>
                <c:pt idx="3">
                  <c:v>Watching brief</c:v>
                </c:pt>
              </c:strCache>
            </c:strRef>
          </c:cat>
          <c:val>
            <c:numRef>
              <c:f>Graphs!$C$125:$F$125</c:f>
              <c:numCache>
                <c:formatCode>0%</c:formatCode>
                <c:ptCount val="4"/>
                <c:pt idx="0">
                  <c:v>4.3478260869565216E-2</c:v>
                </c:pt>
                <c:pt idx="1">
                  <c:v>7.2727272727272724E-2</c:v>
                </c:pt>
                <c:pt idx="2">
                  <c:v>0</c:v>
                </c:pt>
                <c:pt idx="3">
                  <c:v>0</c:v>
                </c:pt>
              </c:numCache>
            </c:numRef>
          </c:val>
          <c:extLst>
            <c:ext xmlns:c16="http://schemas.microsoft.com/office/drawing/2014/chart" uri="{C3380CC4-5D6E-409C-BE32-E72D297353CC}">
              <c16:uniqueId val="{00000000-0638-4EF3-BA1C-CBD1691E65F4}"/>
            </c:ext>
          </c:extLst>
        </c:ser>
        <c:ser>
          <c:idx val="1"/>
          <c:order val="1"/>
          <c:tx>
            <c:strRef>
              <c:f>Graphs!$B$126</c:f>
              <c:strCache>
                <c:ptCount val="1"/>
                <c:pt idx="0">
                  <c:v>Significantly addressed</c:v>
                </c:pt>
              </c:strCache>
            </c:strRef>
          </c:tx>
          <c:spPr>
            <a:solidFill>
              <a:schemeClr val="accent1">
                <a:tint val="77000"/>
              </a:schemeClr>
            </a:solidFill>
            <a:ln>
              <a:noFill/>
            </a:ln>
            <a:effectLst/>
          </c:spPr>
          <c:invertIfNegative val="0"/>
          <c:cat>
            <c:strRef>
              <c:f>Graphs!$C$124:$F$124</c:f>
              <c:strCache>
                <c:ptCount val="4"/>
                <c:pt idx="0">
                  <c:v>Further investigation</c:v>
                </c:pt>
                <c:pt idx="1">
                  <c:v>More action needed</c:v>
                </c:pt>
                <c:pt idx="2">
                  <c:v>Sustain current action</c:v>
                </c:pt>
                <c:pt idx="3">
                  <c:v>Watching brief</c:v>
                </c:pt>
              </c:strCache>
            </c:strRef>
          </c:cat>
          <c:val>
            <c:numRef>
              <c:f>Graphs!$C$126:$F$126</c:f>
              <c:numCache>
                <c:formatCode>0%</c:formatCode>
                <c:ptCount val="4"/>
                <c:pt idx="0">
                  <c:v>0.21739130434782608</c:v>
                </c:pt>
                <c:pt idx="1">
                  <c:v>0.30909090909090908</c:v>
                </c:pt>
                <c:pt idx="2">
                  <c:v>0.18181818181818182</c:v>
                </c:pt>
                <c:pt idx="3">
                  <c:v>0</c:v>
                </c:pt>
              </c:numCache>
            </c:numRef>
          </c:val>
          <c:extLst>
            <c:ext xmlns:c16="http://schemas.microsoft.com/office/drawing/2014/chart" uri="{C3380CC4-5D6E-409C-BE32-E72D297353CC}">
              <c16:uniqueId val="{00000001-0638-4EF3-BA1C-CBD1691E65F4}"/>
            </c:ext>
          </c:extLst>
        </c:ser>
        <c:ser>
          <c:idx val="2"/>
          <c:order val="2"/>
          <c:tx>
            <c:strRef>
              <c:f>Graphs!$B$127</c:f>
              <c:strCache>
                <c:ptCount val="1"/>
                <c:pt idx="0">
                  <c:v>Minimally addressed</c:v>
                </c:pt>
              </c:strCache>
            </c:strRef>
          </c:tx>
          <c:spPr>
            <a:solidFill>
              <a:schemeClr val="accent1"/>
            </a:solidFill>
            <a:ln>
              <a:noFill/>
            </a:ln>
            <a:effectLst/>
          </c:spPr>
          <c:invertIfNegative val="0"/>
          <c:cat>
            <c:strRef>
              <c:f>Graphs!$C$124:$F$124</c:f>
              <c:strCache>
                <c:ptCount val="4"/>
                <c:pt idx="0">
                  <c:v>Further investigation</c:v>
                </c:pt>
                <c:pt idx="1">
                  <c:v>More action needed</c:v>
                </c:pt>
                <c:pt idx="2">
                  <c:v>Sustain current action</c:v>
                </c:pt>
                <c:pt idx="3">
                  <c:v>Watching brief</c:v>
                </c:pt>
              </c:strCache>
            </c:strRef>
          </c:cat>
          <c:val>
            <c:numRef>
              <c:f>Graphs!$C$127:$F$127</c:f>
              <c:numCache>
                <c:formatCode>0%</c:formatCode>
                <c:ptCount val="4"/>
                <c:pt idx="0">
                  <c:v>0.42028985507246375</c:v>
                </c:pt>
                <c:pt idx="1">
                  <c:v>0.32121212121212123</c:v>
                </c:pt>
                <c:pt idx="2">
                  <c:v>0.36363636363636365</c:v>
                </c:pt>
                <c:pt idx="3">
                  <c:v>0.66666666666666663</c:v>
                </c:pt>
              </c:numCache>
            </c:numRef>
          </c:val>
          <c:extLst>
            <c:ext xmlns:c16="http://schemas.microsoft.com/office/drawing/2014/chart" uri="{C3380CC4-5D6E-409C-BE32-E72D297353CC}">
              <c16:uniqueId val="{00000002-0638-4EF3-BA1C-CBD1691E65F4}"/>
            </c:ext>
          </c:extLst>
        </c:ser>
        <c:ser>
          <c:idx val="3"/>
          <c:order val="3"/>
          <c:tx>
            <c:strRef>
              <c:f>Graphs!$B$128</c:f>
              <c:strCache>
                <c:ptCount val="1"/>
                <c:pt idx="0">
                  <c:v>Recognised but not addressed</c:v>
                </c:pt>
              </c:strCache>
            </c:strRef>
          </c:tx>
          <c:spPr>
            <a:solidFill>
              <a:schemeClr val="accent1">
                <a:shade val="76000"/>
              </a:schemeClr>
            </a:solidFill>
            <a:ln>
              <a:noFill/>
            </a:ln>
            <a:effectLst/>
          </c:spPr>
          <c:invertIfNegative val="0"/>
          <c:cat>
            <c:strRef>
              <c:f>Graphs!$C$124:$F$124</c:f>
              <c:strCache>
                <c:ptCount val="4"/>
                <c:pt idx="0">
                  <c:v>Further investigation</c:v>
                </c:pt>
                <c:pt idx="1">
                  <c:v>More action needed</c:v>
                </c:pt>
                <c:pt idx="2">
                  <c:v>Sustain current action</c:v>
                </c:pt>
                <c:pt idx="3">
                  <c:v>Watching brief</c:v>
                </c:pt>
              </c:strCache>
            </c:strRef>
          </c:cat>
          <c:val>
            <c:numRef>
              <c:f>Graphs!$C$128:$F$128</c:f>
              <c:numCache>
                <c:formatCode>0%</c:formatCode>
                <c:ptCount val="4"/>
                <c:pt idx="0">
                  <c:v>0.14492753623188406</c:v>
                </c:pt>
                <c:pt idx="1">
                  <c:v>0.12727272727272726</c:v>
                </c:pt>
                <c:pt idx="2">
                  <c:v>0.27272727272727271</c:v>
                </c:pt>
                <c:pt idx="3">
                  <c:v>0.16666666666666666</c:v>
                </c:pt>
              </c:numCache>
            </c:numRef>
          </c:val>
          <c:extLst>
            <c:ext xmlns:c16="http://schemas.microsoft.com/office/drawing/2014/chart" uri="{C3380CC4-5D6E-409C-BE32-E72D297353CC}">
              <c16:uniqueId val="{00000003-0638-4EF3-BA1C-CBD1691E65F4}"/>
            </c:ext>
          </c:extLst>
        </c:ser>
        <c:ser>
          <c:idx val="4"/>
          <c:order val="4"/>
          <c:tx>
            <c:strRef>
              <c:f>Graphs!$B$129</c:f>
              <c:strCache>
                <c:ptCount val="1"/>
                <c:pt idx="0">
                  <c:v>Not addressed</c:v>
                </c:pt>
              </c:strCache>
            </c:strRef>
          </c:tx>
          <c:spPr>
            <a:solidFill>
              <a:schemeClr val="accent1">
                <a:shade val="53000"/>
              </a:schemeClr>
            </a:solidFill>
            <a:ln>
              <a:noFill/>
            </a:ln>
            <a:effectLst/>
          </c:spPr>
          <c:invertIfNegative val="0"/>
          <c:cat>
            <c:strRef>
              <c:f>Graphs!$C$124:$F$124</c:f>
              <c:strCache>
                <c:ptCount val="4"/>
                <c:pt idx="0">
                  <c:v>Further investigation</c:v>
                </c:pt>
                <c:pt idx="1">
                  <c:v>More action needed</c:v>
                </c:pt>
                <c:pt idx="2">
                  <c:v>Sustain current action</c:v>
                </c:pt>
                <c:pt idx="3">
                  <c:v>Watching brief</c:v>
                </c:pt>
              </c:strCache>
            </c:strRef>
          </c:cat>
          <c:val>
            <c:numRef>
              <c:f>Graphs!$C$129:$F$129</c:f>
              <c:numCache>
                <c:formatCode>0%</c:formatCode>
                <c:ptCount val="4"/>
                <c:pt idx="0">
                  <c:v>0.17391304347826086</c:v>
                </c:pt>
                <c:pt idx="1">
                  <c:v>0.16969696969696971</c:v>
                </c:pt>
                <c:pt idx="2">
                  <c:v>0.18181818181818182</c:v>
                </c:pt>
                <c:pt idx="3">
                  <c:v>0.16666666666666666</c:v>
                </c:pt>
              </c:numCache>
            </c:numRef>
          </c:val>
          <c:extLst>
            <c:ext xmlns:c16="http://schemas.microsoft.com/office/drawing/2014/chart" uri="{C3380CC4-5D6E-409C-BE32-E72D297353CC}">
              <c16:uniqueId val="{00000004-0638-4EF3-BA1C-CBD1691E65F4}"/>
            </c:ext>
          </c:extLst>
        </c:ser>
        <c:dLbls>
          <c:showLegendKey val="0"/>
          <c:showVal val="0"/>
          <c:showCatName val="0"/>
          <c:showSerName val="0"/>
          <c:showPercent val="0"/>
          <c:showBubbleSize val="0"/>
        </c:dLbls>
        <c:gapWidth val="150"/>
        <c:overlap val="100"/>
        <c:axId val="306429696"/>
        <c:axId val="119378560"/>
      </c:barChart>
      <c:catAx>
        <c:axId val="306429696"/>
        <c:scaling>
          <c:orientation val="minMax"/>
        </c:scaling>
        <c:delete val="0"/>
        <c:axPos val="b"/>
        <c:title>
          <c:tx>
            <c:rich>
              <a:bodyPr rot="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r>
                  <a:rPr lang="en-GB" b="1"/>
                  <a:t>Urgency score</a:t>
                </a:r>
              </a:p>
            </c:rich>
          </c:tx>
          <c:layout>
            <c:manualLayout>
              <c:xMode val="edge"/>
              <c:yMode val="edge"/>
              <c:x val="0.47229439043124305"/>
              <c:y val="0.83732917969886533"/>
            </c:manualLayout>
          </c:layout>
          <c:overlay val="0"/>
          <c:spPr>
            <a:noFill/>
            <a:ln>
              <a:noFill/>
            </a:ln>
            <a:effectLst/>
          </c:spPr>
          <c:txPr>
            <a:bodyPr rot="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9378560"/>
        <c:crosses val="autoZero"/>
        <c:auto val="1"/>
        <c:lblAlgn val="ctr"/>
        <c:lblOffset val="100"/>
        <c:noMultiLvlLbl val="0"/>
      </c:catAx>
      <c:valAx>
        <c:axId val="119378560"/>
        <c:scaling>
          <c:orientation val="minMax"/>
          <c:max val="1"/>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r>
                  <a:rPr lang="en-GB" b="1"/>
                  <a:t>% of actions</a:t>
                </a:r>
              </a:p>
            </c:rich>
          </c:tx>
          <c:overlay val="0"/>
          <c:spPr>
            <a:noFill/>
            <a:ln>
              <a:noFill/>
            </a:ln>
            <a:effectLst/>
          </c:spPr>
          <c:txPr>
            <a:bodyPr rot="-540000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endParaRPr lang="en-US"/>
            </a:p>
          </c:txPr>
        </c:title>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06429696"/>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a:t>Percentage</a:t>
            </a:r>
            <a:r>
              <a:rPr lang="en-GB" baseline="0"/>
              <a:t> of actions by typology</a:t>
            </a:r>
            <a:endParaRPr lang="en-GB"/>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stacked"/>
        <c:varyColors val="0"/>
        <c:ser>
          <c:idx val="0"/>
          <c:order val="0"/>
          <c:tx>
            <c:strRef>
              <c:f>Graphs!$B$155</c:f>
              <c:strCache>
                <c:ptCount val="1"/>
                <c:pt idx="0">
                  <c:v>Fully addressed</c:v>
                </c:pt>
              </c:strCache>
            </c:strRef>
          </c:tx>
          <c:spPr>
            <a:solidFill>
              <a:schemeClr val="accent1">
                <a:tint val="54000"/>
              </a:schemeClr>
            </a:solidFill>
            <a:ln>
              <a:noFill/>
            </a:ln>
            <a:effectLst/>
          </c:spPr>
          <c:invertIfNegative val="0"/>
          <c:cat>
            <c:strRef>
              <c:f>Graphs!$C$154:$G$154</c:f>
              <c:strCache>
                <c:ptCount val="5"/>
                <c:pt idx="0">
                  <c:v>No and low regret adaptation, including capacity building</c:v>
                </c:pt>
                <c:pt idx="1">
                  <c:v>Climate-smart design, considering uncertainty</c:v>
                </c:pt>
                <c:pt idx="2">
                  <c:v>Early activities to support future adaptation</c:v>
                </c:pt>
                <c:pt idx="3">
                  <c:v>Further investigation</c:v>
                </c:pt>
                <c:pt idx="4">
                  <c:v>Unclear typology noted in text</c:v>
                </c:pt>
              </c:strCache>
            </c:strRef>
          </c:cat>
          <c:val>
            <c:numRef>
              <c:f>Graphs!$C$155:$G$155</c:f>
              <c:numCache>
                <c:formatCode>0%</c:formatCode>
                <c:ptCount val="5"/>
                <c:pt idx="0">
                  <c:v>6.3829787234042548E-2</c:v>
                </c:pt>
                <c:pt idx="1">
                  <c:v>2.0202020202020204E-2</c:v>
                </c:pt>
                <c:pt idx="2">
                  <c:v>0.16666666666666666</c:v>
                </c:pt>
                <c:pt idx="3">
                  <c:v>0.1111111111111111</c:v>
                </c:pt>
                <c:pt idx="4">
                  <c:v>0</c:v>
                </c:pt>
              </c:numCache>
            </c:numRef>
          </c:val>
          <c:extLst>
            <c:ext xmlns:c16="http://schemas.microsoft.com/office/drawing/2014/chart" uri="{C3380CC4-5D6E-409C-BE32-E72D297353CC}">
              <c16:uniqueId val="{00000000-2FD0-492F-9BCE-EEEAB3479317}"/>
            </c:ext>
          </c:extLst>
        </c:ser>
        <c:ser>
          <c:idx val="1"/>
          <c:order val="1"/>
          <c:tx>
            <c:strRef>
              <c:f>Graphs!$B$156</c:f>
              <c:strCache>
                <c:ptCount val="1"/>
                <c:pt idx="0">
                  <c:v>Significantly addressed</c:v>
                </c:pt>
              </c:strCache>
            </c:strRef>
          </c:tx>
          <c:spPr>
            <a:solidFill>
              <a:schemeClr val="accent1">
                <a:tint val="77000"/>
              </a:schemeClr>
            </a:solidFill>
            <a:ln>
              <a:noFill/>
            </a:ln>
            <a:effectLst/>
          </c:spPr>
          <c:invertIfNegative val="0"/>
          <c:cat>
            <c:strRef>
              <c:f>Graphs!$C$154:$G$154</c:f>
              <c:strCache>
                <c:ptCount val="5"/>
                <c:pt idx="0">
                  <c:v>No and low regret adaptation, including capacity building</c:v>
                </c:pt>
                <c:pt idx="1">
                  <c:v>Climate-smart design, considering uncertainty</c:v>
                </c:pt>
                <c:pt idx="2">
                  <c:v>Early activities to support future adaptation</c:v>
                </c:pt>
                <c:pt idx="3">
                  <c:v>Further investigation</c:v>
                </c:pt>
                <c:pt idx="4">
                  <c:v>Unclear typology noted in text</c:v>
                </c:pt>
              </c:strCache>
            </c:strRef>
          </c:cat>
          <c:val>
            <c:numRef>
              <c:f>Graphs!$C$156:$G$156</c:f>
              <c:numCache>
                <c:formatCode>0%</c:formatCode>
                <c:ptCount val="5"/>
                <c:pt idx="0">
                  <c:v>0.25531914893617019</c:v>
                </c:pt>
                <c:pt idx="1">
                  <c:v>0.26262626262626265</c:v>
                </c:pt>
                <c:pt idx="2">
                  <c:v>0.33333333333333331</c:v>
                </c:pt>
                <c:pt idx="3">
                  <c:v>0.31111111111111112</c:v>
                </c:pt>
                <c:pt idx="4">
                  <c:v>0</c:v>
                </c:pt>
              </c:numCache>
            </c:numRef>
          </c:val>
          <c:extLst>
            <c:ext xmlns:c16="http://schemas.microsoft.com/office/drawing/2014/chart" uri="{C3380CC4-5D6E-409C-BE32-E72D297353CC}">
              <c16:uniqueId val="{00000001-2FD0-492F-9BCE-EEEAB3479317}"/>
            </c:ext>
          </c:extLst>
        </c:ser>
        <c:ser>
          <c:idx val="2"/>
          <c:order val="2"/>
          <c:tx>
            <c:strRef>
              <c:f>Graphs!$B$157</c:f>
              <c:strCache>
                <c:ptCount val="1"/>
                <c:pt idx="0">
                  <c:v>Minimally addressed</c:v>
                </c:pt>
              </c:strCache>
            </c:strRef>
          </c:tx>
          <c:spPr>
            <a:solidFill>
              <a:schemeClr val="accent1"/>
            </a:solidFill>
            <a:ln>
              <a:noFill/>
            </a:ln>
            <a:effectLst/>
          </c:spPr>
          <c:invertIfNegative val="0"/>
          <c:cat>
            <c:strRef>
              <c:f>Graphs!$C$154:$G$154</c:f>
              <c:strCache>
                <c:ptCount val="5"/>
                <c:pt idx="0">
                  <c:v>No and low regret adaptation, including capacity building</c:v>
                </c:pt>
                <c:pt idx="1">
                  <c:v>Climate-smart design, considering uncertainty</c:v>
                </c:pt>
                <c:pt idx="2">
                  <c:v>Early activities to support future adaptation</c:v>
                </c:pt>
                <c:pt idx="3">
                  <c:v>Further investigation</c:v>
                </c:pt>
                <c:pt idx="4">
                  <c:v>Unclear typology noted in text</c:v>
                </c:pt>
              </c:strCache>
            </c:strRef>
          </c:cat>
          <c:val>
            <c:numRef>
              <c:f>Graphs!$C$157:$G$157</c:f>
              <c:numCache>
                <c:formatCode>0%</c:formatCode>
                <c:ptCount val="5"/>
                <c:pt idx="0">
                  <c:v>0.38297872340425532</c:v>
                </c:pt>
                <c:pt idx="1">
                  <c:v>0.39393939393939392</c:v>
                </c:pt>
                <c:pt idx="2">
                  <c:v>0.25</c:v>
                </c:pt>
                <c:pt idx="3">
                  <c:v>0.26666666666666666</c:v>
                </c:pt>
                <c:pt idx="4">
                  <c:v>0</c:v>
                </c:pt>
              </c:numCache>
            </c:numRef>
          </c:val>
          <c:extLst>
            <c:ext xmlns:c16="http://schemas.microsoft.com/office/drawing/2014/chart" uri="{C3380CC4-5D6E-409C-BE32-E72D297353CC}">
              <c16:uniqueId val="{00000002-2FD0-492F-9BCE-EEEAB3479317}"/>
            </c:ext>
          </c:extLst>
        </c:ser>
        <c:ser>
          <c:idx val="3"/>
          <c:order val="3"/>
          <c:tx>
            <c:strRef>
              <c:f>Graphs!$B$158</c:f>
              <c:strCache>
                <c:ptCount val="1"/>
                <c:pt idx="0">
                  <c:v>Recognised but not addressed</c:v>
                </c:pt>
              </c:strCache>
            </c:strRef>
          </c:tx>
          <c:spPr>
            <a:solidFill>
              <a:schemeClr val="accent1">
                <a:shade val="76000"/>
              </a:schemeClr>
            </a:solidFill>
            <a:ln>
              <a:noFill/>
            </a:ln>
            <a:effectLst/>
          </c:spPr>
          <c:invertIfNegative val="0"/>
          <c:cat>
            <c:strRef>
              <c:f>Graphs!$C$154:$G$154</c:f>
              <c:strCache>
                <c:ptCount val="5"/>
                <c:pt idx="0">
                  <c:v>No and low regret adaptation, including capacity building</c:v>
                </c:pt>
                <c:pt idx="1">
                  <c:v>Climate-smart design, considering uncertainty</c:v>
                </c:pt>
                <c:pt idx="2">
                  <c:v>Early activities to support future adaptation</c:v>
                </c:pt>
                <c:pt idx="3">
                  <c:v>Further investigation</c:v>
                </c:pt>
                <c:pt idx="4">
                  <c:v>Unclear typology noted in text</c:v>
                </c:pt>
              </c:strCache>
            </c:strRef>
          </c:cat>
          <c:val>
            <c:numRef>
              <c:f>Graphs!$C$158:$G$158</c:f>
              <c:numCache>
                <c:formatCode>0%</c:formatCode>
                <c:ptCount val="5"/>
                <c:pt idx="0">
                  <c:v>0.13829787234042554</c:v>
                </c:pt>
                <c:pt idx="1">
                  <c:v>0.15151515151515152</c:v>
                </c:pt>
                <c:pt idx="2">
                  <c:v>8.3333333333333329E-2</c:v>
                </c:pt>
                <c:pt idx="3">
                  <c:v>0.1111111111111111</c:v>
                </c:pt>
                <c:pt idx="4">
                  <c:v>1</c:v>
                </c:pt>
              </c:numCache>
            </c:numRef>
          </c:val>
          <c:extLst>
            <c:ext xmlns:c16="http://schemas.microsoft.com/office/drawing/2014/chart" uri="{C3380CC4-5D6E-409C-BE32-E72D297353CC}">
              <c16:uniqueId val="{00000003-2FD0-492F-9BCE-EEEAB3479317}"/>
            </c:ext>
          </c:extLst>
        </c:ser>
        <c:ser>
          <c:idx val="4"/>
          <c:order val="4"/>
          <c:tx>
            <c:strRef>
              <c:f>Graphs!$B$159</c:f>
              <c:strCache>
                <c:ptCount val="1"/>
                <c:pt idx="0">
                  <c:v>Not addressed</c:v>
                </c:pt>
              </c:strCache>
            </c:strRef>
          </c:tx>
          <c:spPr>
            <a:solidFill>
              <a:schemeClr val="accent1">
                <a:shade val="53000"/>
              </a:schemeClr>
            </a:solidFill>
            <a:ln>
              <a:noFill/>
            </a:ln>
            <a:effectLst/>
          </c:spPr>
          <c:invertIfNegative val="0"/>
          <c:cat>
            <c:strRef>
              <c:f>Graphs!$C$154:$G$154</c:f>
              <c:strCache>
                <c:ptCount val="5"/>
                <c:pt idx="0">
                  <c:v>No and low regret adaptation, including capacity building</c:v>
                </c:pt>
                <c:pt idx="1">
                  <c:v>Climate-smart design, considering uncertainty</c:v>
                </c:pt>
                <c:pt idx="2">
                  <c:v>Early activities to support future adaptation</c:v>
                </c:pt>
                <c:pt idx="3">
                  <c:v>Further investigation</c:v>
                </c:pt>
                <c:pt idx="4">
                  <c:v>Unclear typology noted in text</c:v>
                </c:pt>
              </c:strCache>
            </c:strRef>
          </c:cat>
          <c:val>
            <c:numRef>
              <c:f>Graphs!$C$159:$G$159</c:f>
              <c:numCache>
                <c:formatCode>0%</c:formatCode>
                <c:ptCount val="5"/>
                <c:pt idx="0">
                  <c:v>0.15957446808510639</c:v>
                </c:pt>
                <c:pt idx="1">
                  <c:v>0.17171717171717171</c:v>
                </c:pt>
                <c:pt idx="2">
                  <c:v>0.16666666666666666</c:v>
                </c:pt>
                <c:pt idx="3">
                  <c:v>0.2</c:v>
                </c:pt>
                <c:pt idx="4">
                  <c:v>0</c:v>
                </c:pt>
              </c:numCache>
            </c:numRef>
          </c:val>
          <c:extLst>
            <c:ext xmlns:c16="http://schemas.microsoft.com/office/drawing/2014/chart" uri="{C3380CC4-5D6E-409C-BE32-E72D297353CC}">
              <c16:uniqueId val="{00000004-2FD0-492F-9BCE-EEEAB3479317}"/>
            </c:ext>
          </c:extLst>
        </c:ser>
        <c:dLbls>
          <c:showLegendKey val="0"/>
          <c:showVal val="0"/>
          <c:showCatName val="0"/>
          <c:showSerName val="0"/>
          <c:showPercent val="0"/>
          <c:showBubbleSize val="0"/>
        </c:dLbls>
        <c:gapWidth val="150"/>
        <c:overlap val="100"/>
        <c:axId val="139847536"/>
        <c:axId val="1987173296"/>
      </c:barChart>
      <c:catAx>
        <c:axId val="139847536"/>
        <c:scaling>
          <c:orientation val="minMax"/>
        </c:scaling>
        <c:delete val="0"/>
        <c:axPos val="b"/>
        <c:title>
          <c:tx>
            <c:rich>
              <a:bodyPr rot="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r>
                  <a:rPr lang="en-GB" b="1"/>
                  <a:t>Typology</a:t>
                </a:r>
              </a:p>
            </c:rich>
          </c:tx>
          <c:overlay val="0"/>
          <c:spPr>
            <a:noFill/>
            <a:ln>
              <a:noFill/>
            </a:ln>
            <a:effectLst/>
          </c:spPr>
          <c:txPr>
            <a:bodyPr rot="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87173296"/>
        <c:crosses val="autoZero"/>
        <c:auto val="1"/>
        <c:lblAlgn val="ctr"/>
        <c:lblOffset val="100"/>
        <c:noMultiLvlLbl val="0"/>
      </c:catAx>
      <c:valAx>
        <c:axId val="1987173296"/>
        <c:scaling>
          <c:orientation val="minMax"/>
          <c:max val="1"/>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r>
                  <a:rPr lang="en-GB" b="1"/>
                  <a:t>%</a:t>
                </a:r>
                <a:r>
                  <a:rPr lang="en-GB" b="1" baseline="0"/>
                  <a:t> of actions</a:t>
                </a:r>
                <a:endParaRPr lang="en-GB" b="1"/>
              </a:p>
            </c:rich>
          </c:tx>
          <c:overlay val="0"/>
          <c:spPr>
            <a:noFill/>
            <a:ln>
              <a:noFill/>
            </a:ln>
            <a:effectLst/>
          </c:spPr>
          <c:txPr>
            <a:bodyPr rot="-540000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endParaRPr lang="en-US"/>
            </a:p>
          </c:txPr>
        </c:title>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9847536"/>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a:t>Count of actions</a:t>
            </a:r>
            <a:r>
              <a:rPr lang="en-GB" baseline="0"/>
              <a:t> by typology</a:t>
            </a:r>
            <a:endParaRPr lang="en-GB"/>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stacked"/>
        <c:varyColors val="0"/>
        <c:ser>
          <c:idx val="0"/>
          <c:order val="0"/>
          <c:tx>
            <c:strRef>
              <c:f>Graphs!$B$146</c:f>
              <c:strCache>
                <c:ptCount val="1"/>
                <c:pt idx="0">
                  <c:v>Fully addressed</c:v>
                </c:pt>
              </c:strCache>
            </c:strRef>
          </c:tx>
          <c:spPr>
            <a:solidFill>
              <a:schemeClr val="accent1">
                <a:tint val="54000"/>
              </a:schemeClr>
            </a:solidFill>
            <a:ln>
              <a:noFill/>
            </a:ln>
            <a:effectLst/>
          </c:spPr>
          <c:invertIfNegative val="0"/>
          <c:cat>
            <c:strRef>
              <c:f>Graphs!$C$145:$G$145</c:f>
              <c:strCache>
                <c:ptCount val="5"/>
                <c:pt idx="0">
                  <c:v>No and low regret adaptation, including capacity building</c:v>
                </c:pt>
                <c:pt idx="1">
                  <c:v>Climate-smart design, considering uncertainty</c:v>
                </c:pt>
                <c:pt idx="2">
                  <c:v>Early activities to support future adaptation</c:v>
                </c:pt>
                <c:pt idx="3">
                  <c:v>Further investigation</c:v>
                </c:pt>
                <c:pt idx="4">
                  <c:v>Unclear typology noted in text</c:v>
                </c:pt>
              </c:strCache>
            </c:strRef>
          </c:cat>
          <c:val>
            <c:numRef>
              <c:f>Graphs!$C$146:$G$146</c:f>
              <c:numCache>
                <c:formatCode>General</c:formatCode>
                <c:ptCount val="5"/>
                <c:pt idx="0">
                  <c:v>6</c:v>
                </c:pt>
                <c:pt idx="1">
                  <c:v>2</c:v>
                </c:pt>
                <c:pt idx="2">
                  <c:v>2</c:v>
                </c:pt>
                <c:pt idx="3">
                  <c:v>5</c:v>
                </c:pt>
                <c:pt idx="4">
                  <c:v>0</c:v>
                </c:pt>
              </c:numCache>
            </c:numRef>
          </c:val>
          <c:extLst>
            <c:ext xmlns:c16="http://schemas.microsoft.com/office/drawing/2014/chart" uri="{C3380CC4-5D6E-409C-BE32-E72D297353CC}">
              <c16:uniqueId val="{00000000-09D3-4648-A341-F685A008AAC6}"/>
            </c:ext>
          </c:extLst>
        </c:ser>
        <c:ser>
          <c:idx val="1"/>
          <c:order val="1"/>
          <c:tx>
            <c:strRef>
              <c:f>Graphs!$B$147</c:f>
              <c:strCache>
                <c:ptCount val="1"/>
                <c:pt idx="0">
                  <c:v>Significantly addressed</c:v>
                </c:pt>
              </c:strCache>
            </c:strRef>
          </c:tx>
          <c:spPr>
            <a:solidFill>
              <a:schemeClr val="accent1">
                <a:tint val="77000"/>
              </a:schemeClr>
            </a:solidFill>
            <a:ln>
              <a:noFill/>
            </a:ln>
            <a:effectLst/>
          </c:spPr>
          <c:invertIfNegative val="0"/>
          <c:cat>
            <c:strRef>
              <c:f>Graphs!$C$145:$G$145</c:f>
              <c:strCache>
                <c:ptCount val="5"/>
                <c:pt idx="0">
                  <c:v>No and low regret adaptation, including capacity building</c:v>
                </c:pt>
                <c:pt idx="1">
                  <c:v>Climate-smart design, considering uncertainty</c:v>
                </c:pt>
                <c:pt idx="2">
                  <c:v>Early activities to support future adaptation</c:v>
                </c:pt>
                <c:pt idx="3">
                  <c:v>Further investigation</c:v>
                </c:pt>
                <c:pt idx="4">
                  <c:v>Unclear typology noted in text</c:v>
                </c:pt>
              </c:strCache>
            </c:strRef>
          </c:cat>
          <c:val>
            <c:numRef>
              <c:f>Graphs!$C$147:$G$147</c:f>
              <c:numCache>
                <c:formatCode>General</c:formatCode>
                <c:ptCount val="5"/>
                <c:pt idx="0">
                  <c:v>24</c:v>
                </c:pt>
                <c:pt idx="1">
                  <c:v>26</c:v>
                </c:pt>
                <c:pt idx="2">
                  <c:v>4</c:v>
                </c:pt>
                <c:pt idx="3">
                  <c:v>14</c:v>
                </c:pt>
                <c:pt idx="4">
                  <c:v>0</c:v>
                </c:pt>
              </c:numCache>
            </c:numRef>
          </c:val>
          <c:extLst>
            <c:ext xmlns:c16="http://schemas.microsoft.com/office/drawing/2014/chart" uri="{C3380CC4-5D6E-409C-BE32-E72D297353CC}">
              <c16:uniqueId val="{00000001-09D3-4648-A341-F685A008AAC6}"/>
            </c:ext>
          </c:extLst>
        </c:ser>
        <c:ser>
          <c:idx val="2"/>
          <c:order val="2"/>
          <c:tx>
            <c:strRef>
              <c:f>Graphs!$B$148</c:f>
              <c:strCache>
                <c:ptCount val="1"/>
                <c:pt idx="0">
                  <c:v>Minimally addressed</c:v>
                </c:pt>
              </c:strCache>
            </c:strRef>
          </c:tx>
          <c:spPr>
            <a:solidFill>
              <a:schemeClr val="accent1"/>
            </a:solidFill>
            <a:ln>
              <a:noFill/>
            </a:ln>
            <a:effectLst/>
          </c:spPr>
          <c:invertIfNegative val="0"/>
          <c:cat>
            <c:strRef>
              <c:f>Graphs!$C$145:$G$145</c:f>
              <c:strCache>
                <c:ptCount val="5"/>
                <c:pt idx="0">
                  <c:v>No and low regret adaptation, including capacity building</c:v>
                </c:pt>
                <c:pt idx="1">
                  <c:v>Climate-smart design, considering uncertainty</c:v>
                </c:pt>
                <c:pt idx="2">
                  <c:v>Early activities to support future adaptation</c:v>
                </c:pt>
                <c:pt idx="3">
                  <c:v>Further investigation</c:v>
                </c:pt>
                <c:pt idx="4">
                  <c:v>Unclear typology noted in text</c:v>
                </c:pt>
              </c:strCache>
            </c:strRef>
          </c:cat>
          <c:val>
            <c:numRef>
              <c:f>Graphs!$C$148:$G$148</c:f>
              <c:numCache>
                <c:formatCode>General</c:formatCode>
                <c:ptCount val="5"/>
                <c:pt idx="0">
                  <c:v>36</c:v>
                </c:pt>
                <c:pt idx="1">
                  <c:v>39</c:v>
                </c:pt>
                <c:pt idx="2">
                  <c:v>3</c:v>
                </c:pt>
                <c:pt idx="3">
                  <c:v>12</c:v>
                </c:pt>
                <c:pt idx="4">
                  <c:v>0</c:v>
                </c:pt>
              </c:numCache>
            </c:numRef>
          </c:val>
          <c:extLst>
            <c:ext xmlns:c16="http://schemas.microsoft.com/office/drawing/2014/chart" uri="{C3380CC4-5D6E-409C-BE32-E72D297353CC}">
              <c16:uniqueId val="{00000002-09D3-4648-A341-F685A008AAC6}"/>
            </c:ext>
          </c:extLst>
        </c:ser>
        <c:ser>
          <c:idx val="3"/>
          <c:order val="3"/>
          <c:tx>
            <c:strRef>
              <c:f>Graphs!$B$149</c:f>
              <c:strCache>
                <c:ptCount val="1"/>
                <c:pt idx="0">
                  <c:v>Recognised but not addressed</c:v>
                </c:pt>
              </c:strCache>
            </c:strRef>
          </c:tx>
          <c:spPr>
            <a:solidFill>
              <a:schemeClr val="accent1">
                <a:shade val="76000"/>
              </a:schemeClr>
            </a:solidFill>
            <a:ln>
              <a:noFill/>
            </a:ln>
            <a:effectLst/>
          </c:spPr>
          <c:invertIfNegative val="0"/>
          <c:cat>
            <c:strRef>
              <c:f>Graphs!$C$145:$G$145</c:f>
              <c:strCache>
                <c:ptCount val="5"/>
                <c:pt idx="0">
                  <c:v>No and low regret adaptation, including capacity building</c:v>
                </c:pt>
                <c:pt idx="1">
                  <c:v>Climate-smart design, considering uncertainty</c:v>
                </c:pt>
                <c:pt idx="2">
                  <c:v>Early activities to support future adaptation</c:v>
                </c:pt>
                <c:pt idx="3">
                  <c:v>Further investigation</c:v>
                </c:pt>
                <c:pt idx="4">
                  <c:v>Unclear typology noted in text</c:v>
                </c:pt>
              </c:strCache>
            </c:strRef>
          </c:cat>
          <c:val>
            <c:numRef>
              <c:f>Graphs!$C$149:$G$149</c:f>
              <c:numCache>
                <c:formatCode>General</c:formatCode>
                <c:ptCount val="5"/>
                <c:pt idx="0">
                  <c:v>13</c:v>
                </c:pt>
                <c:pt idx="1">
                  <c:v>15</c:v>
                </c:pt>
                <c:pt idx="2">
                  <c:v>1</c:v>
                </c:pt>
                <c:pt idx="3">
                  <c:v>5</c:v>
                </c:pt>
                <c:pt idx="4">
                  <c:v>1</c:v>
                </c:pt>
              </c:numCache>
            </c:numRef>
          </c:val>
          <c:extLst>
            <c:ext xmlns:c16="http://schemas.microsoft.com/office/drawing/2014/chart" uri="{C3380CC4-5D6E-409C-BE32-E72D297353CC}">
              <c16:uniqueId val="{00000003-09D3-4648-A341-F685A008AAC6}"/>
            </c:ext>
          </c:extLst>
        </c:ser>
        <c:ser>
          <c:idx val="4"/>
          <c:order val="4"/>
          <c:tx>
            <c:strRef>
              <c:f>Graphs!$B$150</c:f>
              <c:strCache>
                <c:ptCount val="1"/>
                <c:pt idx="0">
                  <c:v>Not addressed</c:v>
                </c:pt>
              </c:strCache>
            </c:strRef>
          </c:tx>
          <c:spPr>
            <a:solidFill>
              <a:schemeClr val="accent1">
                <a:shade val="53000"/>
              </a:schemeClr>
            </a:solidFill>
            <a:ln>
              <a:noFill/>
            </a:ln>
            <a:effectLst/>
          </c:spPr>
          <c:invertIfNegative val="0"/>
          <c:cat>
            <c:strRef>
              <c:f>Graphs!$C$145:$G$145</c:f>
              <c:strCache>
                <c:ptCount val="5"/>
                <c:pt idx="0">
                  <c:v>No and low regret adaptation, including capacity building</c:v>
                </c:pt>
                <c:pt idx="1">
                  <c:v>Climate-smart design, considering uncertainty</c:v>
                </c:pt>
                <c:pt idx="2">
                  <c:v>Early activities to support future adaptation</c:v>
                </c:pt>
                <c:pt idx="3">
                  <c:v>Further investigation</c:v>
                </c:pt>
                <c:pt idx="4">
                  <c:v>Unclear typology noted in text</c:v>
                </c:pt>
              </c:strCache>
            </c:strRef>
          </c:cat>
          <c:val>
            <c:numRef>
              <c:f>Graphs!$C$150:$G$150</c:f>
              <c:numCache>
                <c:formatCode>General</c:formatCode>
                <c:ptCount val="5"/>
                <c:pt idx="0">
                  <c:v>15</c:v>
                </c:pt>
                <c:pt idx="1">
                  <c:v>17</c:v>
                </c:pt>
                <c:pt idx="2">
                  <c:v>2</c:v>
                </c:pt>
                <c:pt idx="3">
                  <c:v>9</c:v>
                </c:pt>
                <c:pt idx="4">
                  <c:v>0</c:v>
                </c:pt>
              </c:numCache>
            </c:numRef>
          </c:val>
          <c:extLst>
            <c:ext xmlns:c16="http://schemas.microsoft.com/office/drawing/2014/chart" uri="{C3380CC4-5D6E-409C-BE32-E72D297353CC}">
              <c16:uniqueId val="{00000004-09D3-4648-A341-F685A008AAC6}"/>
            </c:ext>
          </c:extLst>
        </c:ser>
        <c:dLbls>
          <c:showLegendKey val="0"/>
          <c:showVal val="0"/>
          <c:showCatName val="0"/>
          <c:showSerName val="0"/>
          <c:showPercent val="0"/>
          <c:showBubbleSize val="0"/>
        </c:dLbls>
        <c:gapWidth val="150"/>
        <c:overlap val="100"/>
        <c:axId val="58445295"/>
        <c:axId val="3623311"/>
      </c:barChart>
      <c:catAx>
        <c:axId val="58445295"/>
        <c:scaling>
          <c:orientation val="minMax"/>
        </c:scaling>
        <c:delete val="0"/>
        <c:axPos val="b"/>
        <c:title>
          <c:tx>
            <c:rich>
              <a:bodyPr rot="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r>
                  <a:rPr lang="en-GB" b="1"/>
                  <a:t>Typology</a:t>
                </a:r>
              </a:p>
            </c:rich>
          </c:tx>
          <c:overlay val="0"/>
          <c:spPr>
            <a:noFill/>
            <a:ln>
              <a:noFill/>
            </a:ln>
            <a:effectLst/>
          </c:spPr>
          <c:txPr>
            <a:bodyPr rot="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623311"/>
        <c:crosses val="autoZero"/>
        <c:auto val="1"/>
        <c:lblAlgn val="ctr"/>
        <c:lblOffset val="100"/>
        <c:noMultiLvlLbl val="0"/>
      </c:catAx>
      <c:valAx>
        <c:axId val="3623311"/>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r>
                  <a:rPr lang="en-GB" b="1"/>
                  <a:t>No.</a:t>
                </a:r>
                <a:r>
                  <a:rPr lang="en-GB" b="1" baseline="0"/>
                  <a:t> of actions</a:t>
                </a:r>
                <a:endParaRPr lang="en-GB" b="1"/>
              </a:p>
            </c:rich>
          </c:tx>
          <c:overlay val="0"/>
          <c:spPr>
            <a:noFill/>
            <a:ln>
              <a:noFill/>
            </a:ln>
            <a:effectLst/>
          </c:spPr>
          <c:txPr>
            <a:bodyPr rot="-540000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8445295"/>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a:t>Actions</a:t>
            </a:r>
            <a:r>
              <a:rPr lang="en-US" sz="1400" baseline="0"/>
              <a:t> </a:t>
            </a:r>
            <a:r>
              <a:rPr lang="en-US" sz="1400"/>
              <a:t>aimed at government and/or ALB </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pieChart>
        <c:varyColors val="1"/>
        <c:ser>
          <c:idx val="0"/>
          <c:order val="0"/>
          <c:tx>
            <c:strRef>
              <c:f>Graphs!$Q$18</c:f>
              <c:strCache>
                <c:ptCount val="1"/>
                <c:pt idx="0">
                  <c:v>COUNT of actions</c:v>
                </c:pt>
              </c:strCache>
            </c:strRef>
          </c:tx>
          <c:dPt>
            <c:idx val="0"/>
            <c:bubble3D val="0"/>
            <c:spPr>
              <a:solidFill>
                <a:schemeClr val="accent1">
                  <a:tint val="54000"/>
                </a:schemeClr>
              </a:solidFill>
              <a:ln w="19050">
                <a:solidFill>
                  <a:schemeClr val="lt1"/>
                </a:solidFill>
              </a:ln>
              <a:effectLst/>
            </c:spPr>
            <c:extLst>
              <c:ext xmlns:c16="http://schemas.microsoft.com/office/drawing/2014/chart" uri="{C3380CC4-5D6E-409C-BE32-E72D297353CC}">
                <c16:uniqueId val="{00000001-EB85-4E76-A906-54D72B5B2266}"/>
              </c:ext>
            </c:extLst>
          </c:dPt>
          <c:dPt>
            <c:idx val="1"/>
            <c:bubble3D val="0"/>
            <c:spPr>
              <a:solidFill>
                <a:schemeClr val="accent1">
                  <a:tint val="77000"/>
                </a:schemeClr>
              </a:solidFill>
              <a:ln w="19050">
                <a:solidFill>
                  <a:schemeClr val="lt1"/>
                </a:solidFill>
              </a:ln>
              <a:effectLst/>
            </c:spPr>
            <c:extLst>
              <c:ext xmlns:c16="http://schemas.microsoft.com/office/drawing/2014/chart" uri="{C3380CC4-5D6E-409C-BE32-E72D297353CC}">
                <c16:uniqueId val="{00000003-EB85-4E76-A906-54D72B5B2266}"/>
              </c:ext>
            </c:extLst>
          </c:dPt>
          <c:dPt>
            <c:idx val="2"/>
            <c:bubble3D val="0"/>
            <c:spPr>
              <a:solidFill>
                <a:schemeClr val="accent1"/>
              </a:solidFill>
              <a:ln w="19050">
                <a:solidFill>
                  <a:schemeClr val="lt1"/>
                </a:solidFill>
              </a:ln>
              <a:effectLst/>
            </c:spPr>
            <c:extLst>
              <c:ext xmlns:c16="http://schemas.microsoft.com/office/drawing/2014/chart" uri="{C3380CC4-5D6E-409C-BE32-E72D297353CC}">
                <c16:uniqueId val="{00000005-EB85-4E76-A906-54D72B5B2266}"/>
              </c:ext>
            </c:extLst>
          </c:dPt>
          <c:dPt>
            <c:idx val="3"/>
            <c:bubble3D val="0"/>
            <c:spPr>
              <a:solidFill>
                <a:schemeClr val="accent1">
                  <a:shade val="76000"/>
                </a:schemeClr>
              </a:solidFill>
              <a:ln w="19050">
                <a:solidFill>
                  <a:schemeClr val="lt1"/>
                </a:solidFill>
              </a:ln>
              <a:effectLst/>
            </c:spPr>
            <c:extLst>
              <c:ext xmlns:c16="http://schemas.microsoft.com/office/drawing/2014/chart" uri="{C3380CC4-5D6E-409C-BE32-E72D297353CC}">
                <c16:uniqueId val="{00000007-EB85-4E76-A906-54D72B5B2266}"/>
              </c:ext>
            </c:extLst>
          </c:dPt>
          <c:dPt>
            <c:idx val="4"/>
            <c:bubble3D val="0"/>
            <c:spPr>
              <a:solidFill>
                <a:schemeClr val="accent1">
                  <a:shade val="53000"/>
                </a:schemeClr>
              </a:solidFill>
              <a:ln w="19050">
                <a:solidFill>
                  <a:schemeClr val="lt1"/>
                </a:solidFill>
              </a:ln>
              <a:effectLst/>
            </c:spPr>
            <c:extLst>
              <c:ext xmlns:c16="http://schemas.microsoft.com/office/drawing/2014/chart" uri="{C3380CC4-5D6E-409C-BE32-E72D297353CC}">
                <c16:uniqueId val="{00000009-EB85-4E76-A906-54D72B5B2266}"/>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Graphs!$P$19:$P$23</c:f>
              <c:strCache>
                <c:ptCount val="5"/>
                <c:pt idx="0">
                  <c:v>Fully addressed</c:v>
                </c:pt>
                <c:pt idx="1">
                  <c:v>Significantly addressed</c:v>
                </c:pt>
                <c:pt idx="2">
                  <c:v>Minimally addressed</c:v>
                </c:pt>
                <c:pt idx="3">
                  <c:v>Recognised but not addressed</c:v>
                </c:pt>
                <c:pt idx="4">
                  <c:v>Not addressed</c:v>
                </c:pt>
              </c:strCache>
            </c:strRef>
          </c:cat>
          <c:val>
            <c:numRef>
              <c:f>Graphs!$Q$19:$Q$23</c:f>
              <c:numCache>
                <c:formatCode>General</c:formatCode>
                <c:ptCount val="5"/>
                <c:pt idx="0">
                  <c:v>4</c:v>
                </c:pt>
                <c:pt idx="1">
                  <c:v>15</c:v>
                </c:pt>
                <c:pt idx="2">
                  <c:v>21</c:v>
                </c:pt>
                <c:pt idx="3">
                  <c:v>9</c:v>
                </c:pt>
                <c:pt idx="4">
                  <c:v>13</c:v>
                </c:pt>
              </c:numCache>
            </c:numRef>
          </c:val>
          <c:extLst>
            <c:ext xmlns:c16="http://schemas.microsoft.com/office/drawing/2014/chart" uri="{C3380CC4-5D6E-409C-BE32-E72D297353CC}">
              <c16:uniqueId val="{00000000-F4B0-4787-AFBC-3DF404AE845B}"/>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withinLinearReversed" id="21">
  <a:schemeClr val="accent1"/>
</cs:colorStyle>
</file>

<file path=xl/charts/colors2.xml><?xml version="1.0" encoding="utf-8"?>
<cs:colorStyle xmlns:cs="http://schemas.microsoft.com/office/drawing/2012/chartStyle" xmlns:a="http://schemas.openxmlformats.org/drawingml/2006/main" meth="withinLinearReversed" id="21">
  <a:schemeClr val="accent1"/>
</cs:colorStyle>
</file>

<file path=xl/charts/colors3.xml><?xml version="1.0" encoding="utf-8"?>
<cs:colorStyle xmlns:cs="http://schemas.microsoft.com/office/drawing/2012/chartStyle" xmlns:a="http://schemas.openxmlformats.org/drawingml/2006/main" meth="withinLinearReversed" id="21">
  <a:schemeClr val="accent1"/>
</cs:colorStyle>
</file>

<file path=xl/charts/colors4.xml><?xml version="1.0" encoding="utf-8"?>
<cs:colorStyle xmlns:cs="http://schemas.microsoft.com/office/drawing/2012/chartStyle" xmlns:a="http://schemas.openxmlformats.org/drawingml/2006/main" meth="withinLinearReversed" id="21">
  <a:schemeClr val="accent1"/>
</cs:colorStyle>
</file>

<file path=xl/charts/colors5.xml><?xml version="1.0" encoding="utf-8"?>
<cs:colorStyle xmlns:cs="http://schemas.microsoft.com/office/drawing/2012/chartStyle" xmlns:a="http://schemas.openxmlformats.org/drawingml/2006/main" meth="withinLinearReversed" id="21">
  <a:schemeClr val="accent1"/>
</cs:colorStyle>
</file>

<file path=xl/charts/colors6.xml><?xml version="1.0" encoding="utf-8"?>
<cs:colorStyle xmlns:cs="http://schemas.microsoft.com/office/drawing/2012/chartStyle" xmlns:a="http://schemas.openxmlformats.org/drawingml/2006/main" meth="withinLinearReversed" id="21">
  <a:schemeClr val="accent1"/>
</cs:colorStyle>
</file>

<file path=xl/charts/colors7.xml><?xml version="1.0" encoding="utf-8"?>
<cs:colorStyle xmlns:cs="http://schemas.microsoft.com/office/drawing/2012/chartStyle" xmlns:a="http://schemas.openxmlformats.org/drawingml/2006/main" meth="withinLinearReversed" id="21">
  <a:schemeClr val="accent1"/>
</cs:colorStyle>
</file>

<file path=xl/charts/colors8.xml><?xml version="1.0" encoding="utf-8"?>
<cs:colorStyle xmlns:cs="http://schemas.microsoft.com/office/drawing/2012/chartStyle" xmlns:a="http://schemas.openxmlformats.org/drawingml/2006/main" meth="withinLinearReversed" id="21">
  <a:schemeClr val="accent1"/>
</cs:colorStyle>
</file>

<file path=xl/charts/colors9.xml><?xml version="1.0" encoding="utf-8"?>
<cs:colorStyle xmlns:cs="http://schemas.microsoft.com/office/drawing/2012/chartStyle" xmlns:a="http://schemas.openxmlformats.org/drawingml/2006/main" meth="withinLinearReversed" id="21">
  <a:schemeClr val="accent1"/>
</cs:colorStyle>
</file>

<file path=xl/charts/colors10.xml><?xml version="1.0" encoding="utf-8"?>
<cs:colorStyle xmlns:cs="http://schemas.microsoft.com/office/drawing/2012/chartStyle" xmlns:a="http://schemas.openxmlformats.org/drawingml/2006/main" meth="withinLinearReversed" id="21">
  <a:schemeClr val="accent1"/>
</cs:colorStyle>
</file>

<file path=xl/charts/colors11.xml><?xml version="1.0" encoding="utf-8"?>
<cs:colorStyle xmlns:cs="http://schemas.microsoft.com/office/drawing/2012/chartStyle" xmlns:a="http://schemas.openxmlformats.org/drawingml/2006/main" meth="withinLinearReversed" id="21">
  <a:schemeClr val="accent1"/>
</cs:colorStyle>
</file>

<file path=xl/charts/colors12.xml><?xml version="1.0" encoding="utf-8"?>
<cs:colorStyle xmlns:cs="http://schemas.microsoft.com/office/drawing/2012/chartStyle" xmlns:a="http://schemas.openxmlformats.org/drawingml/2006/main" meth="withinLinearReversed" id="21">
  <a:schemeClr val="accent1"/>
</cs:colorStyle>
</file>

<file path=xl/charts/colors13.xml><?xml version="1.0" encoding="utf-8"?>
<cs:colorStyle xmlns:cs="http://schemas.microsoft.com/office/drawing/2012/chartStyle" xmlns:a="http://schemas.openxmlformats.org/drawingml/2006/main" meth="withinLinearReversed" id="21">
  <a:schemeClr val="accent1"/>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8" Type="http://schemas.openxmlformats.org/officeDocument/2006/relationships/chart" Target="../charts/chart8.xml"/><Relationship Id="rId13" Type="http://schemas.openxmlformats.org/officeDocument/2006/relationships/chart" Target="../charts/chart13.xml"/><Relationship Id="rId3" Type="http://schemas.openxmlformats.org/officeDocument/2006/relationships/chart" Target="../charts/chart3.xml"/><Relationship Id="rId7" Type="http://schemas.openxmlformats.org/officeDocument/2006/relationships/chart" Target="../charts/chart7.xml"/><Relationship Id="rId12" Type="http://schemas.openxmlformats.org/officeDocument/2006/relationships/chart" Target="../charts/chart12.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11" Type="http://schemas.openxmlformats.org/officeDocument/2006/relationships/chart" Target="../charts/chart11.xml"/><Relationship Id="rId5" Type="http://schemas.openxmlformats.org/officeDocument/2006/relationships/chart" Target="../charts/chart5.xml"/><Relationship Id="rId10" Type="http://schemas.openxmlformats.org/officeDocument/2006/relationships/chart" Target="../charts/chart10.xml"/><Relationship Id="rId4" Type="http://schemas.openxmlformats.org/officeDocument/2006/relationships/chart" Target="../charts/chart4.xml"/><Relationship Id="rId9" Type="http://schemas.openxmlformats.org/officeDocument/2006/relationships/chart" Target="../charts/chart9.xml"/></Relationships>
</file>

<file path=xl/drawings/drawing1.xml><?xml version="1.0" encoding="utf-8"?>
<xdr:wsDr xmlns:xdr="http://schemas.openxmlformats.org/drawingml/2006/spreadsheetDrawing" xmlns:a="http://schemas.openxmlformats.org/drawingml/2006/main">
  <xdr:twoCellAnchor editAs="oneCell">
    <xdr:from>
      <xdr:col>1</xdr:col>
      <xdr:colOff>0</xdr:colOff>
      <xdr:row>2</xdr:row>
      <xdr:rowOff>0</xdr:rowOff>
    </xdr:from>
    <xdr:to>
      <xdr:col>4</xdr:col>
      <xdr:colOff>45258</xdr:colOff>
      <xdr:row>5</xdr:row>
      <xdr:rowOff>103717</xdr:rowOff>
    </xdr:to>
    <xdr:pic>
      <xdr:nvPicPr>
        <xdr:cNvPr id="2" name="Picture 1">
          <a:extLst>
            <a:ext uri="{FF2B5EF4-FFF2-40B4-BE49-F238E27FC236}">
              <a16:creationId xmlns:a16="http://schemas.microsoft.com/office/drawing/2014/main" id="{22D81052-310D-42AE-9910-B6A4FDB3969E}"/>
            </a:ext>
          </a:extLst>
        </xdr:cNvPr>
        <xdr:cNvPicPr>
          <a:picLocks noChangeAspect="1"/>
        </xdr:cNvPicPr>
      </xdr:nvPicPr>
      <xdr:blipFill>
        <a:blip xmlns:r="http://schemas.openxmlformats.org/officeDocument/2006/relationships" r:embed="rId1" cstate="screen">
          <a:extLst>
            <a:ext uri="{28A0092B-C50C-407E-A947-70E740481C1C}">
              <a14:useLocalDpi xmlns:a14="http://schemas.microsoft.com/office/drawing/2010/main" val="0"/>
            </a:ext>
          </a:extLst>
        </a:blip>
        <a:stretch>
          <a:fillRect/>
        </a:stretch>
      </xdr:blipFill>
      <xdr:spPr>
        <a:xfrm>
          <a:off x="685800" y="419100"/>
          <a:ext cx="1934383" cy="760942"/>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6</xdr:col>
      <xdr:colOff>38794</xdr:colOff>
      <xdr:row>13</xdr:row>
      <xdr:rowOff>31719</xdr:rowOff>
    </xdr:from>
    <xdr:to>
      <xdr:col>12</xdr:col>
      <xdr:colOff>158868</xdr:colOff>
      <xdr:row>29</xdr:row>
      <xdr:rowOff>150725</xdr:rowOff>
    </xdr:to>
    <xdr:graphicFrame macro="">
      <xdr:nvGraphicFramePr>
        <xdr:cNvPr id="3" name="Chart 2">
          <a:extLst>
            <a:ext uri="{FF2B5EF4-FFF2-40B4-BE49-F238E27FC236}">
              <a16:creationId xmlns:a16="http://schemas.microsoft.com/office/drawing/2014/main" id="{8F65FAB2-F8B0-8E86-521F-85383CCFB29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26</xdr:col>
      <xdr:colOff>306241</xdr:colOff>
      <xdr:row>82</xdr:row>
      <xdr:rowOff>104051</xdr:rowOff>
    </xdr:from>
    <xdr:to>
      <xdr:col>36</xdr:col>
      <xdr:colOff>600074</xdr:colOff>
      <xdr:row>102</xdr:row>
      <xdr:rowOff>95250</xdr:rowOff>
    </xdr:to>
    <xdr:graphicFrame macro="">
      <xdr:nvGraphicFramePr>
        <xdr:cNvPr id="4" name="Chart 3">
          <a:extLst>
            <a:ext uri="{FF2B5EF4-FFF2-40B4-BE49-F238E27FC236}">
              <a16:creationId xmlns:a16="http://schemas.microsoft.com/office/drawing/2014/main" id="{B94A5E10-1AE1-64FF-4E55-764CAF51ACA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15</xdr:col>
      <xdr:colOff>444499</xdr:colOff>
      <xdr:row>82</xdr:row>
      <xdr:rowOff>96836</xdr:rowOff>
    </xdr:from>
    <xdr:to>
      <xdr:col>26</xdr:col>
      <xdr:colOff>47624</xdr:colOff>
      <xdr:row>102</xdr:row>
      <xdr:rowOff>123825</xdr:rowOff>
    </xdr:to>
    <xdr:graphicFrame macro="">
      <xdr:nvGraphicFramePr>
        <xdr:cNvPr id="5" name="Chart 4">
          <a:extLst>
            <a:ext uri="{FF2B5EF4-FFF2-40B4-BE49-F238E27FC236}">
              <a16:creationId xmlns:a16="http://schemas.microsoft.com/office/drawing/2014/main" id="{C2BB7E22-D6FF-01FD-710E-EDE03FE2347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7</xdr:col>
      <xdr:colOff>221961</xdr:colOff>
      <xdr:row>35</xdr:row>
      <xdr:rowOff>24822</xdr:rowOff>
    </xdr:from>
    <xdr:to>
      <xdr:col>12</xdr:col>
      <xdr:colOff>144</xdr:colOff>
      <xdr:row>48</xdr:row>
      <xdr:rowOff>166111</xdr:rowOff>
    </xdr:to>
    <xdr:graphicFrame macro="">
      <xdr:nvGraphicFramePr>
        <xdr:cNvPr id="2" name="Chart 1">
          <a:extLst>
            <a:ext uri="{FF2B5EF4-FFF2-40B4-BE49-F238E27FC236}">
              <a16:creationId xmlns:a16="http://schemas.microsoft.com/office/drawing/2014/main" id="{086D2A90-64AD-0688-78F7-0DB1393C323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13</xdr:col>
      <xdr:colOff>7939</xdr:colOff>
      <xdr:row>35</xdr:row>
      <xdr:rowOff>18906</xdr:rowOff>
    </xdr:from>
    <xdr:to>
      <xdr:col>20</xdr:col>
      <xdr:colOff>82551</xdr:colOff>
      <xdr:row>49</xdr:row>
      <xdr:rowOff>3897</xdr:rowOff>
    </xdr:to>
    <xdr:graphicFrame macro="">
      <xdr:nvGraphicFramePr>
        <xdr:cNvPr id="6" name="Chart 5">
          <a:extLst>
            <a:ext uri="{FF2B5EF4-FFF2-40B4-BE49-F238E27FC236}">
              <a16:creationId xmlns:a16="http://schemas.microsoft.com/office/drawing/2014/main" id="{09AF5039-995D-AF85-CD99-A433986EBDD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21</xdr:col>
      <xdr:colOff>118919</xdr:colOff>
      <xdr:row>35</xdr:row>
      <xdr:rowOff>38821</xdr:rowOff>
    </xdr:from>
    <xdr:to>
      <xdr:col>28</xdr:col>
      <xdr:colOff>101456</xdr:colOff>
      <xdr:row>48</xdr:row>
      <xdr:rowOff>156297</xdr:rowOff>
    </xdr:to>
    <xdr:graphicFrame macro="">
      <xdr:nvGraphicFramePr>
        <xdr:cNvPr id="7" name="Chart 6">
          <a:extLst>
            <a:ext uri="{FF2B5EF4-FFF2-40B4-BE49-F238E27FC236}">
              <a16:creationId xmlns:a16="http://schemas.microsoft.com/office/drawing/2014/main" id="{A6B5FEEC-CA7B-4C6C-CD3D-DC68A3200F1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7</xdr:col>
      <xdr:colOff>227592</xdr:colOff>
      <xdr:row>52</xdr:row>
      <xdr:rowOff>64222</xdr:rowOff>
    </xdr:from>
    <xdr:to>
      <xdr:col>12</xdr:col>
      <xdr:colOff>89911</xdr:colOff>
      <xdr:row>65</xdr:row>
      <xdr:rowOff>152256</xdr:rowOff>
    </xdr:to>
    <xdr:graphicFrame macro="">
      <xdr:nvGraphicFramePr>
        <xdr:cNvPr id="8" name="Chart 7">
          <a:extLst>
            <a:ext uri="{FF2B5EF4-FFF2-40B4-BE49-F238E27FC236}">
              <a16:creationId xmlns:a16="http://schemas.microsoft.com/office/drawing/2014/main" id="{2E9EEFA0-DAED-6733-0241-7F9203006D2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13</xdr:col>
      <xdr:colOff>10102</xdr:colOff>
      <xdr:row>51</xdr:row>
      <xdr:rowOff>179244</xdr:rowOff>
    </xdr:from>
    <xdr:to>
      <xdr:col>19</xdr:col>
      <xdr:colOff>530803</xdr:colOff>
      <xdr:row>65</xdr:row>
      <xdr:rowOff>164957</xdr:rowOff>
    </xdr:to>
    <xdr:graphicFrame macro="">
      <xdr:nvGraphicFramePr>
        <xdr:cNvPr id="9" name="Chart 8">
          <a:extLst>
            <a:ext uri="{FF2B5EF4-FFF2-40B4-BE49-F238E27FC236}">
              <a16:creationId xmlns:a16="http://schemas.microsoft.com/office/drawing/2014/main" id="{6FCDDDD4-CF24-31A6-5F69-794D597D9EB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8</xdr:col>
      <xdr:colOff>288</xdr:colOff>
      <xdr:row>113</xdr:row>
      <xdr:rowOff>122813</xdr:rowOff>
    </xdr:from>
    <xdr:to>
      <xdr:col>15</xdr:col>
      <xdr:colOff>600074</xdr:colOff>
      <xdr:row>129</xdr:row>
      <xdr:rowOff>95250</xdr:rowOff>
    </xdr:to>
    <xdr:graphicFrame macro="">
      <xdr:nvGraphicFramePr>
        <xdr:cNvPr id="10" name="Chart 9">
          <a:extLst>
            <a:ext uri="{FF2B5EF4-FFF2-40B4-BE49-F238E27FC236}">
              <a16:creationId xmlns:a16="http://schemas.microsoft.com/office/drawing/2014/main" id="{C60B62DD-EA8A-118D-1D42-080AA7F24A7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17</xdr:col>
      <xdr:colOff>6350</xdr:colOff>
      <xdr:row>113</xdr:row>
      <xdr:rowOff>153987</xdr:rowOff>
    </xdr:from>
    <xdr:to>
      <xdr:col>26</xdr:col>
      <xdr:colOff>606425</xdr:colOff>
      <xdr:row>129</xdr:row>
      <xdr:rowOff>63500</xdr:rowOff>
    </xdr:to>
    <xdr:graphicFrame macro="">
      <xdr:nvGraphicFramePr>
        <xdr:cNvPr id="12" name="Chart 11">
          <a:extLst>
            <a:ext uri="{FF2B5EF4-FFF2-40B4-BE49-F238E27FC236}">
              <a16:creationId xmlns:a16="http://schemas.microsoft.com/office/drawing/2014/main" id="{50961BDD-231D-A48C-1CE3-FCC75FE5DBB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17</xdr:col>
      <xdr:colOff>211571</xdr:colOff>
      <xdr:row>144</xdr:row>
      <xdr:rowOff>428478</xdr:rowOff>
    </xdr:from>
    <xdr:to>
      <xdr:col>28</xdr:col>
      <xdr:colOff>301626</xdr:colOff>
      <xdr:row>154</xdr:row>
      <xdr:rowOff>104775</xdr:rowOff>
    </xdr:to>
    <xdr:graphicFrame macro="">
      <xdr:nvGraphicFramePr>
        <xdr:cNvPr id="13" name="Chart 12">
          <a:extLst>
            <a:ext uri="{FF2B5EF4-FFF2-40B4-BE49-F238E27FC236}">
              <a16:creationId xmlns:a16="http://schemas.microsoft.com/office/drawing/2014/main" id="{7300F3D8-6129-2D66-315D-CCB3E70EB6D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8</xdr:col>
      <xdr:colOff>57150</xdr:colOff>
      <xdr:row>144</xdr:row>
      <xdr:rowOff>431512</xdr:rowOff>
    </xdr:from>
    <xdr:to>
      <xdr:col>16</xdr:col>
      <xdr:colOff>587663</xdr:colOff>
      <xdr:row>154</xdr:row>
      <xdr:rowOff>126423</xdr:rowOff>
    </xdr:to>
    <xdr:graphicFrame macro="">
      <xdr:nvGraphicFramePr>
        <xdr:cNvPr id="11" name="Chart 10">
          <a:extLst>
            <a:ext uri="{FF2B5EF4-FFF2-40B4-BE49-F238E27FC236}">
              <a16:creationId xmlns:a16="http://schemas.microsoft.com/office/drawing/2014/main" id="{207BE4BB-9295-D04D-617B-EEEFC20C28A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xdr:from>
      <xdr:col>18</xdr:col>
      <xdr:colOff>539751</xdr:colOff>
      <xdr:row>13</xdr:row>
      <xdr:rowOff>18183</xdr:rowOff>
    </xdr:from>
    <xdr:to>
      <xdr:col>27</xdr:col>
      <xdr:colOff>267279</xdr:colOff>
      <xdr:row>29</xdr:row>
      <xdr:rowOff>146049</xdr:rowOff>
    </xdr:to>
    <xdr:graphicFrame macro="">
      <xdr:nvGraphicFramePr>
        <xdr:cNvPr id="14" name="Chart 13">
          <a:extLst>
            <a:ext uri="{FF2B5EF4-FFF2-40B4-BE49-F238E27FC236}">
              <a16:creationId xmlns:a16="http://schemas.microsoft.com/office/drawing/2014/main" id="{2FE55008-150E-3448-83EE-D6CF38A4596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wsDr>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3F876633-8B59-4BD6-8058-2F008B4C873B}" name="Table5" displayName="Table5" ref="C2:J221" totalsRowShown="0" headerRowDxfId="15" tableBorderDxfId="14">
  <autoFilter ref="C2:J221" xr:uid="{2F3137D0-2A50-4DB4-B8F3-81D34524464D}"/>
  <tableColumns count="8">
    <tableColumn id="1" xr3:uid="{7C19692A-8876-47C8-9E69-152D255E2A25}" name="Nation" dataDxfId="13"/>
    <tableColumn id="2" xr3:uid="{19110B0D-8E0F-432D-90DF-B7B8C74D253D}" name="Present Day" dataDxfId="12"/>
    <tableColumn id="3" xr3:uid="{0DC4C3F8-6CAB-464B-B2BE-FD04E249FF13}" name="2050, 2°" dataDxfId="11"/>
    <tableColumn id="4" xr3:uid="{1BC5F8FD-19A6-4624-A3A2-3786D830A408}" name="2050, 4°" dataDxfId="10"/>
    <tableColumn id="5" xr3:uid="{09552297-4866-408B-9FB8-6A1A71B42B26}" name="2080, 2°" dataDxfId="9"/>
    <tableColumn id="6" xr3:uid="{520A7677-911B-423A-AE35-6CACA363701C}" name="2080, 4°" dataDxfId="8"/>
    <tableColumn id="7" xr3:uid="{5BE753F5-DCC1-4E35-BEC7-D2722E8C6D6D}" name="Adaptation Score" dataDxfId="7"/>
    <tableColumn id="8" xr3:uid="{90D79026-23B4-4EA6-8C3E-D4973B2CFF07}" name="Urgency Score" dataDxfId="6"/>
  </tableColumns>
  <tableStyleInfo name="TableStyleLight9" showFirstColumn="0" showLastColumn="0" showRowStripes="1" showColumnStripes="0"/>
</table>
</file>

<file path=xl/theme/theme1.xml><?xml version="1.0" encoding="utf-8"?>
<a:theme xmlns:a="http://schemas.openxmlformats.org/drawingml/2006/main" name="Theme1">
  <a:themeElements>
    <a:clrScheme name="Red Orange">
      <a:dk1>
        <a:sysClr val="windowText" lastClr="000000"/>
      </a:dk1>
      <a:lt1>
        <a:sysClr val="window" lastClr="FFFFFF"/>
      </a:lt1>
      <a:dk2>
        <a:srgbClr val="505046"/>
      </a:dk2>
      <a:lt2>
        <a:srgbClr val="EEECE1"/>
      </a:lt2>
      <a:accent1>
        <a:srgbClr val="E84C22"/>
      </a:accent1>
      <a:accent2>
        <a:srgbClr val="FFBD47"/>
      </a:accent2>
      <a:accent3>
        <a:srgbClr val="B64926"/>
      </a:accent3>
      <a:accent4>
        <a:srgbClr val="FF8427"/>
      </a:accent4>
      <a:accent5>
        <a:srgbClr val="CC9900"/>
      </a:accent5>
      <a:accent6>
        <a:srgbClr val="B22600"/>
      </a:accent6>
      <a:hlink>
        <a:srgbClr val="CC9900"/>
      </a:hlink>
      <a:folHlink>
        <a:srgbClr val="666699"/>
      </a:folHlink>
    </a:clrScheme>
    <a:fontScheme name="Calibri">
      <a:majorFont>
        <a:latin typeface="Calibri" panose="020F0502020204030204"/>
        <a:ea typeface=""/>
        <a:cs typeface=""/>
        <a:font script="Jpan" typeface="メイリオ"/>
        <a:font script="Hang" typeface="맑은 고딕"/>
        <a:font script="Hans" typeface="宋体"/>
        <a:font script="Hant" typeface="新細明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ahoma"/>
        <a:font script="Uigh" typeface="Microsoft Uighur"/>
        <a:font script="Geor" typeface="Sylfaen"/>
      </a:majorFont>
      <a:minorFont>
        <a:latin typeface="Calibri" panose="020F0502020204030204"/>
        <a:ea typeface=""/>
        <a:cs typeface=""/>
        <a:font script="Jpan" typeface="メイリオ"/>
        <a:font script="Hang" typeface="맑은 고딕"/>
        <a:font script="Hans" typeface="宋体"/>
        <a:font script="Hant" typeface="新細明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ahoma"/>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custClrLst>
    <a:custClr name="R255 G255 B75">
      <a:srgbClr val="FFFF4B"/>
    </a:custClr>
    <a:custClr name="R161 G216 B0">
      <a:srgbClr val="A1D800"/>
    </a:custClr>
    <a:custClr name="R205 G231 B176">
      <a:srgbClr val="CDE7B0"/>
    </a:custClr>
    <a:custClr name="R174 G197 B235">
      <a:srgbClr val="AEC5EB"/>
    </a:custClr>
    <a:custClr name="R54 G153 B147">
      <a:srgbClr val="369993"/>
    </a:custClr>
    <a:custClr name="R26 G95 B49">
      <a:srgbClr val="1A5F31"/>
    </a:custClr>
  </a:custClrLst>
  <a:extLst>
    <a:ext uri="{05A4C25C-085E-4340-85A3-A5531E510DB2}">
      <thm15:themeFamily xmlns:thm15="http://schemas.microsoft.com/office/thememl/2012/main" name="Theme1" id="{105212A9-95A4-4203-8D67-780AD7C823EB}" vid="{F0EEC4BB-29E4-4903-AEF0-551D9EC48EE6}"/>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3" Type="http://schemas.openxmlformats.org/officeDocument/2006/relationships/hyperlink" Target="https://www.ukclimaterisk.org/publications/technical-report-ccra3-ia/" TargetMode="External"/><Relationship Id="rId2" Type="http://schemas.openxmlformats.org/officeDocument/2006/relationships/hyperlink" Target="https://www.theccc.org.uk/wp-content/uploads/2021/07/Independent-Assessment-of-UK-Climate-Risk-Advice-to-Government-Full-Risk-Table-Scoring-and-Priorities.xlsx" TargetMode="External"/><Relationship Id="rId1" Type="http://schemas.openxmlformats.org/officeDocument/2006/relationships/hyperlink" Target="https://www.gov.uk/government/publications/government-response-to-the-climate-change-committee-2023-adaptation-progress-report/government-response-to-the-climate-change-committee-2023-report-to-parliament-progress-in-adapting-to-climate-change" TargetMode="External"/><Relationship Id="rId6" Type="http://schemas.openxmlformats.org/officeDocument/2006/relationships/hyperlink" Target="https://www.theccc.org.uk/publication/progress-in-adapting-to-climate-change-2023-report-to-parliament/" TargetMode="External"/><Relationship Id="rId5" Type="http://schemas.openxmlformats.org/officeDocument/2006/relationships/hyperlink" Target="https://assets.publishing.service.gov.uk/media/64b52a430ea2cb001315e3b7/NAP3_Annex_1_Climate_risks_and_opportunities.pdf" TargetMode="External"/><Relationship Id="rId4" Type="http://schemas.openxmlformats.org/officeDocument/2006/relationships/hyperlink" Target="https://assets.publishing.service.gov.uk/media/64ba74102059dc00125d27a7/The_Third_National_Adaptation_Programme.pdf" TargetMode="External"/></Relationships>
</file>

<file path=xl/worksheets/_rels/sheet4.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2.bin"/></Relationships>
</file>

<file path=xl/worksheets/_rels/sheet5.xml.rels><?xml version="1.0" encoding="UTF-8" standalone="yes"?>
<Relationships xmlns="http://schemas.openxmlformats.org/package/2006/relationships"><Relationship Id="rId2" Type="http://schemas.openxmlformats.org/officeDocument/2006/relationships/comments" Target="../comments2.xml"/><Relationship Id="rId1" Type="http://schemas.openxmlformats.org/officeDocument/2006/relationships/vmlDrawing" Target="../drawings/vmlDrawing2.v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7.xml.rels><?xml version="1.0" encoding="UTF-8" standalone="yes"?>
<Relationships xmlns="http://schemas.openxmlformats.org/package/2006/relationships"><Relationship Id="rId2" Type="http://schemas.openxmlformats.org/officeDocument/2006/relationships/comments" Target="../comments3.xml"/><Relationship Id="rId1" Type="http://schemas.openxmlformats.org/officeDocument/2006/relationships/vmlDrawing" Target="../drawings/vmlDrawing3.vml"/></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9.xml.rels><?xml version="1.0" encoding="UTF-8" standalone="yes"?>
<Relationships xmlns="http://schemas.openxmlformats.org/package/2006/relationships"><Relationship Id="rId2" Type="http://schemas.openxmlformats.org/officeDocument/2006/relationships/comments" Target="../comments4.xml"/><Relationship Id="rId1" Type="http://schemas.openxmlformats.org/officeDocument/2006/relationships/vmlDrawing" Target="../drawings/vmlDrawing4.v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D99D41-E3DE-4112-BB4B-C90F3BB930CB}">
  <dimension ref="A1:CL488"/>
  <sheetViews>
    <sheetView workbookViewId="0"/>
  </sheetViews>
  <sheetFormatPr defaultRowHeight="15" x14ac:dyDescent="0.25"/>
  <sheetData>
    <row r="1" spans="1:90" x14ac:dyDescent="0.25">
      <c r="A1" s="40"/>
      <c r="B1" s="40"/>
      <c r="C1" s="40"/>
      <c r="D1" s="40"/>
      <c r="E1" s="40"/>
      <c r="F1" s="40"/>
      <c r="G1" s="40"/>
      <c r="H1" s="40"/>
      <c r="I1" s="40"/>
      <c r="J1" s="40"/>
      <c r="K1" s="40"/>
      <c r="L1" s="40"/>
      <c r="M1" s="40"/>
      <c r="N1" s="40"/>
      <c r="O1" s="40"/>
      <c r="P1" s="40"/>
      <c r="Q1" s="40"/>
      <c r="R1" s="40"/>
      <c r="S1" s="40"/>
      <c r="T1" s="40"/>
      <c r="U1" s="40"/>
      <c r="V1" s="40"/>
      <c r="W1" s="40"/>
      <c r="X1" s="40"/>
      <c r="Y1" s="40"/>
      <c r="Z1" s="40"/>
      <c r="AA1" s="40"/>
      <c r="AB1" s="40"/>
      <c r="AC1" s="40"/>
      <c r="AD1" s="40"/>
      <c r="AE1" s="40"/>
      <c r="AF1" s="40"/>
      <c r="AG1" s="40"/>
      <c r="AH1" s="40"/>
      <c r="AI1" s="40"/>
      <c r="AJ1" s="40"/>
      <c r="AK1" s="40"/>
      <c r="AL1" s="40"/>
      <c r="AM1" s="40"/>
      <c r="AN1" s="40"/>
      <c r="AO1" s="40"/>
      <c r="AP1" s="40"/>
      <c r="AQ1" s="40"/>
      <c r="AR1" s="40"/>
      <c r="AS1" s="40"/>
      <c r="AT1" s="40"/>
      <c r="AU1" s="40"/>
      <c r="AV1" s="40"/>
      <c r="AW1" s="40"/>
      <c r="AX1" s="40"/>
      <c r="AY1" s="40"/>
      <c r="AZ1" s="40"/>
      <c r="BA1" s="40"/>
      <c r="BB1" s="40"/>
      <c r="BC1" s="40"/>
      <c r="BD1" s="40"/>
      <c r="BE1" s="40"/>
      <c r="BF1" s="40"/>
      <c r="BG1" s="40"/>
      <c r="BH1" s="40"/>
      <c r="BI1" s="40"/>
      <c r="BJ1" s="40"/>
      <c r="BK1" s="40"/>
      <c r="BL1" s="40"/>
      <c r="BM1" s="40"/>
      <c r="BN1" s="40"/>
      <c r="BO1" s="40"/>
      <c r="BP1" s="40"/>
      <c r="BQ1" s="40"/>
      <c r="BR1" s="40"/>
      <c r="BS1" s="40"/>
      <c r="BT1" s="40"/>
      <c r="BU1" s="40"/>
      <c r="BV1" s="40"/>
      <c r="BW1" s="40"/>
      <c r="BX1" s="40"/>
      <c r="BY1" s="40"/>
      <c r="BZ1" s="40"/>
      <c r="CA1" s="40"/>
      <c r="CB1" s="40"/>
      <c r="CC1" s="40"/>
      <c r="CD1" s="40"/>
      <c r="CE1" s="40"/>
      <c r="CF1" s="40"/>
      <c r="CG1" s="40"/>
      <c r="CH1" s="40"/>
      <c r="CI1" s="40"/>
      <c r="CJ1" s="40"/>
      <c r="CK1" s="40"/>
      <c r="CL1" s="40"/>
    </row>
    <row r="2" spans="1:90" x14ac:dyDescent="0.25">
      <c r="A2" s="40"/>
      <c r="B2" s="40"/>
      <c r="C2" s="40"/>
      <c r="D2" s="40"/>
      <c r="E2" s="40"/>
      <c r="F2" s="40"/>
      <c r="G2" s="40"/>
      <c r="H2" s="40"/>
      <c r="I2" s="40"/>
      <c r="J2" s="40"/>
      <c r="K2" s="40"/>
      <c r="L2" s="40"/>
      <c r="M2" s="40"/>
      <c r="N2" s="40"/>
      <c r="O2" s="40"/>
      <c r="P2" s="40"/>
      <c r="Q2" s="40"/>
      <c r="R2" s="40"/>
      <c r="S2" s="40"/>
      <c r="T2" s="40"/>
      <c r="U2" s="40"/>
      <c r="V2" s="40"/>
      <c r="W2" s="40"/>
      <c r="X2" s="40"/>
      <c r="Y2" s="40"/>
      <c r="Z2" s="40"/>
      <c r="AA2" s="40"/>
      <c r="AB2" s="40"/>
      <c r="AC2" s="40"/>
      <c r="AD2" s="40"/>
      <c r="AE2" s="40"/>
      <c r="AF2" s="40"/>
      <c r="AG2" s="40"/>
      <c r="AH2" s="40"/>
      <c r="AI2" s="40"/>
      <c r="AJ2" s="40"/>
      <c r="AK2" s="40"/>
      <c r="AL2" s="40"/>
      <c r="AM2" s="40"/>
      <c r="AN2" s="40"/>
      <c r="AO2" s="40"/>
      <c r="AP2" s="40"/>
      <c r="AQ2" s="40"/>
      <c r="AR2" s="40"/>
      <c r="AS2" s="40"/>
      <c r="AT2" s="40"/>
      <c r="AU2" s="40"/>
      <c r="AV2" s="40"/>
      <c r="AW2" s="40"/>
      <c r="AX2" s="40"/>
      <c r="AY2" s="40"/>
      <c r="AZ2" s="40"/>
      <c r="BA2" s="40"/>
      <c r="BB2" s="40"/>
      <c r="BC2" s="40"/>
      <c r="BD2" s="40"/>
      <c r="BE2" s="40"/>
      <c r="BF2" s="40"/>
      <c r="BG2" s="40"/>
      <c r="BH2" s="40"/>
      <c r="BI2" s="40"/>
      <c r="BJ2" s="40"/>
      <c r="BK2" s="40"/>
      <c r="BL2" s="40"/>
      <c r="BM2" s="40"/>
      <c r="BN2" s="40"/>
      <c r="BO2" s="40"/>
      <c r="BP2" s="40"/>
      <c r="BQ2" s="40"/>
      <c r="BR2" s="40"/>
      <c r="BS2" s="40"/>
      <c r="BT2" s="40"/>
      <c r="BU2" s="40"/>
      <c r="BV2" s="40"/>
      <c r="BW2" s="40"/>
      <c r="BX2" s="40"/>
      <c r="BY2" s="40"/>
      <c r="BZ2" s="40"/>
      <c r="CA2" s="40"/>
      <c r="CB2" s="40"/>
      <c r="CC2" s="40"/>
      <c r="CD2" s="40"/>
      <c r="CE2" s="40"/>
      <c r="CF2" s="40"/>
      <c r="CG2" s="40"/>
      <c r="CH2" s="40"/>
      <c r="CI2" s="40"/>
      <c r="CJ2" s="40"/>
      <c r="CK2" s="40"/>
      <c r="CL2" s="40"/>
    </row>
    <row r="3" spans="1:90" x14ac:dyDescent="0.25">
      <c r="A3" s="40"/>
      <c r="B3" s="40"/>
      <c r="C3" s="40"/>
      <c r="D3" s="40"/>
      <c r="E3" s="40"/>
      <c r="F3" s="40"/>
      <c r="G3" s="40"/>
      <c r="H3" s="40"/>
      <c r="I3" s="40"/>
      <c r="J3" s="40"/>
      <c r="K3" s="40"/>
      <c r="L3" s="40"/>
      <c r="M3" s="40"/>
      <c r="N3" s="40"/>
      <c r="O3" s="40"/>
      <c r="P3" s="40"/>
      <c r="Q3" s="40"/>
      <c r="R3" s="40"/>
      <c r="S3" s="40"/>
      <c r="T3" s="40"/>
      <c r="U3" s="40"/>
      <c r="V3" s="40"/>
      <c r="W3" s="40"/>
      <c r="X3" s="40"/>
      <c r="Y3" s="40"/>
      <c r="Z3" s="40"/>
      <c r="AA3" s="40"/>
      <c r="AB3" s="40"/>
      <c r="AC3" s="40"/>
      <c r="AD3" s="40"/>
      <c r="AE3" s="40"/>
      <c r="AF3" s="40"/>
      <c r="AG3" s="40"/>
      <c r="AH3" s="40"/>
      <c r="AI3" s="40"/>
      <c r="AJ3" s="40"/>
      <c r="AK3" s="40"/>
      <c r="AL3" s="40"/>
      <c r="AM3" s="40"/>
      <c r="AN3" s="40"/>
      <c r="AO3" s="40"/>
      <c r="AP3" s="40"/>
      <c r="AQ3" s="40"/>
      <c r="AR3" s="40"/>
      <c r="AS3" s="40"/>
      <c r="AT3" s="40"/>
      <c r="AU3" s="40"/>
      <c r="AV3" s="40"/>
      <c r="AW3" s="40"/>
      <c r="AX3" s="40"/>
      <c r="AY3" s="40"/>
      <c r="AZ3" s="40"/>
      <c r="BA3" s="40"/>
      <c r="BB3" s="40"/>
      <c r="BC3" s="40"/>
      <c r="BD3" s="40"/>
      <c r="BE3" s="40"/>
      <c r="BF3" s="40"/>
      <c r="BG3" s="40"/>
      <c r="BH3" s="40"/>
      <c r="BI3" s="40"/>
      <c r="BJ3" s="40"/>
      <c r="BK3" s="40"/>
      <c r="BL3" s="40"/>
      <c r="BM3" s="40"/>
      <c r="BN3" s="40"/>
      <c r="BO3" s="40"/>
      <c r="BP3" s="40"/>
      <c r="BQ3" s="40"/>
      <c r="BR3" s="40"/>
      <c r="BS3" s="40"/>
      <c r="BT3" s="40"/>
      <c r="BU3" s="40"/>
      <c r="BV3" s="40"/>
      <c r="BW3" s="40"/>
      <c r="BX3" s="40"/>
      <c r="BY3" s="40"/>
      <c r="BZ3" s="40"/>
      <c r="CA3" s="40"/>
      <c r="CB3" s="40"/>
      <c r="CC3" s="40"/>
      <c r="CD3" s="40"/>
      <c r="CE3" s="40"/>
      <c r="CF3" s="40"/>
      <c r="CG3" s="40"/>
      <c r="CH3" s="40"/>
      <c r="CI3" s="40"/>
      <c r="CJ3" s="40"/>
      <c r="CK3" s="40"/>
      <c r="CL3" s="40"/>
    </row>
    <row r="4" spans="1:90" x14ac:dyDescent="0.25">
      <c r="A4" s="40"/>
      <c r="B4" s="40"/>
      <c r="C4" s="40"/>
      <c r="D4" s="40"/>
      <c r="E4" s="40"/>
      <c r="F4" s="41" t="s">
        <v>0</v>
      </c>
      <c r="G4" s="40"/>
      <c r="H4" s="40"/>
      <c r="I4" s="40"/>
      <c r="J4" s="40"/>
      <c r="K4" s="40"/>
      <c r="L4" s="40"/>
      <c r="M4" s="40"/>
      <c r="N4" s="40"/>
      <c r="O4" s="40"/>
      <c r="P4" s="40"/>
      <c r="Q4" s="40"/>
      <c r="R4" s="40"/>
      <c r="S4" s="40"/>
      <c r="T4" s="40"/>
      <c r="U4" s="40"/>
      <c r="V4" s="40"/>
      <c r="W4" s="40"/>
      <c r="X4" s="40"/>
      <c r="Y4" s="40"/>
      <c r="Z4" s="40"/>
      <c r="AA4" s="40"/>
      <c r="AB4" s="40"/>
      <c r="AC4" s="40"/>
      <c r="AD4" s="40"/>
      <c r="AE4" s="40"/>
      <c r="AF4" s="40"/>
      <c r="AG4" s="40"/>
      <c r="AH4" s="40"/>
      <c r="AI4" s="40"/>
      <c r="AJ4" s="40"/>
      <c r="AK4" s="40"/>
      <c r="AL4" s="40"/>
      <c r="AM4" s="40"/>
      <c r="AN4" s="40"/>
      <c r="AO4" s="40"/>
      <c r="AP4" s="40"/>
      <c r="AQ4" s="40"/>
      <c r="AR4" s="40"/>
      <c r="AS4" s="40"/>
      <c r="AT4" s="40"/>
      <c r="AU4" s="40"/>
      <c r="AV4" s="40"/>
      <c r="AW4" s="40"/>
      <c r="AX4" s="40"/>
      <c r="AY4" s="40"/>
      <c r="AZ4" s="40"/>
      <c r="BA4" s="40"/>
      <c r="BB4" s="40"/>
      <c r="BC4" s="40"/>
      <c r="BD4" s="40"/>
      <c r="BE4" s="40"/>
      <c r="BF4" s="40"/>
      <c r="BG4" s="40"/>
      <c r="BH4" s="40"/>
      <c r="BI4" s="40"/>
      <c r="BJ4" s="40"/>
      <c r="BK4" s="40"/>
      <c r="BL4" s="40"/>
      <c r="BM4" s="40"/>
      <c r="BN4" s="40"/>
      <c r="BO4" s="40"/>
      <c r="BP4" s="40"/>
      <c r="BQ4" s="40"/>
      <c r="BR4" s="40"/>
      <c r="BS4" s="40"/>
      <c r="BT4" s="40"/>
      <c r="BU4" s="40"/>
      <c r="BV4" s="40"/>
      <c r="BW4" s="40"/>
      <c r="BX4" s="40"/>
      <c r="BY4" s="40"/>
      <c r="BZ4" s="40"/>
      <c r="CA4" s="40"/>
      <c r="CB4" s="40"/>
      <c r="CC4" s="40"/>
      <c r="CD4" s="40"/>
      <c r="CE4" s="40"/>
      <c r="CF4" s="40"/>
      <c r="CG4" s="40"/>
      <c r="CH4" s="40"/>
      <c r="CI4" s="40"/>
      <c r="CJ4" s="40"/>
      <c r="CK4" s="40"/>
      <c r="CL4" s="40"/>
    </row>
    <row r="5" spans="1:90" x14ac:dyDescent="0.25">
      <c r="A5" s="40"/>
      <c r="B5" s="40"/>
      <c r="C5" s="40"/>
      <c r="D5" s="40"/>
      <c r="E5" s="40"/>
      <c r="F5" s="40"/>
      <c r="G5" s="40"/>
      <c r="H5" s="40"/>
      <c r="I5" s="40"/>
      <c r="J5" s="40"/>
      <c r="K5" s="40"/>
      <c r="L5" s="40"/>
      <c r="M5" s="40"/>
      <c r="N5" s="40"/>
      <c r="O5" s="40"/>
      <c r="P5" s="40"/>
      <c r="Q5" s="40"/>
      <c r="R5" s="40"/>
      <c r="S5" s="40"/>
      <c r="T5" s="40"/>
      <c r="U5" s="40"/>
      <c r="V5" s="40"/>
      <c r="W5" s="40"/>
      <c r="X5" s="40"/>
      <c r="Y5" s="40"/>
      <c r="Z5" s="40"/>
      <c r="AA5" s="40"/>
      <c r="AB5" s="40"/>
      <c r="AC5" s="40"/>
      <c r="AD5" s="40"/>
      <c r="AE5" s="40"/>
      <c r="AF5" s="40"/>
      <c r="AG5" s="40"/>
      <c r="AH5" s="40"/>
      <c r="AI5" s="40"/>
      <c r="AJ5" s="40"/>
      <c r="AK5" s="40"/>
      <c r="AL5" s="40"/>
      <c r="AM5" s="40"/>
      <c r="AN5" s="40"/>
      <c r="AO5" s="40"/>
      <c r="AP5" s="40"/>
      <c r="AQ5" s="40"/>
      <c r="AR5" s="40"/>
      <c r="AS5" s="40"/>
      <c r="AT5" s="40"/>
      <c r="AU5" s="40"/>
      <c r="AV5" s="40"/>
      <c r="AW5" s="40"/>
      <c r="AX5" s="40"/>
      <c r="AY5" s="40"/>
      <c r="AZ5" s="40"/>
      <c r="BA5" s="40"/>
      <c r="BB5" s="40"/>
      <c r="BC5" s="40"/>
      <c r="BD5" s="40"/>
      <c r="BE5" s="40"/>
      <c r="BF5" s="40"/>
      <c r="BG5" s="40"/>
      <c r="BH5" s="40"/>
      <c r="BI5" s="40"/>
      <c r="BJ5" s="40"/>
      <c r="BK5" s="40"/>
      <c r="BL5" s="40"/>
      <c r="BM5" s="40"/>
      <c r="BN5" s="40"/>
      <c r="BO5" s="40"/>
      <c r="BP5" s="40"/>
      <c r="BQ5" s="40"/>
      <c r="BR5" s="40"/>
      <c r="BS5" s="40"/>
      <c r="BT5" s="40"/>
      <c r="BU5" s="40"/>
      <c r="BV5" s="40"/>
      <c r="BW5" s="40"/>
      <c r="BX5" s="40"/>
      <c r="BY5" s="40"/>
      <c r="BZ5" s="40"/>
      <c r="CA5" s="40"/>
      <c r="CB5" s="40"/>
      <c r="CC5" s="40"/>
      <c r="CD5" s="40"/>
      <c r="CE5" s="40"/>
      <c r="CF5" s="40"/>
      <c r="CG5" s="40"/>
      <c r="CH5" s="40"/>
      <c r="CI5" s="40"/>
      <c r="CJ5" s="40"/>
      <c r="CK5" s="40"/>
      <c r="CL5" s="40"/>
    </row>
    <row r="6" spans="1:90" x14ac:dyDescent="0.25">
      <c r="A6" s="40"/>
      <c r="B6" s="40"/>
      <c r="C6" s="40"/>
      <c r="D6" s="40"/>
      <c r="E6" s="40"/>
      <c r="F6" s="40"/>
      <c r="G6" s="40"/>
      <c r="H6" s="40"/>
      <c r="I6" s="40"/>
      <c r="J6" s="40"/>
      <c r="K6" s="40"/>
      <c r="L6" s="40"/>
      <c r="M6" s="40"/>
      <c r="N6" s="40"/>
      <c r="O6" s="40"/>
      <c r="P6" s="40"/>
      <c r="Q6" s="40"/>
      <c r="R6" s="40"/>
      <c r="S6" s="40"/>
      <c r="T6" s="40"/>
      <c r="U6" s="40"/>
      <c r="V6" s="40"/>
      <c r="W6" s="40"/>
      <c r="X6" s="40"/>
      <c r="Y6" s="40"/>
      <c r="Z6" s="40"/>
      <c r="AA6" s="40"/>
      <c r="AB6" s="40"/>
      <c r="AC6" s="40"/>
      <c r="AD6" s="40"/>
      <c r="AE6" s="40"/>
      <c r="AF6" s="40"/>
      <c r="AG6" s="40"/>
      <c r="AH6" s="40"/>
      <c r="AI6" s="40"/>
      <c r="AJ6" s="40"/>
      <c r="AK6" s="40"/>
      <c r="AL6" s="40"/>
      <c r="AM6" s="40"/>
      <c r="AN6" s="40"/>
      <c r="AO6" s="40"/>
      <c r="AP6" s="40"/>
      <c r="AQ6" s="40"/>
      <c r="AR6" s="40"/>
      <c r="AS6" s="40"/>
      <c r="AT6" s="40"/>
      <c r="AU6" s="40"/>
      <c r="AV6" s="40"/>
      <c r="AW6" s="40"/>
      <c r="AX6" s="40"/>
      <c r="AY6" s="40"/>
      <c r="AZ6" s="40"/>
      <c r="BA6" s="40"/>
      <c r="BB6" s="40"/>
      <c r="BC6" s="40"/>
      <c r="BD6" s="40"/>
      <c r="BE6" s="40"/>
      <c r="BF6" s="40"/>
      <c r="BG6" s="40"/>
      <c r="BH6" s="40"/>
      <c r="BI6" s="40"/>
      <c r="BJ6" s="40"/>
      <c r="BK6" s="40"/>
      <c r="BL6" s="40"/>
      <c r="BM6" s="40"/>
      <c r="BN6" s="40"/>
      <c r="BO6" s="40"/>
      <c r="BP6" s="40"/>
      <c r="BQ6" s="40"/>
      <c r="BR6" s="40"/>
      <c r="BS6" s="40"/>
      <c r="BT6" s="40"/>
      <c r="BU6" s="40"/>
      <c r="BV6" s="40"/>
      <c r="BW6" s="40"/>
      <c r="BX6" s="40"/>
      <c r="BY6" s="40"/>
      <c r="BZ6" s="40"/>
      <c r="CA6" s="40"/>
      <c r="CB6" s="40"/>
      <c r="CC6" s="40"/>
      <c r="CD6" s="40"/>
      <c r="CE6" s="40"/>
      <c r="CF6" s="40"/>
      <c r="CG6" s="40"/>
      <c r="CH6" s="40"/>
      <c r="CI6" s="40"/>
      <c r="CJ6" s="40"/>
      <c r="CK6" s="40"/>
      <c r="CL6" s="40"/>
    </row>
    <row r="7" spans="1:90" x14ac:dyDescent="0.25">
      <c r="A7" s="40"/>
      <c r="B7" s="40"/>
      <c r="C7" s="40"/>
      <c r="D7" s="40"/>
      <c r="E7" s="40"/>
      <c r="F7" s="227" t="s">
        <v>1</v>
      </c>
      <c r="G7" s="227"/>
      <c r="H7" s="227"/>
      <c r="I7" s="227"/>
      <c r="J7" s="227"/>
      <c r="K7" s="227"/>
      <c r="L7" s="227"/>
      <c r="M7" s="227"/>
      <c r="N7" s="227"/>
      <c r="O7" s="227"/>
      <c r="P7" s="227"/>
      <c r="Q7" s="40"/>
      <c r="R7" s="40"/>
      <c r="S7" s="40"/>
      <c r="T7" s="40"/>
      <c r="U7" s="40"/>
      <c r="V7" s="40"/>
      <c r="W7" s="40"/>
      <c r="X7" s="40"/>
      <c r="Y7" s="40"/>
      <c r="Z7" s="40"/>
      <c r="AA7" s="40"/>
      <c r="AB7" s="40"/>
      <c r="AC7" s="40"/>
      <c r="AD7" s="40"/>
      <c r="AE7" s="40"/>
      <c r="AF7" s="40"/>
      <c r="AG7" s="40"/>
      <c r="AH7" s="40"/>
      <c r="AI7" s="40"/>
      <c r="AJ7" s="40"/>
      <c r="AK7" s="40"/>
      <c r="AL7" s="40"/>
      <c r="AM7" s="40"/>
      <c r="AN7" s="40"/>
      <c r="AO7" s="40"/>
      <c r="AP7" s="40"/>
      <c r="AQ7" s="40"/>
      <c r="AR7" s="40"/>
      <c r="AS7" s="40"/>
      <c r="AT7" s="40"/>
      <c r="AU7" s="40"/>
      <c r="AV7" s="40"/>
      <c r="AW7" s="40"/>
      <c r="AX7" s="40"/>
      <c r="AY7" s="40"/>
      <c r="AZ7" s="40"/>
      <c r="BA7" s="40"/>
      <c r="BB7" s="40"/>
      <c r="BC7" s="40"/>
      <c r="BD7" s="40"/>
      <c r="BE7" s="40"/>
      <c r="BF7" s="40"/>
      <c r="BG7" s="40"/>
      <c r="BH7" s="40"/>
      <c r="BI7" s="40"/>
      <c r="BJ7" s="40"/>
      <c r="BK7" s="40"/>
      <c r="BL7" s="40"/>
      <c r="BM7" s="40"/>
      <c r="BN7" s="40"/>
      <c r="BO7" s="40"/>
      <c r="BP7" s="40"/>
      <c r="BQ7" s="40"/>
      <c r="BR7" s="40"/>
      <c r="BS7" s="40"/>
      <c r="BT7" s="40"/>
      <c r="BU7" s="40"/>
      <c r="BV7" s="40"/>
      <c r="BW7" s="40"/>
      <c r="BX7" s="40"/>
      <c r="BY7" s="40"/>
      <c r="BZ7" s="40"/>
      <c r="CA7" s="40"/>
      <c r="CB7" s="40"/>
      <c r="CC7" s="40"/>
      <c r="CD7" s="40"/>
      <c r="CE7" s="40"/>
      <c r="CF7" s="40"/>
      <c r="CG7" s="40"/>
      <c r="CH7" s="40"/>
      <c r="CI7" s="40"/>
      <c r="CJ7" s="40"/>
      <c r="CK7" s="40"/>
      <c r="CL7" s="40"/>
    </row>
    <row r="8" spans="1:90" x14ac:dyDescent="0.25">
      <c r="A8" s="40"/>
      <c r="B8" s="40"/>
      <c r="C8" s="40"/>
      <c r="D8" s="40"/>
      <c r="E8" s="40"/>
      <c r="F8" s="227"/>
      <c r="G8" s="227"/>
      <c r="H8" s="227"/>
      <c r="I8" s="227"/>
      <c r="J8" s="227"/>
      <c r="K8" s="227"/>
      <c r="L8" s="227"/>
      <c r="M8" s="227"/>
      <c r="N8" s="227"/>
      <c r="O8" s="227"/>
      <c r="P8" s="227"/>
      <c r="Q8" s="40"/>
      <c r="R8" s="40"/>
      <c r="S8" s="40"/>
      <c r="T8" s="40"/>
      <c r="U8" s="40"/>
      <c r="V8" s="40"/>
      <c r="W8" s="40"/>
      <c r="X8" s="40"/>
      <c r="Y8" s="40"/>
      <c r="Z8" s="40"/>
      <c r="AA8" s="40"/>
      <c r="AB8" s="40"/>
      <c r="AC8" s="40"/>
      <c r="AD8" s="40"/>
      <c r="AE8" s="40"/>
      <c r="AF8" s="40"/>
      <c r="AG8" s="40"/>
      <c r="AH8" s="40"/>
      <c r="AI8" s="40"/>
      <c r="AJ8" s="40"/>
      <c r="AK8" s="40"/>
      <c r="AL8" s="40"/>
      <c r="AM8" s="40"/>
      <c r="AN8" s="40"/>
      <c r="AO8" s="40"/>
      <c r="AP8" s="40"/>
      <c r="AQ8" s="40"/>
      <c r="AR8" s="40"/>
      <c r="AS8" s="40"/>
      <c r="AT8" s="40"/>
      <c r="AU8" s="40"/>
      <c r="AV8" s="40"/>
      <c r="AW8" s="40"/>
      <c r="AX8" s="40"/>
      <c r="AY8" s="40"/>
      <c r="AZ8" s="40"/>
      <c r="BA8" s="40"/>
      <c r="BB8" s="40"/>
      <c r="BC8" s="40"/>
      <c r="BD8" s="40"/>
      <c r="BE8" s="40"/>
      <c r="BF8" s="40"/>
      <c r="BG8" s="40"/>
      <c r="BH8" s="40"/>
      <c r="BI8" s="40"/>
      <c r="BJ8" s="40"/>
      <c r="BK8" s="40"/>
      <c r="BL8" s="40"/>
      <c r="BM8" s="40"/>
      <c r="BN8" s="40"/>
      <c r="BO8" s="40"/>
      <c r="BP8" s="40"/>
      <c r="BQ8" s="40"/>
      <c r="BR8" s="40"/>
      <c r="BS8" s="40"/>
      <c r="BT8" s="40"/>
      <c r="BU8" s="40"/>
      <c r="BV8" s="40"/>
      <c r="BW8" s="40"/>
      <c r="BX8" s="40"/>
      <c r="BY8" s="40"/>
      <c r="BZ8" s="40"/>
      <c r="CA8" s="40"/>
      <c r="CB8" s="40"/>
      <c r="CC8" s="40"/>
      <c r="CD8" s="40"/>
      <c r="CE8" s="40"/>
      <c r="CF8" s="40"/>
      <c r="CG8" s="40"/>
      <c r="CH8" s="40"/>
      <c r="CI8" s="40"/>
      <c r="CJ8" s="40"/>
      <c r="CK8" s="40"/>
      <c r="CL8" s="40"/>
    </row>
    <row r="9" spans="1:90" x14ac:dyDescent="0.25">
      <c r="A9" s="40"/>
      <c r="B9" s="40"/>
      <c r="C9" s="40"/>
      <c r="D9" s="40"/>
      <c r="E9" s="40"/>
      <c r="F9" s="227"/>
      <c r="G9" s="227"/>
      <c r="H9" s="227"/>
      <c r="I9" s="227"/>
      <c r="J9" s="227"/>
      <c r="K9" s="227"/>
      <c r="L9" s="227"/>
      <c r="M9" s="227"/>
      <c r="N9" s="227"/>
      <c r="O9" s="227"/>
      <c r="P9" s="227"/>
      <c r="Q9" s="40"/>
      <c r="R9" s="40"/>
      <c r="S9" s="40"/>
      <c r="T9" s="40"/>
      <c r="U9" s="40"/>
      <c r="V9" s="40"/>
      <c r="W9" s="40"/>
      <c r="X9" s="40"/>
      <c r="Y9" s="40"/>
      <c r="Z9" s="40"/>
      <c r="AA9" s="40"/>
      <c r="AB9" s="40"/>
      <c r="AC9" s="40"/>
      <c r="AD9" s="40"/>
      <c r="AE9" s="40"/>
      <c r="AF9" s="40"/>
      <c r="AG9" s="40"/>
      <c r="AH9" s="40"/>
      <c r="AI9" s="40"/>
      <c r="AJ9" s="40"/>
      <c r="AK9" s="40"/>
      <c r="AL9" s="40"/>
      <c r="AM9" s="40"/>
      <c r="AN9" s="40"/>
      <c r="AO9" s="40"/>
      <c r="AP9" s="40"/>
      <c r="AQ9" s="40"/>
      <c r="AR9" s="40"/>
      <c r="AS9" s="40"/>
      <c r="AT9" s="40"/>
      <c r="AU9" s="40"/>
      <c r="AV9" s="40"/>
      <c r="AW9" s="40"/>
      <c r="AX9" s="40"/>
      <c r="AY9" s="40"/>
      <c r="AZ9" s="40"/>
      <c r="BA9" s="40"/>
      <c r="BB9" s="40"/>
      <c r="BC9" s="40"/>
      <c r="BD9" s="40"/>
      <c r="BE9" s="40"/>
      <c r="BF9" s="40"/>
      <c r="BG9" s="40"/>
      <c r="BH9" s="40"/>
      <c r="BI9" s="40"/>
      <c r="BJ9" s="40"/>
      <c r="BK9" s="40"/>
      <c r="BL9" s="40"/>
      <c r="BM9" s="40"/>
      <c r="BN9" s="40"/>
      <c r="BO9" s="40"/>
      <c r="BP9" s="40"/>
      <c r="BQ9" s="40"/>
      <c r="BR9" s="40"/>
      <c r="BS9" s="40"/>
      <c r="BT9" s="40"/>
      <c r="BU9" s="40"/>
      <c r="BV9" s="40"/>
      <c r="BW9" s="40"/>
      <c r="BX9" s="40"/>
      <c r="BY9" s="40"/>
      <c r="BZ9" s="40"/>
      <c r="CA9" s="40"/>
      <c r="CB9" s="40"/>
      <c r="CC9" s="40"/>
      <c r="CD9" s="40"/>
      <c r="CE9" s="40"/>
      <c r="CF9" s="40"/>
      <c r="CG9" s="40"/>
      <c r="CH9" s="40"/>
      <c r="CI9" s="40"/>
      <c r="CJ9" s="40"/>
      <c r="CK9" s="40"/>
      <c r="CL9" s="40"/>
    </row>
    <row r="10" spans="1:90" x14ac:dyDescent="0.25">
      <c r="A10" s="40"/>
      <c r="B10" s="40"/>
      <c r="C10" s="40"/>
      <c r="D10" s="40"/>
      <c r="E10" s="40"/>
      <c r="F10" s="227"/>
      <c r="G10" s="227"/>
      <c r="H10" s="227"/>
      <c r="I10" s="227"/>
      <c r="J10" s="227"/>
      <c r="K10" s="227"/>
      <c r="L10" s="227"/>
      <c r="M10" s="227"/>
      <c r="N10" s="227"/>
      <c r="O10" s="227"/>
      <c r="P10" s="227"/>
      <c r="Q10" s="40"/>
      <c r="R10" s="40"/>
      <c r="S10" s="40"/>
      <c r="T10" s="40"/>
      <c r="U10" s="40"/>
      <c r="V10" s="40"/>
      <c r="W10" s="40"/>
      <c r="X10" s="40"/>
      <c r="Y10" s="40"/>
      <c r="Z10" s="40"/>
      <c r="AA10" s="40"/>
      <c r="AB10" s="40"/>
      <c r="AC10" s="40"/>
      <c r="AD10" s="40"/>
      <c r="AE10" s="40"/>
      <c r="AF10" s="40"/>
      <c r="AG10" s="40"/>
      <c r="AH10" s="40"/>
      <c r="AI10" s="40"/>
      <c r="AJ10" s="40"/>
      <c r="AK10" s="40"/>
      <c r="AL10" s="40"/>
      <c r="AM10" s="40"/>
      <c r="AN10" s="40"/>
      <c r="AO10" s="40"/>
      <c r="AP10" s="40"/>
      <c r="AQ10" s="40"/>
      <c r="AR10" s="40"/>
      <c r="AS10" s="40"/>
      <c r="AT10" s="40"/>
      <c r="AU10" s="40"/>
      <c r="AV10" s="40"/>
      <c r="AW10" s="40"/>
      <c r="AX10" s="40"/>
      <c r="AY10" s="40"/>
      <c r="AZ10" s="40"/>
      <c r="BA10" s="40"/>
      <c r="BB10" s="40"/>
      <c r="BC10" s="40"/>
      <c r="BD10" s="40"/>
      <c r="BE10" s="40"/>
      <c r="BF10" s="40"/>
      <c r="BG10" s="40"/>
      <c r="BH10" s="40"/>
      <c r="BI10" s="40"/>
      <c r="BJ10" s="40"/>
      <c r="BK10" s="40"/>
      <c r="BL10" s="40"/>
      <c r="BM10" s="40"/>
      <c r="BN10" s="40"/>
      <c r="BO10" s="40"/>
      <c r="BP10" s="40"/>
      <c r="BQ10" s="40"/>
      <c r="BR10" s="40"/>
      <c r="BS10" s="40"/>
      <c r="BT10" s="40"/>
      <c r="BU10" s="40"/>
      <c r="BV10" s="40"/>
      <c r="BW10" s="40"/>
      <c r="BX10" s="40"/>
      <c r="BY10" s="40"/>
      <c r="BZ10" s="40"/>
      <c r="CA10" s="40"/>
      <c r="CB10" s="40"/>
      <c r="CC10" s="40"/>
      <c r="CD10" s="40"/>
      <c r="CE10" s="40"/>
      <c r="CF10" s="40"/>
      <c r="CG10" s="40"/>
      <c r="CH10" s="40"/>
      <c r="CI10" s="40"/>
      <c r="CJ10" s="40"/>
      <c r="CK10" s="40"/>
      <c r="CL10" s="40"/>
    </row>
    <row r="11" spans="1:90" x14ac:dyDescent="0.25">
      <c r="A11" s="40"/>
      <c r="B11" s="40"/>
      <c r="C11" s="40"/>
      <c r="D11" s="40"/>
      <c r="E11" s="40"/>
      <c r="F11" s="227"/>
      <c r="G11" s="227"/>
      <c r="H11" s="227"/>
      <c r="I11" s="227"/>
      <c r="J11" s="227"/>
      <c r="K11" s="227"/>
      <c r="L11" s="227"/>
      <c r="M11" s="227"/>
      <c r="N11" s="227"/>
      <c r="O11" s="227"/>
      <c r="P11" s="227"/>
      <c r="Q11" s="40"/>
      <c r="R11" s="40"/>
      <c r="S11" s="40"/>
      <c r="T11" s="40"/>
      <c r="U11" s="40"/>
      <c r="V11" s="40"/>
      <c r="W11" s="40"/>
      <c r="X11" s="40"/>
      <c r="Y11" s="40"/>
      <c r="Z11" s="40"/>
      <c r="AA11" s="40"/>
      <c r="AB11" s="40"/>
      <c r="AC11" s="40"/>
      <c r="AD11" s="40"/>
      <c r="AE11" s="40"/>
      <c r="AF11" s="40"/>
      <c r="AG11" s="40"/>
      <c r="AH11" s="40"/>
      <c r="AI11" s="40"/>
      <c r="AJ11" s="40"/>
      <c r="AK11" s="40"/>
      <c r="AL11" s="40"/>
      <c r="AM11" s="40"/>
      <c r="AN11" s="40"/>
      <c r="AO11" s="40"/>
      <c r="AP11" s="40"/>
      <c r="AQ11" s="40"/>
      <c r="AR11" s="40"/>
      <c r="AS11" s="40"/>
      <c r="AT11" s="40"/>
      <c r="AU11" s="40"/>
      <c r="AV11" s="40"/>
      <c r="AW11" s="40"/>
      <c r="AX11" s="40"/>
      <c r="AY11" s="40"/>
      <c r="AZ11" s="40"/>
      <c r="BA11" s="40"/>
      <c r="BB11" s="40"/>
      <c r="BC11" s="40"/>
      <c r="BD11" s="40"/>
      <c r="BE11" s="40"/>
      <c r="BF11" s="40"/>
      <c r="BG11" s="40"/>
      <c r="BH11" s="40"/>
      <c r="BI11" s="40"/>
      <c r="BJ11" s="40"/>
      <c r="BK11" s="40"/>
      <c r="BL11" s="40"/>
      <c r="BM11" s="40"/>
      <c r="BN11" s="40"/>
      <c r="BO11" s="40"/>
      <c r="BP11" s="40"/>
      <c r="BQ11" s="40"/>
      <c r="BR11" s="40"/>
      <c r="BS11" s="40"/>
      <c r="BT11" s="40"/>
      <c r="BU11" s="40"/>
      <c r="BV11" s="40"/>
      <c r="BW11" s="40"/>
      <c r="BX11" s="40"/>
      <c r="BY11" s="40"/>
      <c r="BZ11" s="40"/>
      <c r="CA11" s="40"/>
      <c r="CB11" s="40"/>
      <c r="CC11" s="40"/>
      <c r="CD11" s="40"/>
      <c r="CE11" s="40"/>
      <c r="CF11" s="40"/>
      <c r="CG11" s="40"/>
      <c r="CH11" s="40"/>
      <c r="CI11" s="40"/>
      <c r="CJ11" s="40"/>
      <c r="CK11" s="40"/>
      <c r="CL11" s="40"/>
    </row>
    <row r="12" spans="1:90" x14ac:dyDescent="0.25">
      <c r="A12" s="40"/>
      <c r="B12" s="40"/>
      <c r="C12" s="40"/>
      <c r="D12" s="40"/>
      <c r="E12" s="40"/>
      <c r="F12" s="227"/>
      <c r="G12" s="227"/>
      <c r="H12" s="227"/>
      <c r="I12" s="227"/>
      <c r="J12" s="227"/>
      <c r="K12" s="227"/>
      <c r="L12" s="227"/>
      <c r="M12" s="227"/>
      <c r="N12" s="227"/>
      <c r="O12" s="227"/>
      <c r="P12" s="227"/>
      <c r="Q12" s="40"/>
      <c r="R12" s="40"/>
      <c r="S12" s="40"/>
      <c r="T12" s="40"/>
      <c r="U12" s="40"/>
      <c r="V12" s="40"/>
      <c r="W12" s="40"/>
      <c r="X12" s="40"/>
      <c r="Y12" s="40"/>
      <c r="Z12" s="40"/>
      <c r="AA12" s="40"/>
      <c r="AB12" s="40"/>
      <c r="AC12" s="40"/>
      <c r="AD12" s="40"/>
      <c r="AE12" s="40"/>
      <c r="AF12" s="40"/>
      <c r="AG12" s="40"/>
      <c r="AH12" s="40"/>
      <c r="AI12" s="40"/>
      <c r="AJ12" s="40"/>
      <c r="AK12" s="40"/>
      <c r="AL12" s="40"/>
      <c r="AM12" s="40"/>
      <c r="AN12" s="40"/>
      <c r="AO12" s="40"/>
      <c r="AP12" s="40"/>
      <c r="AQ12" s="40"/>
      <c r="AR12" s="40"/>
      <c r="AS12" s="40"/>
      <c r="AT12" s="40"/>
      <c r="AU12" s="40"/>
      <c r="AV12" s="40"/>
      <c r="AW12" s="40"/>
      <c r="AX12" s="40"/>
      <c r="AY12" s="40"/>
      <c r="AZ12" s="40"/>
      <c r="BA12" s="40"/>
      <c r="BB12" s="40"/>
      <c r="BC12" s="40"/>
      <c r="BD12" s="40"/>
      <c r="BE12" s="40"/>
      <c r="BF12" s="40"/>
      <c r="BG12" s="40"/>
      <c r="BH12" s="40"/>
      <c r="BI12" s="40"/>
      <c r="BJ12" s="40"/>
      <c r="BK12" s="40"/>
      <c r="BL12" s="40"/>
      <c r="BM12" s="40"/>
      <c r="BN12" s="40"/>
      <c r="BO12" s="40"/>
      <c r="BP12" s="40"/>
      <c r="BQ12" s="40"/>
      <c r="BR12" s="40"/>
      <c r="BS12" s="40"/>
      <c r="BT12" s="40"/>
      <c r="BU12" s="40"/>
      <c r="BV12" s="40"/>
      <c r="BW12" s="40"/>
      <c r="BX12" s="40"/>
      <c r="BY12" s="40"/>
      <c r="BZ12" s="40"/>
      <c r="CA12" s="40"/>
      <c r="CB12" s="40"/>
      <c r="CC12" s="40"/>
      <c r="CD12" s="40"/>
      <c r="CE12" s="40"/>
      <c r="CF12" s="40"/>
      <c r="CG12" s="40"/>
      <c r="CH12" s="40"/>
      <c r="CI12" s="40"/>
      <c r="CJ12" s="40"/>
      <c r="CK12" s="40"/>
      <c r="CL12" s="40"/>
    </row>
    <row r="13" spans="1:90" x14ac:dyDescent="0.25">
      <c r="A13" s="40"/>
      <c r="B13" s="40"/>
      <c r="C13" s="40"/>
      <c r="D13" s="40"/>
      <c r="E13" s="40"/>
      <c r="F13" s="227"/>
      <c r="G13" s="227"/>
      <c r="H13" s="227"/>
      <c r="I13" s="227"/>
      <c r="J13" s="227"/>
      <c r="K13" s="227"/>
      <c r="L13" s="227"/>
      <c r="M13" s="227"/>
      <c r="N13" s="227"/>
      <c r="O13" s="227"/>
      <c r="P13" s="227"/>
      <c r="Q13" s="40"/>
      <c r="R13" s="40"/>
      <c r="S13" s="40"/>
      <c r="T13" s="40"/>
      <c r="U13" s="40"/>
      <c r="V13" s="40"/>
      <c r="W13" s="40"/>
      <c r="X13" s="40"/>
      <c r="Y13" s="40"/>
      <c r="Z13" s="40"/>
      <c r="AA13" s="40"/>
      <c r="AB13" s="40"/>
      <c r="AC13" s="40"/>
      <c r="AD13" s="40"/>
      <c r="AE13" s="40"/>
      <c r="AF13" s="40"/>
      <c r="AG13" s="40"/>
      <c r="AH13" s="40"/>
      <c r="AI13" s="40"/>
      <c r="AJ13" s="40"/>
      <c r="AK13" s="40"/>
      <c r="AL13" s="40"/>
      <c r="AM13" s="40"/>
      <c r="AN13" s="40"/>
      <c r="AO13" s="40"/>
      <c r="AP13" s="40"/>
      <c r="AQ13" s="40"/>
      <c r="AR13" s="40"/>
      <c r="AS13" s="40"/>
      <c r="AT13" s="40"/>
      <c r="AU13" s="40"/>
      <c r="AV13" s="40"/>
      <c r="AW13" s="40"/>
      <c r="AX13" s="40"/>
      <c r="AY13" s="40"/>
      <c r="AZ13" s="40"/>
      <c r="BA13" s="40"/>
      <c r="BB13" s="40"/>
      <c r="BC13" s="40"/>
      <c r="BD13" s="40"/>
      <c r="BE13" s="40"/>
      <c r="BF13" s="40"/>
      <c r="BG13" s="40"/>
      <c r="BH13" s="40"/>
      <c r="BI13" s="40"/>
      <c r="BJ13" s="40"/>
      <c r="BK13" s="40"/>
      <c r="BL13" s="40"/>
      <c r="BM13" s="40"/>
      <c r="BN13" s="40"/>
      <c r="BO13" s="40"/>
      <c r="BP13" s="40"/>
      <c r="BQ13" s="40"/>
      <c r="BR13" s="40"/>
      <c r="BS13" s="40"/>
      <c r="BT13" s="40"/>
      <c r="BU13" s="40"/>
      <c r="BV13" s="40"/>
      <c r="BW13" s="40"/>
      <c r="BX13" s="40"/>
      <c r="BY13" s="40"/>
      <c r="BZ13" s="40"/>
      <c r="CA13" s="40"/>
      <c r="CB13" s="40"/>
      <c r="CC13" s="40"/>
      <c r="CD13" s="40"/>
      <c r="CE13" s="40"/>
      <c r="CF13" s="40"/>
      <c r="CG13" s="40"/>
      <c r="CH13" s="40"/>
      <c r="CI13" s="40"/>
      <c r="CJ13" s="40"/>
      <c r="CK13" s="40"/>
      <c r="CL13" s="40"/>
    </row>
    <row r="14" spans="1:90" x14ac:dyDescent="0.25">
      <c r="A14" s="40"/>
      <c r="B14" s="40"/>
      <c r="C14" s="40"/>
      <c r="D14" s="40"/>
      <c r="E14" s="40"/>
      <c r="F14" s="227"/>
      <c r="G14" s="227"/>
      <c r="H14" s="227"/>
      <c r="I14" s="227"/>
      <c r="J14" s="227"/>
      <c r="K14" s="227"/>
      <c r="L14" s="227"/>
      <c r="M14" s="227"/>
      <c r="N14" s="227"/>
      <c r="O14" s="227"/>
      <c r="P14" s="227"/>
      <c r="Q14" s="40"/>
      <c r="R14" s="40"/>
      <c r="S14" s="40"/>
      <c r="T14" s="40"/>
      <c r="U14" s="40"/>
      <c r="V14" s="40"/>
      <c r="W14" s="40"/>
      <c r="X14" s="40"/>
      <c r="Y14" s="40"/>
      <c r="Z14" s="40"/>
      <c r="AA14" s="40"/>
      <c r="AB14" s="40"/>
      <c r="AC14" s="40"/>
      <c r="AD14" s="40"/>
      <c r="AE14" s="40"/>
      <c r="AF14" s="40"/>
      <c r="AG14" s="40"/>
      <c r="AH14" s="40"/>
      <c r="AI14" s="40"/>
      <c r="AJ14" s="40"/>
      <c r="AK14" s="40"/>
      <c r="AL14" s="40"/>
      <c r="AM14" s="40"/>
      <c r="AN14" s="40"/>
      <c r="AO14" s="40"/>
      <c r="AP14" s="40"/>
      <c r="AQ14" s="40"/>
      <c r="AR14" s="40"/>
      <c r="AS14" s="40"/>
      <c r="AT14" s="40"/>
      <c r="AU14" s="40"/>
      <c r="AV14" s="40"/>
      <c r="AW14" s="40"/>
      <c r="AX14" s="40"/>
      <c r="AY14" s="40"/>
      <c r="AZ14" s="40"/>
      <c r="BA14" s="40"/>
      <c r="BB14" s="40"/>
      <c r="BC14" s="40"/>
      <c r="BD14" s="40"/>
      <c r="BE14" s="40"/>
      <c r="BF14" s="40"/>
      <c r="BG14" s="40"/>
      <c r="BH14" s="40"/>
      <c r="BI14" s="40"/>
      <c r="BJ14" s="40"/>
      <c r="BK14" s="40"/>
      <c r="BL14" s="40"/>
      <c r="BM14" s="40"/>
      <c r="BN14" s="40"/>
      <c r="BO14" s="40"/>
      <c r="BP14" s="40"/>
      <c r="BQ14" s="40"/>
      <c r="BR14" s="40"/>
      <c r="BS14" s="40"/>
      <c r="BT14" s="40"/>
      <c r="BU14" s="40"/>
      <c r="BV14" s="40"/>
      <c r="BW14" s="40"/>
      <c r="BX14" s="40"/>
      <c r="BY14" s="40"/>
      <c r="BZ14" s="40"/>
      <c r="CA14" s="40"/>
      <c r="CB14" s="40"/>
      <c r="CC14" s="40"/>
      <c r="CD14" s="40"/>
      <c r="CE14" s="40"/>
      <c r="CF14" s="40"/>
      <c r="CG14" s="40"/>
      <c r="CH14" s="40"/>
      <c r="CI14" s="40"/>
      <c r="CJ14" s="40"/>
      <c r="CK14" s="40"/>
      <c r="CL14" s="40"/>
    </row>
    <row r="15" spans="1:90" x14ac:dyDescent="0.25">
      <c r="A15" s="40"/>
      <c r="B15" s="40"/>
      <c r="C15" s="40"/>
      <c r="D15" s="40"/>
      <c r="E15" s="40"/>
      <c r="F15" s="227"/>
      <c r="G15" s="227"/>
      <c r="H15" s="227"/>
      <c r="I15" s="227"/>
      <c r="J15" s="227"/>
      <c r="K15" s="227"/>
      <c r="L15" s="227"/>
      <c r="M15" s="227"/>
      <c r="N15" s="227"/>
      <c r="O15" s="227"/>
      <c r="P15" s="227"/>
      <c r="Q15" s="40"/>
      <c r="R15" s="40"/>
      <c r="S15" s="40"/>
      <c r="T15" s="40"/>
      <c r="U15" s="40"/>
      <c r="V15" s="40"/>
      <c r="W15" s="40"/>
      <c r="X15" s="40"/>
      <c r="Y15" s="40"/>
      <c r="Z15" s="40"/>
      <c r="AA15" s="40"/>
      <c r="AB15" s="40"/>
      <c r="AC15" s="40"/>
      <c r="AD15" s="40"/>
      <c r="AE15" s="40"/>
      <c r="AF15" s="40"/>
      <c r="AG15" s="40"/>
      <c r="AH15" s="40"/>
      <c r="AI15" s="40"/>
      <c r="AJ15" s="40"/>
      <c r="AK15" s="40"/>
      <c r="AL15" s="40"/>
      <c r="AM15" s="40"/>
      <c r="AN15" s="40"/>
      <c r="AO15" s="40"/>
      <c r="AP15" s="40"/>
      <c r="AQ15" s="40"/>
      <c r="AR15" s="40"/>
      <c r="AS15" s="40"/>
      <c r="AT15" s="40"/>
      <c r="AU15" s="40"/>
      <c r="AV15" s="40"/>
      <c r="AW15" s="40"/>
      <c r="AX15" s="40"/>
      <c r="AY15" s="40"/>
      <c r="AZ15" s="40"/>
      <c r="BA15" s="40"/>
      <c r="BB15" s="40"/>
      <c r="BC15" s="40"/>
      <c r="BD15" s="40"/>
      <c r="BE15" s="40"/>
      <c r="BF15" s="40"/>
      <c r="BG15" s="40"/>
      <c r="BH15" s="40"/>
      <c r="BI15" s="40"/>
      <c r="BJ15" s="40"/>
      <c r="BK15" s="40"/>
      <c r="BL15" s="40"/>
      <c r="BM15" s="40"/>
      <c r="BN15" s="40"/>
      <c r="BO15" s="40"/>
      <c r="BP15" s="40"/>
      <c r="BQ15" s="40"/>
      <c r="BR15" s="40"/>
      <c r="BS15" s="40"/>
      <c r="BT15" s="40"/>
      <c r="BU15" s="40"/>
      <c r="BV15" s="40"/>
      <c r="BW15" s="40"/>
      <c r="BX15" s="40"/>
      <c r="BY15" s="40"/>
      <c r="BZ15" s="40"/>
      <c r="CA15" s="40"/>
      <c r="CB15" s="40"/>
      <c r="CC15" s="40"/>
      <c r="CD15" s="40"/>
      <c r="CE15" s="40"/>
      <c r="CF15" s="40"/>
      <c r="CG15" s="40"/>
      <c r="CH15" s="40"/>
      <c r="CI15" s="40"/>
      <c r="CJ15" s="40"/>
      <c r="CK15" s="40"/>
      <c r="CL15" s="40"/>
    </row>
    <row r="16" spans="1:90" x14ac:dyDescent="0.25">
      <c r="A16" s="40"/>
      <c r="B16" s="40"/>
      <c r="C16" s="40"/>
      <c r="D16" s="40"/>
      <c r="E16" s="40"/>
      <c r="F16" s="227"/>
      <c r="G16" s="227"/>
      <c r="H16" s="227"/>
      <c r="I16" s="227"/>
      <c r="J16" s="227"/>
      <c r="K16" s="227"/>
      <c r="L16" s="227"/>
      <c r="M16" s="227"/>
      <c r="N16" s="227"/>
      <c r="O16" s="227"/>
      <c r="P16" s="227"/>
      <c r="Q16" s="40"/>
      <c r="R16" s="40"/>
      <c r="S16" s="40"/>
      <c r="T16" s="40"/>
      <c r="U16" s="40"/>
      <c r="V16" s="40"/>
      <c r="W16" s="40"/>
      <c r="X16" s="40"/>
      <c r="Y16" s="40"/>
      <c r="Z16" s="40"/>
      <c r="AA16" s="40"/>
      <c r="AB16" s="40"/>
      <c r="AC16" s="40"/>
      <c r="AD16" s="40"/>
      <c r="AE16" s="40"/>
      <c r="AF16" s="40"/>
      <c r="AG16" s="40"/>
      <c r="AH16" s="40"/>
      <c r="AI16" s="40"/>
      <c r="AJ16" s="40"/>
      <c r="AK16" s="40"/>
      <c r="AL16" s="40"/>
      <c r="AM16" s="40"/>
      <c r="AN16" s="40"/>
      <c r="AO16" s="40"/>
      <c r="AP16" s="40"/>
      <c r="AQ16" s="40"/>
      <c r="AR16" s="40"/>
      <c r="AS16" s="40"/>
      <c r="AT16" s="40"/>
      <c r="AU16" s="40"/>
      <c r="AV16" s="40"/>
      <c r="AW16" s="40"/>
      <c r="AX16" s="40"/>
      <c r="AY16" s="40"/>
      <c r="AZ16" s="40"/>
      <c r="BA16" s="40"/>
      <c r="BB16" s="40"/>
      <c r="BC16" s="40"/>
      <c r="BD16" s="40"/>
      <c r="BE16" s="40"/>
      <c r="BF16" s="40"/>
      <c r="BG16" s="40"/>
      <c r="BH16" s="40"/>
      <c r="BI16" s="40"/>
      <c r="BJ16" s="40"/>
      <c r="BK16" s="40"/>
      <c r="BL16" s="40"/>
      <c r="BM16" s="40"/>
      <c r="BN16" s="40"/>
      <c r="BO16" s="40"/>
      <c r="BP16" s="40"/>
      <c r="BQ16" s="40"/>
      <c r="BR16" s="40"/>
      <c r="BS16" s="40"/>
      <c r="BT16" s="40"/>
      <c r="BU16" s="40"/>
      <c r="BV16" s="40"/>
      <c r="BW16" s="40"/>
      <c r="BX16" s="40"/>
      <c r="BY16" s="40"/>
      <c r="BZ16" s="40"/>
      <c r="CA16" s="40"/>
      <c r="CB16" s="40"/>
      <c r="CC16" s="40"/>
      <c r="CD16" s="40"/>
      <c r="CE16" s="40"/>
      <c r="CF16" s="40"/>
      <c r="CG16" s="40"/>
      <c r="CH16" s="40"/>
      <c r="CI16" s="40"/>
      <c r="CJ16" s="40"/>
      <c r="CK16" s="40"/>
      <c r="CL16" s="40"/>
    </row>
    <row r="17" spans="1:90" x14ac:dyDescent="0.25">
      <c r="A17" s="40"/>
      <c r="B17" s="40"/>
      <c r="C17" s="40"/>
      <c r="D17" s="40"/>
      <c r="E17" s="40"/>
      <c r="F17" s="40" t="s">
        <v>2</v>
      </c>
      <c r="G17" s="40"/>
      <c r="H17" s="40"/>
      <c r="I17" s="40"/>
      <c r="J17" s="40"/>
      <c r="K17" s="40"/>
      <c r="L17" s="40"/>
      <c r="M17" s="40"/>
      <c r="N17" s="40"/>
      <c r="O17" s="40"/>
      <c r="P17" s="40"/>
      <c r="Q17" s="40"/>
      <c r="R17" s="40"/>
      <c r="S17" s="40"/>
      <c r="T17" s="40"/>
      <c r="U17" s="40"/>
      <c r="V17" s="40"/>
      <c r="W17" s="40"/>
      <c r="X17" s="40"/>
      <c r="Y17" s="40"/>
      <c r="Z17" s="40"/>
      <c r="AA17" s="40"/>
      <c r="AB17" s="40"/>
      <c r="AC17" s="40"/>
      <c r="AD17" s="40"/>
      <c r="AE17" s="40"/>
      <c r="AF17" s="40"/>
      <c r="AG17" s="40"/>
      <c r="AH17" s="40"/>
      <c r="AI17" s="40"/>
      <c r="AJ17" s="40"/>
      <c r="AK17" s="40"/>
      <c r="AL17" s="40"/>
      <c r="AM17" s="40"/>
      <c r="AN17" s="40"/>
      <c r="AO17" s="40"/>
      <c r="AP17" s="40"/>
      <c r="AQ17" s="40"/>
      <c r="AR17" s="40"/>
      <c r="AS17" s="40"/>
      <c r="AT17" s="40"/>
      <c r="AU17" s="40"/>
      <c r="AV17" s="40"/>
      <c r="AW17" s="40"/>
      <c r="AX17" s="40"/>
      <c r="AY17" s="40"/>
      <c r="AZ17" s="40"/>
      <c r="BA17" s="40"/>
      <c r="BB17" s="40"/>
      <c r="BC17" s="40"/>
      <c r="BD17" s="40"/>
      <c r="BE17" s="40"/>
      <c r="BF17" s="40"/>
      <c r="BG17" s="40"/>
      <c r="BH17" s="40"/>
      <c r="BI17" s="40"/>
      <c r="BJ17" s="40"/>
      <c r="BK17" s="40"/>
      <c r="BL17" s="40"/>
      <c r="BM17" s="40"/>
      <c r="BN17" s="40"/>
      <c r="BO17" s="40"/>
      <c r="BP17" s="40"/>
      <c r="BQ17" s="40"/>
      <c r="BR17" s="40"/>
      <c r="BS17" s="40"/>
      <c r="BT17" s="40"/>
      <c r="BU17" s="40"/>
      <c r="BV17" s="40"/>
      <c r="BW17" s="40"/>
      <c r="BX17" s="40"/>
      <c r="BY17" s="40"/>
      <c r="BZ17" s="40"/>
      <c r="CA17" s="40"/>
      <c r="CB17" s="40"/>
      <c r="CC17" s="40"/>
      <c r="CD17" s="40"/>
      <c r="CE17" s="40"/>
      <c r="CF17" s="40"/>
      <c r="CG17" s="40"/>
      <c r="CH17" s="40"/>
      <c r="CI17" s="40"/>
      <c r="CJ17" s="40"/>
      <c r="CK17" s="40"/>
      <c r="CL17" s="40"/>
    </row>
    <row r="18" spans="1:90" x14ac:dyDescent="0.25">
      <c r="A18" s="40"/>
      <c r="B18" s="40"/>
      <c r="C18" s="40"/>
      <c r="D18" s="40"/>
      <c r="E18" s="40"/>
      <c r="F18" s="40"/>
      <c r="G18" s="40"/>
      <c r="H18" s="40"/>
      <c r="I18" s="40"/>
      <c r="J18" s="40"/>
      <c r="K18" s="40"/>
      <c r="L18" s="40"/>
      <c r="M18" s="40"/>
      <c r="N18" s="40"/>
      <c r="O18" s="40"/>
      <c r="P18" s="40"/>
      <c r="Q18" s="40"/>
      <c r="R18" s="40"/>
      <c r="S18" s="40"/>
      <c r="T18" s="40"/>
      <c r="U18" s="40"/>
      <c r="V18" s="40"/>
      <c r="W18" s="40"/>
      <c r="X18" s="40"/>
      <c r="Y18" s="40"/>
      <c r="Z18" s="40"/>
      <c r="AA18" s="40"/>
      <c r="AB18" s="40"/>
      <c r="AC18" s="40"/>
      <c r="AD18" s="40"/>
      <c r="AE18" s="40"/>
      <c r="AF18" s="40"/>
      <c r="AG18" s="40"/>
      <c r="AH18" s="40"/>
      <c r="AI18" s="40"/>
      <c r="AJ18" s="40"/>
      <c r="AK18" s="40"/>
      <c r="AL18" s="40"/>
      <c r="AM18" s="40"/>
      <c r="AN18" s="40"/>
      <c r="AO18" s="40"/>
      <c r="AP18" s="40"/>
      <c r="AQ18" s="40"/>
      <c r="AR18" s="40"/>
      <c r="AS18" s="40"/>
      <c r="AT18" s="40"/>
      <c r="AU18" s="40"/>
      <c r="AV18" s="40"/>
      <c r="AW18" s="40"/>
      <c r="AX18" s="40"/>
      <c r="AY18" s="40"/>
      <c r="AZ18" s="40"/>
      <c r="BA18" s="40"/>
      <c r="BB18" s="40"/>
      <c r="BC18" s="40"/>
      <c r="BD18" s="40"/>
      <c r="BE18" s="40"/>
      <c r="BF18" s="40"/>
      <c r="BG18" s="40"/>
      <c r="BH18" s="40"/>
      <c r="BI18" s="40"/>
      <c r="BJ18" s="40"/>
      <c r="BK18" s="40"/>
      <c r="BL18" s="40"/>
      <c r="BM18" s="40"/>
      <c r="BN18" s="40"/>
      <c r="BO18" s="40"/>
      <c r="BP18" s="40"/>
      <c r="BQ18" s="40"/>
      <c r="BR18" s="40"/>
      <c r="BS18" s="40"/>
      <c r="BT18" s="40"/>
      <c r="BU18" s="40"/>
      <c r="BV18" s="40"/>
      <c r="BW18" s="40"/>
      <c r="BX18" s="40"/>
      <c r="BY18" s="40"/>
      <c r="BZ18" s="40"/>
      <c r="CA18" s="40"/>
      <c r="CB18" s="40"/>
      <c r="CC18" s="40"/>
      <c r="CD18" s="40"/>
      <c r="CE18" s="40"/>
      <c r="CF18" s="40"/>
      <c r="CG18" s="40"/>
      <c r="CH18" s="40"/>
      <c r="CI18" s="40"/>
      <c r="CJ18" s="40"/>
      <c r="CK18" s="40"/>
      <c r="CL18" s="40"/>
    </row>
    <row r="19" spans="1:90" x14ac:dyDescent="0.25">
      <c r="A19" s="40"/>
      <c r="B19" s="40"/>
      <c r="C19" s="40"/>
      <c r="D19" s="40"/>
      <c r="E19" s="40"/>
      <c r="F19" s="40"/>
      <c r="G19" s="40"/>
      <c r="H19" s="40"/>
      <c r="I19" s="40"/>
      <c r="J19" s="40"/>
      <c r="K19" s="40"/>
      <c r="L19" s="40"/>
      <c r="M19" s="40"/>
      <c r="N19" s="40"/>
      <c r="O19" s="40"/>
      <c r="P19" s="40"/>
      <c r="Q19" s="40"/>
      <c r="R19" s="40"/>
      <c r="S19" s="40"/>
      <c r="T19" s="40"/>
      <c r="U19" s="40"/>
      <c r="V19" s="40"/>
      <c r="W19" s="40"/>
      <c r="X19" s="40"/>
      <c r="Y19" s="40"/>
      <c r="Z19" s="40"/>
      <c r="AA19" s="40"/>
      <c r="AB19" s="40"/>
      <c r="AC19" s="40"/>
      <c r="AD19" s="40"/>
      <c r="AE19" s="40"/>
      <c r="AF19" s="40"/>
      <c r="AG19" s="40"/>
      <c r="AH19" s="40"/>
      <c r="AI19" s="40"/>
      <c r="AJ19" s="40"/>
      <c r="AK19" s="40"/>
      <c r="AL19" s="40"/>
      <c r="AM19" s="40"/>
      <c r="AN19" s="40"/>
      <c r="AO19" s="40"/>
      <c r="AP19" s="40"/>
      <c r="AQ19" s="40"/>
      <c r="AR19" s="40"/>
      <c r="AS19" s="40"/>
      <c r="AT19" s="40"/>
      <c r="AU19" s="40"/>
      <c r="AV19" s="40"/>
      <c r="AW19" s="40"/>
      <c r="AX19" s="40"/>
      <c r="AY19" s="40"/>
      <c r="AZ19" s="40"/>
      <c r="BA19" s="40"/>
      <c r="BB19" s="40"/>
      <c r="BC19" s="40"/>
      <c r="BD19" s="40"/>
      <c r="BE19" s="40"/>
      <c r="BF19" s="40"/>
      <c r="BG19" s="40"/>
      <c r="BH19" s="40"/>
      <c r="BI19" s="40"/>
      <c r="BJ19" s="40"/>
      <c r="BK19" s="40"/>
      <c r="BL19" s="40"/>
      <c r="BM19" s="40"/>
      <c r="BN19" s="40"/>
      <c r="BO19" s="40"/>
      <c r="BP19" s="40"/>
      <c r="BQ19" s="40"/>
      <c r="BR19" s="40"/>
      <c r="BS19" s="40"/>
      <c r="BT19" s="40"/>
      <c r="BU19" s="40"/>
      <c r="BV19" s="40"/>
      <c r="BW19" s="40"/>
      <c r="BX19" s="40"/>
      <c r="BY19" s="40"/>
      <c r="BZ19" s="40"/>
      <c r="CA19" s="40"/>
      <c r="CB19" s="40"/>
      <c r="CC19" s="40"/>
      <c r="CD19" s="40"/>
      <c r="CE19" s="40"/>
      <c r="CF19" s="40"/>
      <c r="CG19" s="40"/>
      <c r="CH19" s="40"/>
      <c r="CI19" s="40"/>
      <c r="CJ19" s="40"/>
      <c r="CK19" s="40"/>
      <c r="CL19" s="40"/>
    </row>
    <row r="20" spans="1:90" x14ac:dyDescent="0.25">
      <c r="A20" s="40"/>
      <c r="B20" s="40"/>
      <c r="C20" s="40"/>
      <c r="D20" s="40"/>
      <c r="E20" s="40"/>
      <c r="F20" s="40"/>
      <c r="G20" s="40"/>
      <c r="H20" s="40"/>
      <c r="I20" s="40"/>
      <c r="J20" s="40"/>
      <c r="K20" s="40"/>
      <c r="L20" s="40"/>
      <c r="M20" s="40"/>
      <c r="N20" s="40"/>
      <c r="O20" s="40"/>
      <c r="P20" s="40"/>
      <c r="Q20" s="40"/>
      <c r="R20" s="40"/>
      <c r="S20" s="40"/>
      <c r="T20" s="40"/>
      <c r="U20" s="40"/>
      <c r="V20" s="40"/>
      <c r="W20" s="40"/>
      <c r="X20" s="40"/>
      <c r="Y20" s="40"/>
      <c r="Z20" s="40"/>
      <c r="AA20" s="40"/>
      <c r="AB20" s="40"/>
      <c r="AC20" s="40"/>
      <c r="AD20" s="40"/>
      <c r="AE20" s="40"/>
      <c r="AF20" s="40"/>
      <c r="AG20" s="40"/>
      <c r="AH20" s="40"/>
      <c r="AI20" s="40"/>
      <c r="AJ20" s="40"/>
      <c r="AK20" s="40"/>
      <c r="AL20" s="40"/>
      <c r="AM20" s="40"/>
      <c r="AN20" s="40"/>
      <c r="AO20" s="40"/>
      <c r="AP20" s="40"/>
      <c r="AQ20" s="40"/>
      <c r="AR20" s="40"/>
      <c r="AS20" s="40"/>
      <c r="AT20" s="40"/>
      <c r="AU20" s="40"/>
      <c r="AV20" s="40"/>
      <c r="AW20" s="40"/>
      <c r="AX20" s="40"/>
      <c r="AY20" s="40"/>
      <c r="AZ20" s="40"/>
      <c r="BA20" s="40"/>
      <c r="BB20" s="40"/>
      <c r="BC20" s="40"/>
      <c r="BD20" s="40"/>
      <c r="BE20" s="40"/>
      <c r="BF20" s="40"/>
      <c r="BG20" s="40"/>
      <c r="BH20" s="40"/>
      <c r="BI20" s="40"/>
      <c r="BJ20" s="40"/>
      <c r="BK20" s="40"/>
      <c r="BL20" s="40"/>
      <c r="BM20" s="40"/>
      <c r="BN20" s="40"/>
      <c r="BO20" s="40"/>
      <c r="BP20" s="40"/>
      <c r="BQ20" s="40"/>
      <c r="BR20" s="40"/>
      <c r="BS20" s="40"/>
      <c r="BT20" s="40"/>
      <c r="BU20" s="40"/>
      <c r="BV20" s="40"/>
      <c r="BW20" s="40"/>
      <c r="BX20" s="40"/>
      <c r="BY20" s="40"/>
      <c r="BZ20" s="40"/>
      <c r="CA20" s="40"/>
      <c r="CB20" s="40"/>
      <c r="CC20" s="40"/>
      <c r="CD20" s="40"/>
      <c r="CE20" s="40"/>
      <c r="CF20" s="40"/>
      <c r="CG20" s="40"/>
      <c r="CH20" s="40"/>
      <c r="CI20" s="40"/>
      <c r="CJ20" s="40"/>
      <c r="CK20" s="40"/>
      <c r="CL20" s="40"/>
    </row>
    <row r="21" spans="1:90" x14ac:dyDescent="0.25">
      <c r="A21" s="40"/>
      <c r="B21" s="40"/>
      <c r="C21" s="40"/>
      <c r="D21" s="40"/>
      <c r="E21" s="40"/>
      <c r="F21" s="40"/>
      <c r="G21" s="40"/>
      <c r="H21" s="40"/>
      <c r="I21" s="40"/>
      <c r="J21" s="40"/>
      <c r="K21" s="40"/>
      <c r="L21" s="40"/>
      <c r="M21" s="40"/>
      <c r="N21" s="40"/>
      <c r="O21" s="40"/>
      <c r="P21" s="40"/>
      <c r="Q21" s="40"/>
      <c r="R21" s="40"/>
      <c r="S21" s="40"/>
      <c r="T21" s="40"/>
      <c r="U21" s="40"/>
      <c r="V21" s="40"/>
      <c r="W21" s="40"/>
      <c r="X21" s="40"/>
      <c r="Y21" s="40"/>
      <c r="Z21" s="40"/>
      <c r="AA21" s="40"/>
      <c r="AB21" s="40"/>
      <c r="AC21" s="40"/>
      <c r="AD21" s="40"/>
      <c r="AE21" s="40"/>
      <c r="AF21" s="40"/>
      <c r="AG21" s="40"/>
      <c r="AH21" s="40"/>
      <c r="AI21" s="40"/>
      <c r="AJ21" s="40"/>
      <c r="AK21" s="40"/>
      <c r="AL21" s="40"/>
      <c r="AM21" s="40"/>
      <c r="AN21" s="40"/>
      <c r="AO21" s="40"/>
      <c r="AP21" s="40"/>
      <c r="AQ21" s="40"/>
      <c r="AR21" s="40"/>
      <c r="AS21" s="40"/>
      <c r="AT21" s="40"/>
      <c r="AU21" s="40"/>
      <c r="AV21" s="40"/>
      <c r="AW21" s="40"/>
      <c r="AX21" s="40"/>
      <c r="AY21" s="40"/>
      <c r="AZ21" s="40"/>
      <c r="BA21" s="40"/>
      <c r="BB21" s="40"/>
      <c r="BC21" s="40"/>
      <c r="BD21" s="40"/>
      <c r="BE21" s="40"/>
      <c r="BF21" s="40"/>
      <c r="BG21" s="40"/>
      <c r="BH21" s="40"/>
      <c r="BI21" s="40"/>
      <c r="BJ21" s="40"/>
      <c r="BK21" s="40"/>
      <c r="BL21" s="40"/>
      <c r="BM21" s="40"/>
      <c r="BN21" s="40"/>
      <c r="BO21" s="40"/>
      <c r="BP21" s="40"/>
      <c r="BQ21" s="40"/>
      <c r="BR21" s="40"/>
      <c r="BS21" s="40"/>
      <c r="BT21" s="40"/>
      <c r="BU21" s="40"/>
      <c r="BV21" s="40"/>
      <c r="BW21" s="40"/>
      <c r="BX21" s="40"/>
      <c r="BY21" s="40"/>
      <c r="BZ21" s="40"/>
      <c r="CA21" s="40"/>
      <c r="CB21" s="40"/>
      <c r="CC21" s="40"/>
      <c r="CD21" s="40"/>
      <c r="CE21" s="40"/>
      <c r="CF21" s="40"/>
      <c r="CG21" s="40"/>
      <c r="CH21" s="40"/>
      <c r="CI21" s="40"/>
      <c r="CJ21" s="40"/>
      <c r="CK21" s="40"/>
      <c r="CL21" s="40"/>
    </row>
    <row r="22" spans="1:90" x14ac:dyDescent="0.25">
      <c r="A22" s="40"/>
      <c r="B22" s="40"/>
      <c r="C22" s="40"/>
      <c r="D22" s="40"/>
      <c r="E22" s="40"/>
      <c r="F22" s="40"/>
      <c r="G22" s="40"/>
      <c r="H22" s="40"/>
      <c r="I22" s="40"/>
      <c r="J22" s="40"/>
      <c r="K22" s="40"/>
      <c r="L22" s="40"/>
      <c r="M22" s="40"/>
      <c r="N22" s="40"/>
      <c r="O22" s="40"/>
      <c r="P22" s="40"/>
      <c r="Q22" s="40"/>
      <c r="R22" s="40"/>
      <c r="S22" s="40"/>
      <c r="T22" s="40"/>
      <c r="U22" s="40"/>
      <c r="V22" s="40"/>
      <c r="W22" s="40"/>
      <c r="X22" s="40"/>
      <c r="Y22" s="40"/>
      <c r="Z22" s="40"/>
      <c r="AA22" s="40"/>
      <c r="AB22" s="40"/>
      <c r="AC22" s="40"/>
      <c r="AD22" s="40"/>
      <c r="AE22" s="40"/>
      <c r="AF22" s="40"/>
      <c r="AG22" s="40"/>
      <c r="AH22" s="40"/>
      <c r="AI22" s="40"/>
      <c r="AJ22" s="40"/>
      <c r="AK22" s="40"/>
      <c r="AL22" s="40"/>
      <c r="AM22" s="40"/>
      <c r="AN22" s="40"/>
      <c r="AO22" s="40"/>
      <c r="AP22" s="40"/>
      <c r="AQ22" s="40"/>
      <c r="AR22" s="40"/>
      <c r="AS22" s="40"/>
      <c r="AT22" s="40"/>
      <c r="AU22" s="40"/>
      <c r="AV22" s="40"/>
      <c r="AW22" s="40"/>
      <c r="AX22" s="40"/>
      <c r="AY22" s="40"/>
      <c r="AZ22" s="40"/>
      <c r="BA22" s="40"/>
      <c r="BB22" s="40"/>
      <c r="BC22" s="40"/>
      <c r="BD22" s="40"/>
      <c r="BE22" s="40"/>
      <c r="BF22" s="40"/>
      <c r="BG22" s="40"/>
      <c r="BH22" s="40"/>
      <c r="BI22" s="40"/>
      <c r="BJ22" s="40"/>
      <c r="BK22" s="40"/>
      <c r="BL22" s="40"/>
      <c r="BM22" s="40"/>
      <c r="BN22" s="40"/>
      <c r="BO22" s="40"/>
      <c r="BP22" s="40"/>
      <c r="BQ22" s="40"/>
      <c r="BR22" s="40"/>
      <c r="BS22" s="40"/>
      <c r="BT22" s="40"/>
      <c r="BU22" s="40"/>
      <c r="BV22" s="40"/>
      <c r="BW22" s="40"/>
      <c r="BX22" s="40"/>
      <c r="BY22" s="40"/>
      <c r="BZ22" s="40"/>
      <c r="CA22" s="40"/>
      <c r="CB22" s="40"/>
      <c r="CC22" s="40"/>
      <c r="CD22" s="40"/>
      <c r="CE22" s="40"/>
      <c r="CF22" s="40"/>
      <c r="CG22" s="40"/>
      <c r="CH22" s="40"/>
      <c r="CI22" s="40"/>
      <c r="CJ22" s="40"/>
      <c r="CK22" s="40"/>
      <c r="CL22" s="40"/>
    </row>
    <row r="23" spans="1:90" x14ac:dyDescent="0.25">
      <c r="A23" s="40"/>
      <c r="B23" s="40"/>
      <c r="C23" s="40"/>
      <c r="D23" s="40"/>
      <c r="E23" s="40"/>
      <c r="F23" s="40"/>
      <c r="G23" s="40"/>
      <c r="H23" s="40"/>
      <c r="I23" s="40"/>
      <c r="J23" s="40"/>
      <c r="K23" s="40"/>
      <c r="L23" s="40"/>
      <c r="M23" s="40"/>
      <c r="N23" s="40"/>
      <c r="O23" s="40"/>
      <c r="P23" s="40"/>
      <c r="Q23" s="40"/>
      <c r="R23" s="40"/>
      <c r="S23" s="40"/>
      <c r="T23" s="40"/>
      <c r="U23" s="40"/>
      <c r="V23" s="40"/>
      <c r="W23" s="40"/>
      <c r="X23" s="40"/>
      <c r="Y23" s="40"/>
      <c r="Z23" s="40"/>
      <c r="AA23" s="40"/>
      <c r="AB23" s="40"/>
      <c r="AC23" s="40"/>
      <c r="AD23" s="40"/>
      <c r="AE23" s="40"/>
      <c r="AF23" s="40"/>
      <c r="AG23" s="40"/>
      <c r="AH23" s="40"/>
      <c r="AI23" s="40"/>
      <c r="AJ23" s="40"/>
      <c r="AK23" s="40"/>
      <c r="AL23" s="40"/>
      <c r="AM23" s="40"/>
      <c r="AN23" s="40"/>
      <c r="AO23" s="40"/>
      <c r="AP23" s="40"/>
      <c r="AQ23" s="40"/>
      <c r="AR23" s="40"/>
      <c r="AS23" s="40"/>
      <c r="AT23" s="40"/>
      <c r="AU23" s="40"/>
      <c r="AV23" s="40"/>
      <c r="AW23" s="40"/>
      <c r="AX23" s="40"/>
      <c r="AY23" s="40"/>
      <c r="AZ23" s="40"/>
      <c r="BA23" s="40"/>
      <c r="BB23" s="40"/>
      <c r="BC23" s="40"/>
      <c r="BD23" s="40"/>
      <c r="BE23" s="40"/>
      <c r="BF23" s="40"/>
      <c r="BG23" s="40"/>
      <c r="BH23" s="40"/>
      <c r="BI23" s="40"/>
      <c r="BJ23" s="40"/>
      <c r="BK23" s="40"/>
      <c r="BL23" s="40"/>
      <c r="BM23" s="40"/>
      <c r="BN23" s="40"/>
      <c r="BO23" s="40"/>
      <c r="BP23" s="40"/>
      <c r="BQ23" s="40"/>
      <c r="BR23" s="40"/>
      <c r="BS23" s="40"/>
      <c r="BT23" s="40"/>
      <c r="BU23" s="40"/>
      <c r="BV23" s="40"/>
      <c r="BW23" s="40"/>
      <c r="BX23" s="40"/>
      <c r="BY23" s="40"/>
      <c r="BZ23" s="40"/>
      <c r="CA23" s="40"/>
      <c r="CB23" s="40"/>
      <c r="CC23" s="40"/>
      <c r="CD23" s="40"/>
      <c r="CE23" s="40"/>
      <c r="CF23" s="40"/>
      <c r="CG23" s="40"/>
      <c r="CH23" s="40"/>
      <c r="CI23" s="40"/>
      <c r="CJ23" s="40"/>
      <c r="CK23" s="40"/>
      <c r="CL23" s="40"/>
    </row>
    <row r="24" spans="1:90" x14ac:dyDescent="0.25">
      <c r="A24" s="40"/>
      <c r="B24" s="40"/>
      <c r="C24" s="40"/>
      <c r="D24" s="40"/>
      <c r="E24" s="40"/>
      <c r="F24" s="40"/>
      <c r="G24" s="40"/>
      <c r="H24" s="40"/>
      <c r="I24" s="40"/>
      <c r="J24" s="40"/>
      <c r="K24" s="40"/>
      <c r="L24" s="40"/>
      <c r="M24" s="40"/>
      <c r="N24" s="40"/>
      <c r="O24" s="40"/>
      <c r="P24" s="40"/>
      <c r="Q24" s="40"/>
      <c r="R24" s="40"/>
      <c r="S24" s="40"/>
      <c r="T24" s="40"/>
      <c r="U24" s="40"/>
      <c r="V24" s="40"/>
      <c r="W24" s="40"/>
      <c r="X24" s="40"/>
      <c r="Y24" s="40"/>
      <c r="Z24" s="40"/>
      <c r="AA24" s="40"/>
      <c r="AB24" s="40"/>
      <c r="AC24" s="40"/>
      <c r="AD24" s="40"/>
      <c r="AE24" s="40"/>
      <c r="AF24" s="40"/>
      <c r="AG24" s="40"/>
      <c r="AH24" s="40"/>
      <c r="AI24" s="40"/>
      <c r="AJ24" s="40"/>
      <c r="AK24" s="40"/>
      <c r="AL24" s="40"/>
      <c r="AM24" s="40"/>
      <c r="AN24" s="40"/>
      <c r="AO24" s="40"/>
      <c r="AP24" s="40"/>
      <c r="AQ24" s="40"/>
      <c r="AR24" s="40"/>
      <c r="AS24" s="40"/>
      <c r="AT24" s="40"/>
      <c r="AU24" s="40"/>
      <c r="AV24" s="40"/>
      <c r="AW24" s="40"/>
      <c r="AX24" s="40"/>
      <c r="AY24" s="40"/>
      <c r="AZ24" s="40"/>
      <c r="BA24" s="40"/>
      <c r="BB24" s="40"/>
      <c r="BC24" s="40"/>
      <c r="BD24" s="40"/>
      <c r="BE24" s="40"/>
      <c r="BF24" s="40"/>
      <c r="BG24" s="40"/>
      <c r="BH24" s="40"/>
      <c r="BI24" s="40"/>
      <c r="BJ24" s="40"/>
      <c r="BK24" s="40"/>
      <c r="BL24" s="40"/>
      <c r="BM24" s="40"/>
      <c r="BN24" s="40"/>
      <c r="BO24" s="40"/>
      <c r="BP24" s="40"/>
      <c r="BQ24" s="40"/>
      <c r="BR24" s="40"/>
      <c r="BS24" s="40"/>
      <c r="BT24" s="40"/>
      <c r="BU24" s="40"/>
      <c r="BV24" s="40"/>
      <c r="BW24" s="40"/>
      <c r="BX24" s="40"/>
      <c r="BY24" s="40"/>
      <c r="BZ24" s="40"/>
      <c r="CA24" s="40"/>
      <c r="CB24" s="40"/>
      <c r="CC24" s="40"/>
      <c r="CD24" s="40"/>
      <c r="CE24" s="40"/>
      <c r="CF24" s="40"/>
      <c r="CG24" s="40"/>
      <c r="CH24" s="40"/>
      <c r="CI24" s="40"/>
      <c r="CJ24" s="40"/>
      <c r="CK24" s="40"/>
      <c r="CL24" s="40"/>
    </row>
    <row r="25" spans="1:90" x14ac:dyDescent="0.25">
      <c r="A25" s="40"/>
      <c r="B25" s="40"/>
      <c r="C25" s="40"/>
      <c r="D25" s="40"/>
      <c r="E25" s="40"/>
      <c r="F25" s="40"/>
      <c r="G25" s="40"/>
      <c r="H25" s="40"/>
      <c r="I25" s="40"/>
      <c r="J25" s="40"/>
      <c r="K25" s="40"/>
      <c r="L25" s="40"/>
      <c r="M25" s="40"/>
      <c r="N25" s="40"/>
      <c r="O25" s="40"/>
      <c r="P25" s="40"/>
      <c r="Q25" s="40"/>
      <c r="R25" s="40"/>
      <c r="S25" s="40"/>
      <c r="T25" s="40"/>
      <c r="U25" s="40"/>
      <c r="V25" s="40"/>
      <c r="W25" s="40"/>
      <c r="X25" s="40"/>
      <c r="Y25" s="40"/>
      <c r="Z25" s="40"/>
      <c r="AA25" s="40"/>
      <c r="AB25" s="40"/>
      <c r="AC25" s="40"/>
      <c r="AD25" s="40"/>
      <c r="AE25" s="40"/>
      <c r="AF25" s="40"/>
      <c r="AG25" s="40"/>
      <c r="AH25" s="40"/>
      <c r="AI25" s="40"/>
      <c r="AJ25" s="40"/>
      <c r="AK25" s="40"/>
      <c r="AL25" s="40"/>
      <c r="AM25" s="40"/>
      <c r="AN25" s="40"/>
      <c r="AO25" s="40"/>
      <c r="AP25" s="40"/>
      <c r="AQ25" s="40"/>
      <c r="AR25" s="40"/>
      <c r="AS25" s="40"/>
      <c r="AT25" s="40"/>
      <c r="AU25" s="40"/>
      <c r="AV25" s="40"/>
      <c r="AW25" s="40"/>
      <c r="AX25" s="40"/>
      <c r="AY25" s="40"/>
      <c r="AZ25" s="40"/>
      <c r="BA25" s="40"/>
      <c r="BB25" s="40"/>
      <c r="BC25" s="40"/>
      <c r="BD25" s="40"/>
      <c r="BE25" s="40"/>
      <c r="BF25" s="40"/>
      <c r="BG25" s="40"/>
      <c r="BH25" s="40"/>
      <c r="BI25" s="40"/>
      <c r="BJ25" s="40"/>
      <c r="BK25" s="40"/>
      <c r="BL25" s="40"/>
      <c r="BM25" s="40"/>
      <c r="BN25" s="40"/>
      <c r="BO25" s="40"/>
      <c r="BP25" s="40"/>
      <c r="BQ25" s="40"/>
      <c r="BR25" s="40"/>
      <c r="BS25" s="40"/>
      <c r="BT25" s="40"/>
      <c r="BU25" s="40"/>
      <c r="BV25" s="40"/>
      <c r="BW25" s="40"/>
      <c r="BX25" s="40"/>
      <c r="BY25" s="40"/>
      <c r="BZ25" s="40"/>
      <c r="CA25" s="40"/>
      <c r="CB25" s="40"/>
      <c r="CC25" s="40"/>
      <c r="CD25" s="40"/>
      <c r="CE25" s="40"/>
      <c r="CF25" s="40"/>
      <c r="CG25" s="40"/>
      <c r="CH25" s="40"/>
      <c r="CI25" s="40"/>
      <c r="CJ25" s="40"/>
      <c r="CK25" s="40"/>
      <c r="CL25" s="40"/>
    </row>
    <row r="26" spans="1:90" x14ac:dyDescent="0.25">
      <c r="A26" s="40"/>
      <c r="B26" s="40"/>
      <c r="C26" s="40"/>
      <c r="D26" s="40"/>
      <c r="E26" s="40"/>
      <c r="F26" s="40"/>
      <c r="G26" s="40"/>
      <c r="H26" s="40"/>
      <c r="I26" s="40"/>
      <c r="J26" s="40"/>
      <c r="K26" s="40"/>
      <c r="L26" s="40"/>
      <c r="M26" s="40"/>
      <c r="N26" s="40"/>
      <c r="O26" s="40"/>
      <c r="P26" s="40"/>
      <c r="Q26" s="40"/>
      <c r="R26" s="40"/>
      <c r="S26" s="40"/>
      <c r="T26" s="40"/>
      <c r="U26" s="40"/>
      <c r="V26" s="40"/>
      <c r="W26" s="40"/>
      <c r="X26" s="40"/>
      <c r="Y26" s="40"/>
      <c r="Z26" s="40"/>
      <c r="AA26" s="40"/>
      <c r="AB26" s="40"/>
      <c r="AC26" s="40"/>
      <c r="AD26" s="40"/>
      <c r="AE26" s="40"/>
      <c r="AF26" s="40"/>
      <c r="AG26" s="40"/>
      <c r="AH26" s="40"/>
      <c r="AI26" s="40"/>
      <c r="AJ26" s="40"/>
      <c r="AK26" s="40"/>
      <c r="AL26" s="40"/>
      <c r="AM26" s="40"/>
      <c r="AN26" s="40"/>
      <c r="AO26" s="40"/>
      <c r="AP26" s="40"/>
      <c r="AQ26" s="40"/>
      <c r="AR26" s="40"/>
      <c r="AS26" s="40"/>
      <c r="AT26" s="40"/>
      <c r="AU26" s="40"/>
      <c r="AV26" s="40"/>
      <c r="AW26" s="40"/>
      <c r="AX26" s="40"/>
      <c r="AY26" s="40"/>
      <c r="AZ26" s="40"/>
      <c r="BA26" s="40"/>
      <c r="BB26" s="40"/>
      <c r="BC26" s="40"/>
      <c r="BD26" s="40"/>
      <c r="BE26" s="40"/>
      <c r="BF26" s="40"/>
      <c r="BG26" s="40"/>
      <c r="BH26" s="40"/>
      <c r="BI26" s="40"/>
      <c r="BJ26" s="40"/>
      <c r="BK26" s="40"/>
      <c r="BL26" s="40"/>
      <c r="BM26" s="40"/>
      <c r="BN26" s="40"/>
      <c r="BO26" s="40"/>
      <c r="BP26" s="40"/>
      <c r="BQ26" s="40"/>
      <c r="BR26" s="40"/>
      <c r="BS26" s="40"/>
      <c r="BT26" s="40"/>
      <c r="BU26" s="40"/>
      <c r="BV26" s="40"/>
      <c r="BW26" s="40"/>
      <c r="BX26" s="40"/>
      <c r="BY26" s="40"/>
      <c r="BZ26" s="40"/>
      <c r="CA26" s="40"/>
      <c r="CB26" s="40"/>
      <c r="CC26" s="40"/>
      <c r="CD26" s="40"/>
      <c r="CE26" s="40"/>
      <c r="CF26" s="40"/>
      <c r="CG26" s="40"/>
      <c r="CH26" s="40"/>
      <c r="CI26" s="40"/>
      <c r="CJ26" s="40"/>
      <c r="CK26" s="40"/>
      <c r="CL26" s="40"/>
    </row>
    <row r="27" spans="1:90" x14ac:dyDescent="0.25">
      <c r="A27" s="40"/>
      <c r="B27" s="40"/>
      <c r="C27" s="40"/>
      <c r="D27" s="40"/>
      <c r="E27" s="40"/>
      <c r="F27" s="40"/>
      <c r="G27" s="40"/>
      <c r="H27" s="40"/>
      <c r="I27" s="40"/>
      <c r="J27" s="40"/>
      <c r="K27" s="40"/>
      <c r="L27" s="40"/>
      <c r="M27" s="40"/>
      <c r="N27" s="40"/>
      <c r="O27" s="40"/>
      <c r="P27" s="40"/>
      <c r="Q27" s="40"/>
      <c r="R27" s="40"/>
      <c r="S27" s="40"/>
      <c r="T27" s="40"/>
      <c r="U27" s="40"/>
      <c r="V27" s="40"/>
      <c r="W27" s="40"/>
      <c r="X27" s="40"/>
      <c r="Y27" s="40"/>
      <c r="Z27" s="40"/>
      <c r="AA27" s="40"/>
      <c r="AB27" s="40"/>
      <c r="AC27" s="40"/>
      <c r="AD27" s="40"/>
      <c r="AE27" s="40"/>
      <c r="AF27" s="40"/>
      <c r="AG27" s="40"/>
      <c r="AH27" s="40"/>
      <c r="AI27" s="40"/>
      <c r="AJ27" s="40"/>
      <c r="AK27" s="40"/>
      <c r="AL27" s="40"/>
      <c r="AM27" s="40"/>
      <c r="AN27" s="40"/>
      <c r="AO27" s="40"/>
      <c r="AP27" s="40"/>
      <c r="AQ27" s="40"/>
      <c r="AR27" s="40"/>
      <c r="AS27" s="40"/>
      <c r="AT27" s="40"/>
      <c r="AU27" s="40"/>
      <c r="AV27" s="40"/>
      <c r="AW27" s="40"/>
      <c r="AX27" s="40"/>
      <c r="AY27" s="40"/>
      <c r="AZ27" s="40"/>
      <c r="BA27" s="40"/>
      <c r="BB27" s="40"/>
      <c r="BC27" s="40"/>
      <c r="BD27" s="40"/>
      <c r="BE27" s="40"/>
      <c r="BF27" s="40"/>
      <c r="BG27" s="40"/>
      <c r="BH27" s="40"/>
      <c r="BI27" s="40"/>
      <c r="BJ27" s="40"/>
      <c r="BK27" s="40"/>
      <c r="BL27" s="40"/>
      <c r="BM27" s="40"/>
      <c r="BN27" s="40"/>
      <c r="BO27" s="40"/>
      <c r="BP27" s="40"/>
      <c r="BQ27" s="40"/>
      <c r="BR27" s="40"/>
      <c r="BS27" s="40"/>
      <c r="BT27" s="40"/>
      <c r="BU27" s="40"/>
      <c r="BV27" s="40"/>
      <c r="BW27" s="40"/>
      <c r="BX27" s="40"/>
      <c r="BY27" s="40"/>
      <c r="BZ27" s="40"/>
      <c r="CA27" s="40"/>
      <c r="CB27" s="40"/>
      <c r="CC27" s="40"/>
      <c r="CD27" s="40"/>
      <c r="CE27" s="40"/>
      <c r="CF27" s="40"/>
      <c r="CG27" s="40"/>
      <c r="CH27" s="40"/>
      <c r="CI27" s="40"/>
      <c r="CJ27" s="40"/>
      <c r="CK27" s="40"/>
      <c r="CL27" s="40"/>
    </row>
    <row r="28" spans="1:90" x14ac:dyDescent="0.25">
      <c r="A28" s="40"/>
      <c r="B28" s="40"/>
      <c r="C28" s="40"/>
      <c r="D28" s="40"/>
      <c r="E28" s="40"/>
      <c r="F28" s="40"/>
      <c r="G28" s="40"/>
      <c r="H28" s="40"/>
      <c r="I28" s="40"/>
      <c r="J28" s="40"/>
      <c r="K28" s="40"/>
      <c r="L28" s="40"/>
      <c r="M28" s="40"/>
      <c r="N28" s="40"/>
      <c r="O28" s="40"/>
      <c r="P28" s="40"/>
      <c r="Q28" s="40"/>
      <c r="R28" s="40"/>
      <c r="S28" s="40"/>
      <c r="T28" s="40"/>
      <c r="U28" s="40"/>
      <c r="V28" s="40"/>
      <c r="W28" s="40"/>
      <c r="X28" s="40"/>
      <c r="Y28" s="40"/>
      <c r="Z28" s="40"/>
      <c r="AA28" s="40"/>
      <c r="AB28" s="40"/>
      <c r="AC28" s="40"/>
      <c r="AD28" s="40"/>
      <c r="AE28" s="40"/>
      <c r="AF28" s="40"/>
      <c r="AG28" s="40"/>
      <c r="AH28" s="40"/>
      <c r="AI28" s="40"/>
      <c r="AJ28" s="40"/>
      <c r="AK28" s="40"/>
      <c r="AL28" s="40"/>
      <c r="AM28" s="40"/>
      <c r="AN28" s="40"/>
      <c r="AO28" s="40"/>
      <c r="AP28" s="40"/>
      <c r="AQ28" s="40"/>
      <c r="AR28" s="40"/>
      <c r="AS28" s="40"/>
      <c r="AT28" s="40"/>
      <c r="AU28" s="40"/>
      <c r="AV28" s="40"/>
      <c r="AW28" s="40"/>
      <c r="AX28" s="40"/>
      <c r="AY28" s="40"/>
      <c r="AZ28" s="40"/>
      <c r="BA28" s="40"/>
      <c r="BB28" s="40"/>
      <c r="BC28" s="40"/>
      <c r="BD28" s="40"/>
      <c r="BE28" s="40"/>
      <c r="BF28" s="40"/>
      <c r="BG28" s="40"/>
      <c r="BH28" s="40"/>
      <c r="BI28" s="40"/>
      <c r="BJ28" s="40"/>
      <c r="BK28" s="40"/>
      <c r="BL28" s="40"/>
      <c r="BM28" s="40"/>
      <c r="BN28" s="40"/>
      <c r="BO28" s="40"/>
      <c r="BP28" s="40"/>
      <c r="BQ28" s="40"/>
      <c r="BR28" s="40"/>
      <c r="BS28" s="40"/>
      <c r="BT28" s="40"/>
      <c r="BU28" s="40"/>
      <c r="BV28" s="40"/>
      <c r="BW28" s="40"/>
      <c r="BX28" s="40"/>
      <c r="BY28" s="40"/>
      <c r="BZ28" s="40"/>
      <c r="CA28" s="40"/>
      <c r="CB28" s="40"/>
      <c r="CC28" s="40"/>
      <c r="CD28" s="40"/>
      <c r="CE28" s="40"/>
      <c r="CF28" s="40"/>
      <c r="CG28" s="40"/>
      <c r="CH28" s="40"/>
      <c r="CI28" s="40"/>
      <c r="CJ28" s="40"/>
      <c r="CK28" s="40"/>
      <c r="CL28" s="40"/>
    </row>
    <row r="29" spans="1:90" x14ac:dyDescent="0.25">
      <c r="A29" s="40"/>
      <c r="B29" s="40"/>
      <c r="C29" s="40"/>
      <c r="D29" s="40"/>
      <c r="E29" s="40"/>
      <c r="F29" s="40"/>
      <c r="G29" s="40"/>
      <c r="H29" s="40"/>
      <c r="I29" s="40"/>
      <c r="J29" s="40"/>
      <c r="K29" s="40"/>
      <c r="L29" s="40"/>
      <c r="M29" s="40"/>
      <c r="N29" s="40"/>
      <c r="O29" s="40"/>
      <c r="P29" s="40"/>
      <c r="Q29" s="40"/>
      <c r="R29" s="40"/>
      <c r="S29" s="40"/>
      <c r="T29" s="40"/>
      <c r="U29" s="40"/>
      <c r="V29" s="40"/>
      <c r="W29" s="40"/>
      <c r="X29" s="40"/>
      <c r="Y29" s="40"/>
      <c r="Z29" s="40"/>
      <c r="AA29" s="40"/>
      <c r="AB29" s="40"/>
      <c r="AC29" s="40"/>
      <c r="AD29" s="40"/>
      <c r="AE29" s="40"/>
      <c r="AF29" s="40"/>
      <c r="AG29" s="40"/>
      <c r="AH29" s="40"/>
      <c r="AI29" s="40"/>
      <c r="AJ29" s="40"/>
      <c r="AK29" s="40"/>
      <c r="AL29" s="40"/>
      <c r="AM29" s="40"/>
      <c r="AN29" s="40"/>
      <c r="AO29" s="40"/>
      <c r="AP29" s="40"/>
      <c r="AQ29" s="40"/>
      <c r="AR29" s="40"/>
      <c r="AS29" s="40"/>
      <c r="AT29" s="40"/>
      <c r="AU29" s="40"/>
      <c r="AV29" s="40"/>
      <c r="AW29" s="40"/>
      <c r="AX29" s="40"/>
      <c r="AY29" s="40"/>
      <c r="AZ29" s="40"/>
      <c r="BA29" s="40"/>
      <c r="BB29" s="40"/>
      <c r="BC29" s="40"/>
      <c r="BD29" s="40"/>
      <c r="BE29" s="40"/>
      <c r="BF29" s="40"/>
      <c r="BG29" s="40"/>
      <c r="BH29" s="40"/>
      <c r="BI29" s="40"/>
      <c r="BJ29" s="40"/>
      <c r="BK29" s="40"/>
      <c r="BL29" s="40"/>
      <c r="BM29" s="40"/>
      <c r="BN29" s="40"/>
      <c r="BO29" s="40"/>
      <c r="BP29" s="40"/>
      <c r="BQ29" s="40"/>
      <c r="BR29" s="40"/>
      <c r="BS29" s="40"/>
      <c r="BT29" s="40"/>
      <c r="BU29" s="40"/>
      <c r="BV29" s="40"/>
      <c r="BW29" s="40"/>
      <c r="BX29" s="40"/>
      <c r="BY29" s="40"/>
      <c r="BZ29" s="40"/>
      <c r="CA29" s="40"/>
      <c r="CB29" s="40"/>
      <c r="CC29" s="40"/>
      <c r="CD29" s="40"/>
      <c r="CE29" s="40"/>
      <c r="CF29" s="40"/>
      <c r="CG29" s="40"/>
      <c r="CH29" s="40"/>
      <c r="CI29" s="40"/>
      <c r="CJ29" s="40"/>
      <c r="CK29" s="40"/>
      <c r="CL29" s="40"/>
    </row>
    <row r="30" spans="1:90" x14ac:dyDescent="0.25">
      <c r="A30" s="40"/>
      <c r="B30" s="40"/>
      <c r="C30" s="40"/>
      <c r="D30" s="40"/>
      <c r="E30" s="40"/>
      <c r="F30" s="40"/>
      <c r="G30" s="40"/>
      <c r="H30" s="40"/>
      <c r="I30" s="40"/>
      <c r="J30" s="40"/>
      <c r="K30" s="40"/>
      <c r="L30" s="40"/>
      <c r="M30" s="40"/>
      <c r="N30" s="40"/>
      <c r="O30" s="40"/>
      <c r="P30" s="40"/>
      <c r="Q30" s="40"/>
      <c r="R30" s="40"/>
      <c r="S30" s="40"/>
      <c r="T30" s="40"/>
      <c r="U30" s="40"/>
      <c r="V30" s="40"/>
      <c r="W30" s="40"/>
      <c r="X30" s="40"/>
      <c r="Y30" s="40"/>
      <c r="Z30" s="40"/>
      <c r="AA30" s="40"/>
      <c r="AB30" s="40"/>
      <c r="AC30" s="40"/>
      <c r="AD30" s="40"/>
      <c r="AE30" s="40"/>
      <c r="AF30" s="40"/>
      <c r="AG30" s="40"/>
      <c r="AH30" s="40"/>
      <c r="AI30" s="40"/>
      <c r="AJ30" s="40"/>
      <c r="AK30" s="40"/>
      <c r="AL30" s="40"/>
      <c r="AM30" s="40"/>
      <c r="AN30" s="40"/>
      <c r="AO30" s="40"/>
      <c r="AP30" s="40"/>
      <c r="AQ30" s="40"/>
      <c r="AR30" s="40"/>
      <c r="AS30" s="40"/>
      <c r="AT30" s="40"/>
      <c r="AU30" s="40"/>
      <c r="AV30" s="40"/>
      <c r="AW30" s="40"/>
      <c r="AX30" s="40"/>
      <c r="AY30" s="40"/>
      <c r="AZ30" s="40"/>
      <c r="BA30" s="40"/>
      <c r="BB30" s="40"/>
      <c r="BC30" s="40"/>
      <c r="BD30" s="40"/>
      <c r="BE30" s="40"/>
      <c r="BF30" s="40"/>
      <c r="BG30" s="40"/>
      <c r="BH30" s="40"/>
      <c r="BI30" s="40"/>
      <c r="BJ30" s="40"/>
      <c r="BK30" s="40"/>
      <c r="BL30" s="40"/>
      <c r="BM30" s="40"/>
      <c r="BN30" s="40"/>
      <c r="BO30" s="40"/>
      <c r="BP30" s="40"/>
      <c r="BQ30" s="40"/>
      <c r="BR30" s="40"/>
      <c r="BS30" s="40"/>
      <c r="BT30" s="40"/>
      <c r="BU30" s="40"/>
      <c r="BV30" s="40"/>
      <c r="BW30" s="40"/>
      <c r="BX30" s="40"/>
      <c r="BY30" s="40"/>
      <c r="BZ30" s="40"/>
      <c r="CA30" s="40"/>
      <c r="CB30" s="40"/>
      <c r="CC30" s="40"/>
      <c r="CD30" s="40"/>
      <c r="CE30" s="40"/>
      <c r="CF30" s="40"/>
      <c r="CG30" s="40"/>
      <c r="CH30" s="40"/>
      <c r="CI30" s="40"/>
      <c r="CJ30" s="40"/>
      <c r="CK30" s="40"/>
      <c r="CL30" s="40"/>
    </row>
    <row r="31" spans="1:90" x14ac:dyDescent="0.25">
      <c r="A31" s="40"/>
      <c r="B31" s="40"/>
      <c r="C31" s="40"/>
      <c r="D31" s="40"/>
      <c r="E31" s="40"/>
      <c r="F31" s="40"/>
      <c r="G31" s="40"/>
      <c r="H31" s="40"/>
      <c r="I31" s="40"/>
      <c r="J31" s="40"/>
      <c r="K31" s="40"/>
      <c r="L31" s="40"/>
      <c r="M31" s="40"/>
      <c r="N31" s="40"/>
      <c r="O31" s="40"/>
      <c r="P31" s="40"/>
      <c r="Q31" s="40"/>
      <c r="R31" s="40"/>
      <c r="S31" s="40"/>
      <c r="T31" s="40"/>
      <c r="U31" s="40"/>
      <c r="V31" s="40"/>
      <c r="W31" s="40"/>
      <c r="X31" s="40"/>
      <c r="Y31" s="40"/>
      <c r="Z31" s="40"/>
      <c r="AA31" s="40"/>
      <c r="AB31" s="40"/>
      <c r="AC31" s="40"/>
      <c r="AD31" s="40"/>
      <c r="AE31" s="40"/>
      <c r="AF31" s="40"/>
      <c r="AG31" s="40"/>
      <c r="AH31" s="40"/>
      <c r="AI31" s="40"/>
      <c r="AJ31" s="40"/>
      <c r="AK31" s="40"/>
      <c r="AL31" s="40"/>
      <c r="AM31" s="40"/>
      <c r="AN31" s="40"/>
      <c r="AO31" s="40"/>
      <c r="AP31" s="40"/>
      <c r="AQ31" s="40"/>
      <c r="AR31" s="40"/>
      <c r="AS31" s="40"/>
      <c r="AT31" s="40"/>
      <c r="AU31" s="40"/>
      <c r="AV31" s="40"/>
      <c r="AW31" s="40"/>
      <c r="AX31" s="40"/>
      <c r="AY31" s="40"/>
      <c r="AZ31" s="40"/>
      <c r="BA31" s="40"/>
      <c r="BB31" s="40"/>
      <c r="BC31" s="40"/>
      <c r="BD31" s="40"/>
      <c r="BE31" s="40"/>
      <c r="BF31" s="40"/>
      <c r="BG31" s="40"/>
      <c r="BH31" s="40"/>
      <c r="BI31" s="40"/>
      <c r="BJ31" s="40"/>
      <c r="BK31" s="40"/>
      <c r="BL31" s="40"/>
      <c r="BM31" s="40"/>
      <c r="BN31" s="40"/>
      <c r="BO31" s="40"/>
      <c r="BP31" s="40"/>
      <c r="BQ31" s="40"/>
      <c r="BR31" s="40"/>
      <c r="BS31" s="40"/>
      <c r="BT31" s="40"/>
      <c r="BU31" s="40"/>
      <c r="BV31" s="40"/>
      <c r="BW31" s="40"/>
      <c r="BX31" s="40"/>
      <c r="BY31" s="40"/>
      <c r="BZ31" s="40"/>
      <c r="CA31" s="40"/>
      <c r="CB31" s="40"/>
      <c r="CC31" s="40"/>
      <c r="CD31" s="40"/>
      <c r="CE31" s="40"/>
      <c r="CF31" s="40"/>
      <c r="CG31" s="40"/>
      <c r="CH31" s="40"/>
      <c r="CI31" s="40"/>
      <c r="CJ31" s="40"/>
      <c r="CK31" s="40"/>
      <c r="CL31" s="40"/>
    </row>
    <row r="32" spans="1:90" x14ac:dyDescent="0.25">
      <c r="A32" s="40"/>
      <c r="B32" s="40"/>
      <c r="C32" s="40"/>
      <c r="D32" s="40"/>
      <c r="E32" s="40"/>
      <c r="F32" s="40"/>
      <c r="G32" s="40"/>
      <c r="H32" s="40"/>
      <c r="I32" s="40"/>
      <c r="J32" s="40"/>
      <c r="K32" s="40"/>
      <c r="L32" s="40"/>
      <c r="M32" s="40"/>
      <c r="N32" s="40"/>
      <c r="O32" s="40"/>
      <c r="P32" s="40"/>
      <c r="Q32" s="40"/>
      <c r="R32" s="40"/>
      <c r="S32" s="40"/>
      <c r="T32" s="40"/>
      <c r="U32" s="40"/>
      <c r="V32" s="40"/>
      <c r="W32" s="40"/>
      <c r="X32" s="40"/>
      <c r="Y32" s="40"/>
      <c r="Z32" s="40"/>
      <c r="AA32" s="40"/>
      <c r="AB32" s="40"/>
      <c r="AC32" s="40"/>
      <c r="AD32" s="40"/>
      <c r="AE32" s="40"/>
      <c r="AF32" s="40"/>
      <c r="AG32" s="40"/>
      <c r="AH32" s="40"/>
      <c r="AI32" s="40"/>
      <c r="AJ32" s="40"/>
      <c r="AK32" s="40"/>
      <c r="AL32" s="40"/>
      <c r="AM32" s="40"/>
      <c r="AN32" s="40"/>
      <c r="AO32" s="40"/>
      <c r="AP32" s="40"/>
      <c r="AQ32" s="40"/>
      <c r="AR32" s="40"/>
      <c r="AS32" s="40"/>
      <c r="AT32" s="40"/>
      <c r="AU32" s="40"/>
      <c r="AV32" s="40"/>
      <c r="AW32" s="40"/>
      <c r="AX32" s="40"/>
      <c r="AY32" s="40"/>
      <c r="AZ32" s="40"/>
      <c r="BA32" s="40"/>
      <c r="BB32" s="40"/>
      <c r="BC32" s="40"/>
      <c r="BD32" s="40"/>
      <c r="BE32" s="40"/>
      <c r="BF32" s="40"/>
      <c r="BG32" s="40"/>
      <c r="BH32" s="40"/>
      <c r="BI32" s="40"/>
      <c r="BJ32" s="40"/>
      <c r="BK32" s="40"/>
      <c r="BL32" s="40"/>
      <c r="BM32" s="40"/>
      <c r="BN32" s="40"/>
      <c r="BO32" s="40"/>
      <c r="BP32" s="40"/>
      <c r="BQ32" s="40"/>
      <c r="BR32" s="40"/>
      <c r="BS32" s="40"/>
      <c r="BT32" s="40"/>
      <c r="BU32" s="40"/>
      <c r="BV32" s="40"/>
      <c r="BW32" s="40"/>
      <c r="BX32" s="40"/>
      <c r="BY32" s="40"/>
      <c r="BZ32" s="40"/>
      <c r="CA32" s="40"/>
      <c r="CB32" s="40"/>
      <c r="CC32" s="40"/>
      <c r="CD32" s="40"/>
      <c r="CE32" s="40"/>
      <c r="CF32" s="40"/>
      <c r="CG32" s="40"/>
      <c r="CH32" s="40"/>
      <c r="CI32" s="40"/>
      <c r="CJ32" s="40"/>
      <c r="CK32" s="40"/>
      <c r="CL32" s="40"/>
    </row>
    <row r="33" spans="1:90" x14ac:dyDescent="0.25">
      <c r="A33" s="40"/>
      <c r="B33" s="40"/>
      <c r="C33" s="40"/>
      <c r="D33" s="40"/>
      <c r="E33" s="40"/>
      <c r="F33" s="40"/>
      <c r="G33" s="40"/>
      <c r="H33" s="40"/>
      <c r="I33" s="40"/>
      <c r="J33" s="40"/>
      <c r="K33" s="40"/>
      <c r="L33" s="40"/>
      <c r="M33" s="40"/>
      <c r="N33" s="40"/>
      <c r="O33" s="40"/>
      <c r="P33" s="40"/>
      <c r="Q33" s="40"/>
      <c r="R33" s="40"/>
      <c r="S33" s="40"/>
      <c r="T33" s="40"/>
      <c r="U33" s="40"/>
      <c r="V33" s="40"/>
      <c r="W33" s="40"/>
      <c r="X33" s="40"/>
      <c r="Y33" s="40"/>
      <c r="Z33" s="40"/>
      <c r="AA33" s="40"/>
      <c r="AB33" s="40"/>
      <c r="AC33" s="40"/>
      <c r="AD33" s="40"/>
      <c r="AE33" s="40"/>
      <c r="AF33" s="40"/>
      <c r="AG33" s="40"/>
      <c r="AH33" s="40"/>
      <c r="AI33" s="40"/>
      <c r="AJ33" s="40"/>
      <c r="AK33" s="40"/>
      <c r="AL33" s="40"/>
      <c r="AM33" s="40"/>
      <c r="AN33" s="40"/>
      <c r="AO33" s="40"/>
      <c r="AP33" s="40"/>
      <c r="AQ33" s="40"/>
      <c r="AR33" s="40"/>
      <c r="AS33" s="40"/>
      <c r="AT33" s="40"/>
      <c r="AU33" s="40"/>
      <c r="AV33" s="40"/>
      <c r="AW33" s="40"/>
      <c r="AX33" s="40"/>
      <c r="AY33" s="40"/>
      <c r="AZ33" s="40"/>
      <c r="BA33" s="40"/>
      <c r="BB33" s="40"/>
      <c r="BC33" s="40"/>
      <c r="BD33" s="40"/>
      <c r="BE33" s="40"/>
      <c r="BF33" s="40"/>
      <c r="BG33" s="40"/>
      <c r="BH33" s="40"/>
      <c r="BI33" s="40"/>
      <c r="BJ33" s="40"/>
      <c r="BK33" s="40"/>
      <c r="BL33" s="40"/>
      <c r="BM33" s="40"/>
      <c r="BN33" s="40"/>
      <c r="BO33" s="40"/>
      <c r="BP33" s="40"/>
      <c r="BQ33" s="40"/>
      <c r="BR33" s="40"/>
      <c r="BS33" s="40"/>
      <c r="BT33" s="40"/>
      <c r="BU33" s="40"/>
      <c r="BV33" s="40"/>
      <c r="BW33" s="40"/>
      <c r="BX33" s="40"/>
      <c r="BY33" s="40"/>
      <c r="BZ33" s="40"/>
      <c r="CA33" s="40"/>
      <c r="CB33" s="40"/>
      <c r="CC33" s="40"/>
      <c r="CD33" s="40"/>
      <c r="CE33" s="40"/>
      <c r="CF33" s="40"/>
      <c r="CG33" s="40"/>
      <c r="CH33" s="40"/>
      <c r="CI33" s="40"/>
      <c r="CJ33" s="40"/>
      <c r="CK33" s="40"/>
      <c r="CL33" s="40"/>
    </row>
    <row r="34" spans="1:90" x14ac:dyDescent="0.25">
      <c r="A34" s="40"/>
      <c r="B34" s="40"/>
      <c r="C34" s="40"/>
      <c r="D34" s="40"/>
      <c r="E34" s="40"/>
      <c r="F34" s="40"/>
      <c r="G34" s="40"/>
      <c r="H34" s="40"/>
      <c r="I34" s="40"/>
      <c r="J34" s="40"/>
      <c r="K34" s="40"/>
      <c r="L34" s="40"/>
      <c r="M34" s="40"/>
      <c r="N34" s="40"/>
      <c r="O34" s="40"/>
      <c r="P34" s="40"/>
      <c r="Q34" s="40"/>
      <c r="R34" s="40"/>
      <c r="S34" s="40"/>
      <c r="T34" s="40"/>
      <c r="U34" s="40"/>
      <c r="V34" s="40"/>
      <c r="W34" s="40"/>
      <c r="X34" s="40"/>
      <c r="Y34" s="40"/>
      <c r="Z34" s="40"/>
      <c r="AA34" s="40"/>
      <c r="AB34" s="40"/>
      <c r="AC34" s="40"/>
      <c r="AD34" s="40"/>
      <c r="AE34" s="40"/>
      <c r="AF34" s="40"/>
      <c r="AG34" s="40"/>
      <c r="AH34" s="40"/>
      <c r="AI34" s="40"/>
      <c r="AJ34" s="40"/>
      <c r="AK34" s="40"/>
      <c r="AL34" s="40"/>
      <c r="AM34" s="40"/>
      <c r="AN34" s="40"/>
      <c r="AO34" s="40"/>
      <c r="AP34" s="40"/>
      <c r="AQ34" s="40"/>
      <c r="AR34" s="40"/>
      <c r="AS34" s="40"/>
      <c r="AT34" s="40"/>
      <c r="AU34" s="40"/>
      <c r="AV34" s="40"/>
      <c r="AW34" s="40"/>
      <c r="AX34" s="40"/>
      <c r="AY34" s="40"/>
      <c r="AZ34" s="40"/>
      <c r="BA34" s="40"/>
      <c r="BB34" s="40"/>
      <c r="BC34" s="40"/>
      <c r="BD34" s="40"/>
      <c r="BE34" s="40"/>
      <c r="BF34" s="40"/>
      <c r="BG34" s="40"/>
      <c r="BH34" s="40"/>
      <c r="BI34" s="40"/>
      <c r="BJ34" s="40"/>
      <c r="BK34" s="40"/>
      <c r="BL34" s="40"/>
      <c r="BM34" s="40"/>
      <c r="BN34" s="40"/>
      <c r="BO34" s="40"/>
      <c r="BP34" s="40"/>
      <c r="BQ34" s="40"/>
      <c r="BR34" s="40"/>
      <c r="BS34" s="40"/>
      <c r="BT34" s="40"/>
      <c r="BU34" s="40"/>
      <c r="BV34" s="40"/>
      <c r="BW34" s="40"/>
      <c r="BX34" s="40"/>
      <c r="BY34" s="40"/>
      <c r="BZ34" s="40"/>
      <c r="CA34" s="40"/>
      <c r="CB34" s="40"/>
      <c r="CC34" s="40"/>
      <c r="CD34" s="40"/>
      <c r="CE34" s="40"/>
      <c r="CF34" s="40"/>
      <c r="CG34" s="40"/>
      <c r="CH34" s="40"/>
      <c r="CI34" s="40"/>
      <c r="CJ34" s="40"/>
      <c r="CK34" s="40"/>
      <c r="CL34" s="40"/>
    </row>
    <row r="35" spans="1:90" x14ac:dyDescent="0.25">
      <c r="A35" s="40"/>
      <c r="B35" s="40"/>
      <c r="C35" s="40"/>
      <c r="D35" s="40"/>
      <c r="E35" s="40"/>
      <c r="F35" s="40"/>
      <c r="G35" s="40"/>
      <c r="H35" s="40"/>
      <c r="I35" s="40"/>
      <c r="J35" s="40"/>
      <c r="K35" s="40"/>
      <c r="L35" s="40"/>
      <c r="M35" s="40"/>
      <c r="N35" s="40"/>
      <c r="O35" s="40"/>
      <c r="P35" s="40"/>
      <c r="Q35" s="40"/>
      <c r="R35" s="40"/>
      <c r="S35" s="40"/>
      <c r="T35" s="40"/>
      <c r="U35" s="40"/>
      <c r="V35" s="40"/>
      <c r="W35" s="40"/>
      <c r="X35" s="40"/>
      <c r="Y35" s="40"/>
      <c r="Z35" s="40"/>
      <c r="AA35" s="40"/>
      <c r="AB35" s="40"/>
      <c r="AC35" s="40"/>
      <c r="AD35" s="40"/>
      <c r="AE35" s="40"/>
      <c r="AF35" s="40"/>
      <c r="AG35" s="40"/>
      <c r="AH35" s="40"/>
      <c r="AI35" s="40"/>
      <c r="AJ35" s="40"/>
      <c r="AK35" s="40"/>
      <c r="AL35" s="40"/>
      <c r="AM35" s="40"/>
      <c r="AN35" s="40"/>
      <c r="AO35" s="40"/>
      <c r="AP35" s="40"/>
      <c r="AQ35" s="40"/>
      <c r="AR35" s="40"/>
      <c r="AS35" s="40"/>
      <c r="AT35" s="40"/>
      <c r="AU35" s="40"/>
      <c r="AV35" s="40"/>
      <c r="AW35" s="40"/>
      <c r="AX35" s="40"/>
      <c r="AY35" s="40"/>
      <c r="AZ35" s="40"/>
      <c r="BA35" s="40"/>
      <c r="BB35" s="40"/>
      <c r="BC35" s="40"/>
      <c r="BD35" s="40"/>
      <c r="BE35" s="40"/>
      <c r="BF35" s="40"/>
      <c r="BG35" s="40"/>
      <c r="BH35" s="40"/>
      <c r="BI35" s="40"/>
      <c r="BJ35" s="40"/>
      <c r="BK35" s="40"/>
      <c r="BL35" s="40"/>
      <c r="BM35" s="40"/>
      <c r="BN35" s="40"/>
      <c r="BO35" s="40"/>
      <c r="BP35" s="40"/>
      <c r="BQ35" s="40"/>
      <c r="BR35" s="40"/>
      <c r="BS35" s="40"/>
      <c r="BT35" s="40"/>
      <c r="BU35" s="40"/>
      <c r="BV35" s="40"/>
      <c r="BW35" s="40"/>
      <c r="BX35" s="40"/>
      <c r="BY35" s="40"/>
      <c r="BZ35" s="40"/>
      <c r="CA35" s="40"/>
      <c r="CB35" s="40"/>
      <c r="CC35" s="40"/>
      <c r="CD35" s="40"/>
      <c r="CE35" s="40"/>
      <c r="CF35" s="40"/>
      <c r="CG35" s="40"/>
      <c r="CH35" s="40"/>
      <c r="CI35" s="40"/>
      <c r="CJ35" s="40"/>
      <c r="CK35" s="40"/>
      <c r="CL35" s="40"/>
    </row>
    <row r="36" spans="1:90" x14ac:dyDescent="0.25">
      <c r="A36" s="40"/>
      <c r="B36" s="40"/>
      <c r="C36" s="40"/>
      <c r="D36" s="40"/>
      <c r="E36" s="40"/>
      <c r="F36" s="40"/>
      <c r="G36" s="40"/>
      <c r="H36" s="40"/>
      <c r="I36" s="40"/>
      <c r="J36" s="40"/>
      <c r="K36" s="40"/>
      <c r="L36" s="40"/>
      <c r="M36" s="40"/>
      <c r="N36" s="40"/>
      <c r="O36" s="40"/>
      <c r="P36" s="40"/>
      <c r="Q36" s="40"/>
      <c r="R36" s="40"/>
      <c r="S36" s="40"/>
      <c r="T36" s="40"/>
      <c r="U36" s="40"/>
      <c r="V36" s="40"/>
      <c r="W36" s="40"/>
      <c r="X36" s="40"/>
      <c r="Y36" s="40"/>
      <c r="Z36" s="40"/>
      <c r="AA36" s="40"/>
      <c r="AB36" s="40"/>
      <c r="AC36" s="40"/>
      <c r="AD36" s="40"/>
      <c r="AE36" s="40"/>
      <c r="AF36" s="40"/>
      <c r="AG36" s="40"/>
      <c r="AH36" s="40"/>
      <c r="AI36" s="40"/>
      <c r="AJ36" s="40"/>
      <c r="AK36" s="40"/>
      <c r="AL36" s="40"/>
      <c r="AM36" s="40"/>
      <c r="AN36" s="40"/>
      <c r="AO36" s="40"/>
      <c r="AP36" s="40"/>
      <c r="AQ36" s="40"/>
      <c r="AR36" s="40"/>
      <c r="AS36" s="40"/>
      <c r="AT36" s="40"/>
      <c r="AU36" s="40"/>
      <c r="AV36" s="40"/>
      <c r="AW36" s="40"/>
      <c r="AX36" s="40"/>
      <c r="AY36" s="40"/>
      <c r="AZ36" s="40"/>
      <c r="BA36" s="40"/>
      <c r="BB36" s="40"/>
      <c r="BC36" s="40"/>
      <c r="BD36" s="40"/>
      <c r="BE36" s="40"/>
      <c r="BF36" s="40"/>
      <c r="BG36" s="40"/>
      <c r="BH36" s="40"/>
      <c r="BI36" s="40"/>
      <c r="BJ36" s="40"/>
      <c r="BK36" s="40"/>
      <c r="BL36" s="40"/>
      <c r="BM36" s="40"/>
      <c r="BN36" s="40"/>
      <c r="BO36" s="40"/>
      <c r="BP36" s="40"/>
      <c r="BQ36" s="40"/>
      <c r="BR36" s="40"/>
      <c r="BS36" s="40"/>
      <c r="BT36" s="40"/>
      <c r="BU36" s="40"/>
      <c r="BV36" s="40"/>
      <c r="BW36" s="40"/>
      <c r="BX36" s="40"/>
      <c r="BY36" s="40"/>
      <c r="BZ36" s="40"/>
      <c r="CA36" s="40"/>
      <c r="CB36" s="40"/>
      <c r="CC36" s="40"/>
      <c r="CD36" s="40"/>
      <c r="CE36" s="40"/>
      <c r="CF36" s="40"/>
      <c r="CG36" s="40"/>
      <c r="CH36" s="40"/>
      <c r="CI36" s="40"/>
      <c r="CJ36" s="40"/>
      <c r="CK36" s="40"/>
      <c r="CL36" s="40"/>
    </row>
    <row r="37" spans="1:90" x14ac:dyDescent="0.25">
      <c r="A37" s="40"/>
      <c r="B37" s="40"/>
      <c r="C37" s="40"/>
      <c r="D37" s="40"/>
      <c r="E37" s="40"/>
      <c r="F37" s="40"/>
      <c r="G37" s="40"/>
      <c r="H37" s="40"/>
      <c r="I37" s="40"/>
      <c r="J37" s="40"/>
      <c r="K37" s="40"/>
      <c r="L37" s="40"/>
      <c r="M37" s="40"/>
      <c r="N37" s="40"/>
      <c r="O37" s="40"/>
      <c r="P37" s="40"/>
      <c r="Q37" s="40"/>
      <c r="R37" s="40"/>
      <c r="S37" s="40"/>
      <c r="T37" s="40"/>
      <c r="U37" s="40"/>
      <c r="V37" s="40"/>
      <c r="W37" s="40"/>
      <c r="X37" s="40"/>
      <c r="Y37" s="40"/>
      <c r="Z37" s="40"/>
      <c r="AA37" s="40"/>
      <c r="AB37" s="40"/>
      <c r="AC37" s="40"/>
      <c r="AD37" s="40"/>
      <c r="AE37" s="40"/>
      <c r="AF37" s="40"/>
      <c r="AG37" s="40"/>
      <c r="AH37" s="40"/>
      <c r="AI37" s="40"/>
      <c r="AJ37" s="40"/>
      <c r="AK37" s="40"/>
      <c r="AL37" s="40"/>
      <c r="AM37" s="40"/>
      <c r="AN37" s="40"/>
      <c r="AO37" s="40"/>
      <c r="AP37" s="40"/>
      <c r="AQ37" s="40"/>
      <c r="AR37" s="40"/>
      <c r="AS37" s="40"/>
      <c r="AT37" s="40"/>
      <c r="AU37" s="40"/>
      <c r="AV37" s="40"/>
      <c r="AW37" s="40"/>
      <c r="AX37" s="40"/>
      <c r="AY37" s="40"/>
      <c r="AZ37" s="40"/>
      <c r="BA37" s="40"/>
      <c r="BB37" s="40"/>
      <c r="BC37" s="40"/>
      <c r="BD37" s="40"/>
      <c r="BE37" s="40"/>
      <c r="BF37" s="40"/>
      <c r="BG37" s="40"/>
      <c r="BH37" s="40"/>
      <c r="BI37" s="40"/>
      <c r="BJ37" s="40"/>
      <c r="BK37" s="40"/>
      <c r="BL37" s="40"/>
      <c r="BM37" s="40"/>
      <c r="BN37" s="40"/>
      <c r="BO37" s="40"/>
      <c r="BP37" s="40"/>
      <c r="BQ37" s="40"/>
      <c r="BR37" s="40"/>
      <c r="BS37" s="40"/>
      <c r="BT37" s="40"/>
      <c r="BU37" s="40"/>
      <c r="BV37" s="40"/>
      <c r="BW37" s="40"/>
      <c r="BX37" s="40"/>
      <c r="BY37" s="40"/>
      <c r="BZ37" s="40"/>
      <c r="CA37" s="40"/>
      <c r="CB37" s="40"/>
      <c r="CC37" s="40"/>
      <c r="CD37" s="40"/>
      <c r="CE37" s="40"/>
      <c r="CF37" s="40"/>
      <c r="CG37" s="40"/>
      <c r="CH37" s="40"/>
      <c r="CI37" s="40"/>
      <c r="CJ37" s="40"/>
      <c r="CK37" s="40"/>
      <c r="CL37" s="40"/>
    </row>
    <row r="38" spans="1:90" x14ac:dyDescent="0.25">
      <c r="A38" s="40"/>
      <c r="B38" s="40"/>
      <c r="C38" s="40"/>
      <c r="D38" s="40"/>
      <c r="E38" s="40"/>
      <c r="F38" s="40"/>
      <c r="G38" s="40"/>
      <c r="H38" s="40"/>
      <c r="I38" s="40"/>
      <c r="J38" s="40"/>
      <c r="K38" s="40"/>
      <c r="L38" s="40"/>
      <c r="M38" s="40"/>
      <c r="N38" s="40"/>
      <c r="O38" s="40"/>
      <c r="P38" s="40"/>
      <c r="Q38" s="40"/>
      <c r="R38" s="40"/>
      <c r="S38" s="40"/>
      <c r="T38" s="40"/>
      <c r="U38" s="40"/>
      <c r="V38" s="40"/>
      <c r="W38" s="40"/>
      <c r="X38" s="40"/>
      <c r="Y38" s="40"/>
      <c r="Z38" s="40"/>
      <c r="AA38" s="40"/>
      <c r="AB38" s="40"/>
      <c r="AC38" s="40"/>
      <c r="AD38" s="40"/>
      <c r="AE38" s="40"/>
      <c r="AF38" s="40"/>
      <c r="AG38" s="40"/>
      <c r="AH38" s="40"/>
      <c r="AI38" s="40"/>
      <c r="AJ38" s="40"/>
      <c r="AK38" s="40"/>
      <c r="AL38" s="40"/>
      <c r="AM38" s="40"/>
      <c r="AN38" s="40"/>
      <c r="AO38" s="40"/>
      <c r="AP38" s="40"/>
      <c r="AQ38" s="40"/>
      <c r="AR38" s="40"/>
      <c r="AS38" s="40"/>
      <c r="AT38" s="40"/>
      <c r="AU38" s="40"/>
      <c r="AV38" s="40"/>
      <c r="AW38" s="40"/>
      <c r="AX38" s="40"/>
      <c r="AY38" s="40"/>
      <c r="AZ38" s="40"/>
      <c r="BA38" s="40"/>
      <c r="BB38" s="40"/>
      <c r="BC38" s="40"/>
      <c r="BD38" s="40"/>
      <c r="BE38" s="40"/>
      <c r="BF38" s="40"/>
      <c r="BG38" s="40"/>
      <c r="BH38" s="40"/>
      <c r="BI38" s="40"/>
      <c r="BJ38" s="40"/>
      <c r="BK38" s="40"/>
      <c r="BL38" s="40"/>
      <c r="BM38" s="40"/>
      <c r="BN38" s="40"/>
      <c r="BO38" s="40"/>
      <c r="BP38" s="40"/>
      <c r="BQ38" s="40"/>
      <c r="BR38" s="40"/>
      <c r="BS38" s="40"/>
      <c r="BT38" s="40"/>
      <c r="BU38" s="40"/>
      <c r="BV38" s="40"/>
      <c r="BW38" s="40"/>
      <c r="BX38" s="40"/>
      <c r="BY38" s="40"/>
      <c r="BZ38" s="40"/>
      <c r="CA38" s="40"/>
      <c r="CB38" s="40"/>
      <c r="CC38" s="40"/>
      <c r="CD38" s="40"/>
      <c r="CE38" s="40"/>
      <c r="CF38" s="40"/>
      <c r="CG38" s="40"/>
      <c r="CH38" s="40"/>
      <c r="CI38" s="40"/>
      <c r="CJ38" s="40"/>
      <c r="CK38" s="40"/>
      <c r="CL38" s="40"/>
    </row>
    <row r="39" spans="1:90" x14ac:dyDescent="0.25">
      <c r="A39" s="40"/>
      <c r="B39" s="40"/>
      <c r="C39" s="40"/>
      <c r="D39" s="40"/>
      <c r="E39" s="40"/>
      <c r="F39" s="40"/>
      <c r="G39" s="40"/>
      <c r="H39" s="40"/>
      <c r="I39" s="40"/>
      <c r="J39" s="40"/>
      <c r="K39" s="40"/>
      <c r="L39" s="40"/>
      <c r="M39" s="40"/>
      <c r="N39" s="40"/>
      <c r="O39" s="40"/>
      <c r="P39" s="40"/>
      <c r="Q39" s="40"/>
      <c r="R39" s="40"/>
      <c r="S39" s="40"/>
      <c r="T39" s="40"/>
      <c r="U39" s="40"/>
      <c r="V39" s="40"/>
      <c r="W39" s="40"/>
      <c r="X39" s="40"/>
      <c r="Y39" s="40"/>
      <c r="Z39" s="40"/>
      <c r="AA39" s="40"/>
      <c r="AB39" s="40"/>
      <c r="AC39" s="40"/>
      <c r="AD39" s="40"/>
      <c r="AE39" s="40"/>
      <c r="AF39" s="40"/>
      <c r="AG39" s="40"/>
      <c r="AH39" s="40"/>
      <c r="AI39" s="40"/>
      <c r="AJ39" s="40"/>
      <c r="AK39" s="40"/>
      <c r="AL39" s="40"/>
      <c r="AM39" s="40"/>
      <c r="AN39" s="40"/>
      <c r="AO39" s="40"/>
      <c r="AP39" s="40"/>
      <c r="AQ39" s="40"/>
      <c r="AR39" s="40"/>
      <c r="AS39" s="40"/>
      <c r="AT39" s="40"/>
      <c r="AU39" s="40"/>
      <c r="AV39" s="40"/>
      <c r="AW39" s="40"/>
      <c r="AX39" s="40"/>
      <c r="AY39" s="40"/>
      <c r="AZ39" s="40"/>
      <c r="BA39" s="40"/>
      <c r="BB39" s="40"/>
      <c r="BC39" s="40"/>
      <c r="BD39" s="40"/>
      <c r="BE39" s="40"/>
      <c r="BF39" s="40"/>
      <c r="BG39" s="40"/>
      <c r="BH39" s="40"/>
      <c r="BI39" s="40"/>
      <c r="BJ39" s="40"/>
      <c r="BK39" s="40"/>
      <c r="BL39" s="40"/>
      <c r="BM39" s="40"/>
      <c r="BN39" s="40"/>
      <c r="BO39" s="40"/>
      <c r="BP39" s="40"/>
      <c r="BQ39" s="40"/>
      <c r="BR39" s="40"/>
      <c r="BS39" s="40"/>
      <c r="BT39" s="40"/>
      <c r="BU39" s="40"/>
      <c r="BV39" s="40"/>
      <c r="BW39" s="40"/>
      <c r="BX39" s="40"/>
      <c r="BY39" s="40"/>
      <c r="BZ39" s="40"/>
      <c r="CA39" s="40"/>
      <c r="CB39" s="40"/>
      <c r="CC39" s="40"/>
      <c r="CD39" s="40"/>
      <c r="CE39" s="40"/>
      <c r="CF39" s="40"/>
      <c r="CG39" s="40"/>
      <c r="CH39" s="40"/>
      <c r="CI39" s="40"/>
      <c r="CJ39" s="40"/>
      <c r="CK39" s="40"/>
      <c r="CL39" s="40"/>
    </row>
    <row r="40" spans="1:90" x14ac:dyDescent="0.25">
      <c r="A40" s="40"/>
      <c r="B40" s="40"/>
      <c r="C40" s="40"/>
      <c r="D40" s="40"/>
      <c r="E40" s="40"/>
      <c r="F40" s="40"/>
      <c r="G40" s="40"/>
      <c r="H40" s="40"/>
      <c r="I40" s="40"/>
      <c r="J40" s="40"/>
      <c r="K40" s="40"/>
      <c r="L40" s="40"/>
      <c r="M40" s="40"/>
      <c r="N40" s="40"/>
      <c r="O40" s="40"/>
      <c r="P40" s="40"/>
      <c r="Q40" s="40"/>
      <c r="R40" s="40"/>
      <c r="S40" s="40"/>
      <c r="T40" s="40"/>
      <c r="U40" s="40"/>
      <c r="V40" s="40"/>
      <c r="W40" s="40"/>
      <c r="X40" s="40"/>
      <c r="Y40" s="40"/>
      <c r="Z40" s="40"/>
      <c r="AA40" s="40"/>
      <c r="AB40" s="40"/>
      <c r="AC40" s="40"/>
      <c r="AD40" s="40"/>
      <c r="AE40" s="40"/>
      <c r="AF40" s="40"/>
      <c r="AG40" s="40"/>
      <c r="AH40" s="40"/>
      <c r="AI40" s="40"/>
      <c r="AJ40" s="40"/>
      <c r="AK40" s="40"/>
      <c r="AL40" s="40"/>
      <c r="AM40" s="40"/>
      <c r="AN40" s="40"/>
      <c r="AO40" s="40"/>
      <c r="AP40" s="40"/>
      <c r="AQ40" s="40"/>
      <c r="AR40" s="40"/>
      <c r="AS40" s="40"/>
      <c r="AT40" s="40"/>
      <c r="AU40" s="40"/>
      <c r="AV40" s="40"/>
      <c r="AW40" s="40"/>
      <c r="AX40" s="40"/>
      <c r="AY40" s="40"/>
      <c r="AZ40" s="40"/>
      <c r="BA40" s="40"/>
      <c r="BB40" s="40"/>
      <c r="BC40" s="40"/>
      <c r="BD40" s="40"/>
      <c r="BE40" s="40"/>
      <c r="BF40" s="40"/>
      <c r="BG40" s="40"/>
      <c r="BH40" s="40"/>
      <c r="BI40" s="40"/>
      <c r="BJ40" s="40"/>
      <c r="BK40" s="40"/>
      <c r="BL40" s="40"/>
      <c r="BM40" s="40"/>
      <c r="BN40" s="40"/>
      <c r="BO40" s="40"/>
      <c r="BP40" s="40"/>
      <c r="BQ40" s="40"/>
      <c r="BR40" s="40"/>
      <c r="BS40" s="40"/>
      <c r="BT40" s="40"/>
      <c r="BU40" s="40"/>
      <c r="BV40" s="40"/>
      <c r="BW40" s="40"/>
      <c r="BX40" s="40"/>
      <c r="BY40" s="40"/>
      <c r="BZ40" s="40"/>
      <c r="CA40" s="40"/>
      <c r="CB40" s="40"/>
      <c r="CC40" s="40"/>
      <c r="CD40" s="40"/>
      <c r="CE40" s="40"/>
      <c r="CF40" s="40"/>
      <c r="CG40" s="40"/>
      <c r="CH40" s="40"/>
      <c r="CI40" s="40"/>
      <c r="CJ40" s="40"/>
      <c r="CK40" s="40"/>
      <c r="CL40" s="40"/>
    </row>
    <row r="41" spans="1:90" x14ac:dyDescent="0.25">
      <c r="A41" s="40"/>
      <c r="B41" s="40"/>
      <c r="C41" s="40"/>
      <c r="D41" s="40"/>
      <c r="E41" s="40"/>
      <c r="F41" s="40"/>
      <c r="G41" s="40"/>
      <c r="H41" s="40"/>
      <c r="I41" s="40"/>
      <c r="J41" s="40"/>
      <c r="K41" s="40"/>
      <c r="L41" s="40"/>
      <c r="M41" s="40"/>
      <c r="N41" s="40"/>
      <c r="O41" s="40"/>
      <c r="P41" s="40"/>
      <c r="Q41" s="40"/>
      <c r="R41" s="40"/>
      <c r="S41" s="40"/>
      <c r="T41" s="40"/>
      <c r="U41" s="40"/>
      <c r="V41" s="40"/>
      <c r="W41" s="40"/>
      <c r="X41" s="40"/>
      <c r="Y41" s="40"/>
      <c r="Z41" s="40"/>
      <c r="AA41" s="40"/>
      <c r="AB41" s="40"/>
      <c r="AC41" s="40"/>
      <c r="AD41" s="40"/>
      <c r="AE41" s="40"/>
      <c r="AF41" s="40"/>
      <c r="AG41" s="40"/>
      <c r="AH41" s="40"/>
      <c r="AI41" s="40"/>
      <c r="AJ41" s="40"/>
      <c r="AK41" s="40"/>
      <c r="AL41" s="40"/>
      <c r="AM41" s="40"/>
      <c r="AN41" s="40"/>
      <c r="AO41" s="40"/>
      <c r="AP41" s="40"/>
      <c r="AQ41" s="40"/>
      <c r="AR41" s="40"/>
      <c r="AS41" s="40"/>
      <c r="AT41" s="40"/>
      <c r="AU41" s="40"/>
      <c r="AV41" s="40"/>
      <c r="AW41" s="40"/>
      <c r="AX41" s="40"/>
      <c r="AY41" s="40"/>
      <c r="AZ41" s="40"/>
      <c r="BA41" s="40"/>
      <c r="BB41" s="40"/>
      <c r="BC41" s="40"/>
      <c r="BD41" s="40"/>
      <c r="BE41" s="40"/>
      <c r="BF41" s="40"/>
      <c r="BG41" s="40"/>
      <c r="BH41" s="40"/>
      <c r="BI41" s="40"/>
      <c r="BJ41" s="40"/>
      <c r="BK41" s="40"/>
      <c r="BL41" s="40"/>
      <c r="BM41" s="40"/>
      <c r="BN41" s="40"/>
      <c r="BO41" s="40"/>
      <c r="BP41" s="40"/>
      <c r="BQ41" s="40"/>
      <c r="BR41" s="40"/>
      <c r="BS41" s="40"/>
      <c r="BT41" s="40"/>
      <c r="BU41" s="40"/>
      <c r="BV41" s="40"/>
      <c r="BW41" s="40"/>
      <c r="BX41" s="40"/>
      <c r="BY41" s="40"/>
      <c r="BZ41" s="40"/>
      <c r="CA41" s="40"/>
      <c r="CB41" s="40"/>
      <c r="CC41" s="40"/>
      <c r="CD41" s="40"/>
      <c r="CE41" s="40"/>
      <c r="CF41" s="40"/>
      <c r="CG41" s="40"/>
      <c r="CH41" s="40"/>
      <c r="CI41" s="40"/>
      <c r="CJ41" s="40"/>
      <c r="CK41" s="40"/>
      <c r="CL41" s="40"/>
    </row>
    <row r="42" spans="1:90" x14ac:dyDescent="0.25">
      <c r="A42" s="40"/>
      <c r="B42" s="40"/>
      <c r="C42" s="40"/>
      <c r="D42" s="40"/>
      <c r="E42" s="40"/>
      <c r="F42" s="40"/>
      <c r="G42" s="40"/>
      <c r="H42" s="40"/>
      <c r="I42" s="40"/>
      <c r="J42" s="40"/>
      <c r="K42" s="40"/>
      <c r="L42" s="40"/>
      <c r="M42" s="40"/>
      <c r="N42" s="40"/>
      <c r="O42" s="40"/>
      <c r="P42" s="40"/>
      <c r="Q42" s="40"/>
      <c r="R42" s="40"/>
      <c r="S42" s="40"/>
      <c r="T42" s="40"/>
      <c r="U42" s="40"/>
      <c r="V42" s="40"/>
      <c r="W42" s="40"/>
      <c r="X42" s="40"/>
      <c r="Y42" s="40"/>
      <c r="Z42" s="40"/>
      <c r="AA42" s="40"/>
      <c r="AB42" s="40"/>
      <c r="AC42" s="40"/>
      <c r="AD42" s="40"/>
      <c r="AE42" s="40"/>
      <c r="AF42" s="40"/>
      <c r="AG42" s="40"/>
      <c r="AH42" s="40"/>
      <c r="AI42" s="40"/>
      <c r="AJ42" s="40"/>
      <c r="AK42" s="40"/>
      <c r="AL42" s="40"/>
      <c r="AM42" s="40"/>
      <c r="AN42" s="40"/>
      <c r="AO42" s="40"/>
      <c r="AP42" s="40"/>
      <c r="AQ42" s="40"/>
      <c r="AR42" s="40"/>
      <c r="AS42" s="40"/>
      <c r="AT42" s="40"/>
      <c r="AU42" s="40"/>
      <c r="AV42" s="40"/>
      <c r="AW42" s="40"/>
      <c r="AX42" s="40"/>
      <c r="AY42" s="40"/>
      <c r="AZ42" s="40"/>
      <c r="BA42" s="40"/>
      <c r="BB42" s="40"/>
      <c r="BC42" s="40"/>
      <c r="BD42" s="40"/>
      <c r="BE42" s="40"/>
      <c r="BF42" s="40"/>
      <c r="BG42" s="40"/>
      <c r="BH42" s="40"/>
      <c r="BI42" s="40"/>
      <c r="BJ42" s="40"/>
      <c r="BK42" s="40"/>
      <c r="BL42" s="40"/>
      <c r="BM42" s="40"/>
      <c r="BN42" s="40"/>
      <c r="BO42" s="40"/>
      <c r="BP42" s="40"/>
      <c r="BQ42" s="40"/>
      <c r="BR42" s="40"/>
      <c r="BS42" s="40"/>
      <c r="BT42" s="40"/>
      <c r="BU42" s="40"/>
      <c r="BV42" s="40"/>
      <c r="BW42" s="40"/>
      <c r="BX42" s="40"/>
      <c r="BY42" s="40"/>
      <c r="BZ42" s="40"/>
      <c r="CA42" s="40"/>
      <c r="CB42" s="40"/>
      <c r="CC42" s="40"/>
      <c r="CD42" s="40"/>
      <c r="CE42" s="40"/>
      <c r="CF42" s="40"/>
      <c r="CG42" s="40"/>
      <c r="CH42" s="40"/>
      <c r="CI42" s="40"/>
      <c r="CJ42" s="40"/>
      <c r="CK42" s="40"/>
      <c r="CL42" s="40"/>
    </row>
    <row r="43" spans="1:90" x14ac:dyDescent="0.25">
      <c r="A43" s="40"/>
      <c r="B43" s="40"/>
      <c r="C43" s="40"/>
      <c r="D43" s="40"/>
      <c r="E43" s="40"/>
      <c r="F43" s="40"/>
      <c r="G43" s="40"/>
      <c r="H43" s="40"/>
      <c r="I43" s="40"/>
      <c r="J43" s="40"/>
      <c r="K43" s="40"/>
      <c r="L43" s="40"/>
      <c r="M43" s="40"/>
      <c r="N43" s="40"/>
      <c r="O43" s="40"/>
      <c r="P43" s="40"/>
      <c r="Q43" s="40"/>
      <c r="R43" s="40"/>
      <c r="S43" s="40"/>
      <c r="T43" s="40"/>
      <c r="U43" s="40"/>
      <c r="V43" s="40"/>
      <c r="W43" s="40"/>
      <c r="X43" s="40"/>
      <c r="Y43" s="40"/>
      <c r="Z43" s="40"/>
      <c r="AA43" s="40"/>
      <c r="AB43" s="40"/>
      <c r="AC43" s="40"/>
      <c r="AD43" s="40"/>
      <c r="AE43" s="40"/>
      <c r="AF43" s="40"/>
      <c r="AG43" s="40"/>
      <c r="AH43" s="40"/>
      <c r="AI43" s="40"/>
      <c r="AJ43" s="40"/>
      <c r="AK43" s="40"/>
      <c r="AL43" s="40"/>
      <c r="AM43" s="40"/>
      <c r="AN43" s="40"/>
      <c r="AO43" s="40"/>
      <c r="AP43" s="40"/>
      <c r="AQ43" s="40"/>
      <c r="AR43" s="40"/>
      <c r="AS43" s="40"/>
      <c r="AT43" s="40"/>
      <c r="AU43" s="40"/>
      <c r="AV43" s="40"/>
      <c r="AW43" s="40"/>
      <c r="AX43" s="40"/>
      <c r="AY43" s="40"/>
      <c r="AZ43" s="40"/>
      <c r="BA43" s="40"/>
      <c r="BB43" s="40"/>
      <c r="BC43" s="40"/>
      <c r="BD43" s="40"/>
      <c r="BE43" s="40"/>
      <c r="BF43" s="40"/>
      <c r="BG43" s="40"/>
      <c r="BH43" s="40"/>
      <c r="BI43" s="40"/>
      <c r="BJ43" s="40"/>
      <c r="BK43" s="40"/>
      <c r="BL43" s="40"/>
      <c r="BM43" s="40"/>
      <c r="BN43" s="40"/>
      <c r="BO43" s="40"/>
      <c r="BP43" s="40"/>
      <c r="BQ43" s="40"/>
      <c r="BR43" s="40"/>
      <c r="BS43" s="40"/>
      <c r="BT43" s="40"/>
      <c r="BU43" s="40"/>
      <c r="BV43" s="40"/>
      <c r="BW43" s="40"/>
      <c r="BX43" s="40"/>
      <c r="BY43" s="40"/>
      <c r="BZ43" s="40"/>
      <c r="CA43" s="40"/>
      <c r="CB43" s="40"/>
      <c r="CC43" s="40"/>
      <c r="CD43" s="40"/>
      <c r="CE43" s="40"/>
      <c r="CF43" s="40"/>
      <c r="CG43" s="40"/>
      <c r="CH43" s="40"/>
      <c r="CI43" s="40"/>
      <c r="CJ43" s="40"/>
      <c r="CK43" s="40"/>
      <c r="CL43" s="40"/>
    </row>
    <row r="44" spans="1:90" x14ac:dyDescent="0.25">
      <c r="A44" s="40"/>
      <c r="B44" s="40"/>
      <c r="C44" s="40"/>
      <c r="D44" s="40"/>
      <c r="E44" s="40"/>
      <c r="F44" s="40"/>
      <c r="G44" s="40"/>
      <c r="H44" s="40"/>
      <c r="I44" s="40"/>
      <c r="J44" s="40"/>
      <c r="K44" s="40"/>
      <c r="L44" s="40"/>
      <c r="M44" s="40"/>
      <c r="N44" s="40"/>
      <c r="O44" s="40"/>
      <c r="P44" s="40"/>
      <c r="Q44" s="40"/>
      <c r="R44" s="40"/>
      <c r="S44" s="40"/>
      <c r="T44" s="40"/>
      <c r="U44" s="40"/>
      <c r="V44" s="40"/>
      <c r="W44" s="40"/>
      <c r="X44" s="40"/>
      <c r="Y44" s="40"/>
      <c r="Z44" s="40"/>
      <c r="AA44" s="40"/>
      <c r="AB44" s="40"/>
      <c r="AC44" s="40"/>
      <c r="AD44" s="40"/>
      <c r="AE44" s="40"/>
      <c r="AF44" s="40"/>
      <c r="AG44" s="40"/>
      <c r="AH44" s="40"/>
      <c r="AI44" s="40"/>
      <c r="AJ44" s="40"/>
      <c r="AK44" s="40"/>
      <c r="AL44" s="40"/>
      <c r="AM44" s="40"/>
      <c r="AN44" s="40"/>
      <c r="AO44" s="40"/>
      <c r="AP44" s="40"/>
      <c r="AQ44" s="40"/>
      <c r="AR44" s="40"/>
      <c r="AS44" s="40"/>
      <c r="AT44" s="40"/>
      <c r="AU44" s="40"/>
      <c r="AV44" s="40"/>
      <c r="AW44" s="40"/>
      <c r="AX44" s="40"/>
      <c r="AY44" s="40"/>
      <c r="AZ44" s="40"/>
      <c r="BA44" s="40"/>
      <c r="BB44" s="40"/>
      <c r="BC44" s="40"/>
      <c r="BD44" s="40"/>
      <c r="BE44" s="40"/>
      <c r="BF44" s="40"/>
      <c r="BG44" s="40"/>
      <c r="BH44" s="40"/>
      <c r="BI44" s="40"/>
      <c r="BJ44" s="40"/>
      <c r="BK44" s="40"/>
      <c r="BL44" s="40"/>
      <c r="BM44" s="40"/>
      <c r="BN44" s="40"/>
      <c r="BO44" s="40"/>
      <c r="BP44" s="40"/>
      <c r="BQ44" s="40"/>
      <c r="BR44" s="40"/>
      <c r="BS44" s="40"/>
      <c r="BT44" s="40"/>
      <c r="BU44" s="40"/>
      <c r="BV44" s="40"/>
      <c r="BW44" s="40"/>
      <c r="BX44" s="40"/>
      <c r="BY44" s="40"/>
      <c r="BZ44" s="40"/>
      <c r="CA44" s="40"/>
      <c r="CB44" s="40"/>
      <c r="CC44" s="40"/>
      <c r="CD44" s="40"/>
      <c r="CE44" s="40"/>
      <c r="CF44" s="40"/>
      <c r="CG44" s="40"/>
      <c r="CH44" s="40"/>
      <c r="CI44" s="40"/>
      <c r="CJ44" s="40"/>
      <c r="CK44" s="40"/>
      <c r="CL44" s="40"/>
    </row>
    <row r="45" spans="1:90" x14ac:dyDescent="0.25">
      <c r="A45" s="40"/>
      <c r="B45" s="40"/>
      <c r="C45" s="40"/>
      <c r="D45" s="40"/>
      <c r="E45" s="40"/>
      <c r="F45" s="40"/>
      <c r="G45" s="40"/>
      <c r="H45" s="40"/>
      <c r="I45" s="40"/>
      <c r="J45" s="40"/>
      <c r="K45" s="40"/>
      <c r="L45" s="40"/>
      <c r="M45" s="40"/>
      <c r="N45" s="40"/>
      <c r="O45" s="40"/>
      <c r="P45" s="40"/>
      <c r="Q45" s="40"/>
      <c r="R45" s="40"/>
      <c r="S45" s="40"/>
      <c r="T45" s="40"/>
      <c r="U45" s="40"/>
      <c r="V45" s="40"/>
      <c r="W45" s="40"/>
      <c r="X45" s="40"/>
      <c r="Y45" s="40"/>
      <c r="Z45" s="40"/>
      <c r="AA45" s="40"/>
      <c r="AB45" s="40"/>
      <c r="AC45" s="40"/>
      <c r="AD45" s="40"/>
      <c r="AE45" s="40"/>
      <c r="AF45" s="40"/>
      <c r="AG45" s="40"/>
      <c r="AH45" s="40"/>
      <c r="AI45" s="40"/>
      <c r="AJ45" s="40"/>
      <c r="AK45" s="40"/>
      <c r="AL45" s="40"/>
      <c r="AM45" s="40"/>
      <c r="AN45" s="40"/>
      <c r="AO45" s="40"/>
      <c r="AP45" s="40"/>
      <c r="AQ45" s="40"/>
      <c r="AR45" s="40"/>
      <c r="AS45" s="40"/>
      <c r="AT45" s="40"/>
      <c r="AU45" s="40"/>
      <c r="AV45" s="40"/>
      <c r="AW45" s="40"/>
      <c r="AX45" s="40"/>
      <c r="AY45" s="40"/>
      <c r="AZ45" s="40"/>
      <c r="BA45" s="40"/>
      <c r="BB45" s="40"/>
      <c r="BC45" s="40"/>
      <c r="BD45" s="40"/>
      <c r="BE45" s="40"/>
      <c r="BF45" s="40"/>
      <c r="BG45" s="40"/>
      <c r="BH45" s="40"/>
      <c r="BI45" s="40"/>
      <c r="BJ45" s="40"/>
      <c r="BK45" s="40"/>
      <c r="BL45" s="40"/>
      <c r="BM45" s="40"/>
      <c r="BN45" s="40"/>
      <c r="BO45" s="40"/>
      <c r="BP45" s="40"/>
      <c r="BQ45" s="40"/>
      <c r="BR45" s="40"/>
      <c r="BS45" s="40"/>
      <c r="BT45" s="40"/>
      <c r="BU45" s="40"/>
      <c r="BV45" s="40"/>
      <c r="BW45" s="40"/>
      <c r="BX45" s="40"/>
      <c r="BY45" s="40"/>
      <c r="BZ45" s="40"/>
      <c r="CA45" s="40"/>
      <c r="CB45" s="40"/>
      <c r="CC45" s="40"/>
      <c r="CD45" s="40"/>
      <c r="CE45" s="40"/>
      <c r="CF45" s="40"/>
      <c r="CG45" s="40"/>
      <c r="CH45" s="40"/>
      <c r="CI45" s="40"/>
      <c r="CJ45" s="40"/>
      <c r="CK45" s="40"/>
      <c r="CL45" s="40"/>
    </row>
    <row r="46" spans="1:90" x14ac:dyDescent="0.25">
      <c r="A46" s="40"/>
      <c r="B46" s="40"/>
      <c r="C46" s="40"/>
      <c r="D46" s="40"/>
      <c r="E46" s="40"/>
      <c r="F46" s="40"/>
      <c r="G46" s="40"/>
      <c r="H46" s="40"/>
      <c r="I46" s="40"/>
      <c r="J46" s="40"/>
      <c r="K46" s="40"/>
      <c r="L46" s="40"/>
      <c r="M46" s="40"/>
      <c r="N46" s="40"/>
      <c r="O46" s="40"/>
      <c r="P46" s="40"/>
      <c r="Q46" s="40"/>
      <c r="R46" s="40"/>
      <c r="S46" s="40"/>
      <c r="T46" s="40"/>
      <c r="U46" s="40"/>
      <c r="V46" s="40"/>
      <c r="W46" s="40"/>
      <c r="X46" s="40"/>
      <c r="Y46" s="40"/>
      <c r="Z46" s="40"/>
      <c r="AA46" s="40"/>
      <c r="AB46" s="40"/>
      <c r="AC46" s="40"/>
      <c r="AD46" s="40"/>
      <c r="AE46" s="40"/>
      <c r="AF46" s="40"/>
      <c r="AG46" s="40"/>
      <c r="AH46" s="40"/>
      <c r="AI46" s="40"/>
      <c r="AJ46" s="40"/>
      <c r="AK46" s="40"/>
      <c r="AL46" s="40"/>
      <c r="AM46" s="40"/>
      <c r="AN46" s="40"/>
      <c r="AO46" s="40"/>
      <c r="AP46" s="40"/>
      <c r="AQ46" s="40"/>
      <c r="AR46" s="40"/>
      <c r="AS46" s="40"/>
      <c r="AT46" s="40"/>
      <c r="AU46" s="40"/>
      <c r="AV46" s="40"/>
      <c r="AW46" s="40"/>
      <c r="AX46" s="40"/>
      <c r="AY46" s="40"/>
      <c r="AZ46" s="40"/>
      <c r="BA46" s="40"/>
      <c r="BB46" s="40"/>
      <c r="BC46" s="40"/>
      <c r="BD46" s="40"/>
      <c r="BE46" s="40"/>
      <c r="BF46" s="40"/>
      <c r="BG46" s="40"/>
      <c r="BH46" s="40"/>
      <c r="BI46" s="40"/>
      <c r="BJ46" s="40"/>
      <c r="BK46" s="40"/>
      <c r="BL46" s="40"/>
      <c r="BM46" s="40"/>
      <c r="BN46" s="40"/>
      <c r="BO46" s="40"/>
      <c r="BP46" s="40"/>
      <c r="BQ46" s="40"/>
      <c r="BR46" s="40"/>
      <c r="BS46" s="40"/>
      <c r="BT46" s="40"/>
      <c r="BU46" s="40"/>
      <c r="BV46" s="40"/>
      <c r="BW46" s="40"/>
      <c r="BX46" s="40"/>
      <c r="BY46" s="40"/>
      <c r="BZ46" s="40"/>
      <c r="CA46" s="40"/>
      <c r="CB46" s="40"/>
      <c r="CC46" s="40"/>
      <c r="CD46" s="40"/>
      <c r="CE46" s="40"/>
      <c r="CF46" s="40"/>
      <c r="CG46" s="40"/>
      <c r="CH46" s="40"/>
      <c r="CI46" s="40"/>
      <c r="CJ46" s="40"/>
      <c r="CK46" s="40"/>
      <c r="CL46" s="40"/>
    </row>
    <row r="47" spans="1:90" x14ac:dyDescent="0.25">
      <c r="A47" s="40"/>
      <c r="B47" s="40"/>
      <c r="C47" s="40"/>
      <c r="D47" s="40"/>
      <c r="E47" s="40"/>
      <c r="F47" s="40"/>
      <c r="G47" s="40"/>
      <c r="H47" s="40"/>
      <c r="I47" s="40"/>
      <c r="J47" s="40"/>
      <c r="K47" s="40"/>
      <c r="L47" s="40"/>
      <c r="M47" s="40"/>
      <c r="N47" s="40"/>
      <c r="O47" s="40"/>
      <c r="P47" s="40"/>
      <c r="Q47" s="40"/>
      <c r="R47" s="40"/>
      <c r="S47" s="40"/>
      <c r="T47" s="40"/>
      <c r="U47" s="40"/>
      <c r="V47" s="40"/>
      <c r="W47" s="40"/>
      <c r="X47" s="40"/>
      <c r="Y47" s="40"/>
      <c r="Z47" s="40"/>
      <c r="AA47" s="40"/>
      <c r="AB47" s="40"/>
      <c r="AC47" s="40"/>
      <c r="AD47" s="40"/>
      <c r="AE47" s="40"/>
      <c r="AF47" s="40"/>
      <c r="AG47" s="40"/>
      <c r="AH47" s="40"/>
      <c r="AI47" s="40"/>
      <c r="AJ47" s="40"/>
      <c r="AK47" s="40"/>
      <c r="AL47" s="40"/>
      <c r="AM47" s="40"/>
      <c r="AN47" s="40"/>
      <c r="AO47" s="40"/>
      <c r="AP47" s="40"/>
      <c r="AQ47" s="40"/>
      <c r="AR47" s="40"/>
      <c r="AS47" s="40"/>
      <c r="AT47" s="40"/>
      <c r="AU47" s="40"/>
      <c r="AV47" s="40"/>
      <c r="AW47" s="40"/>
      <c r="AX47" s="40"/>
      <c r="AY47" s="40"/>
      <c r="AZ47" s="40"/>
      <c r="BA47" s="40"/>
      <c r="BB47" s="40"/>
      <c r="BC47" s="40"/>
      <c r="BD47" s="40"/>
      <c r="BE47" s="40"/>
      <c r="BF47" s="40"/>
      <c r="BG47" s="40"/>
      <c r="BH47" s="40"/>
      <c r="BI47" s="40"/>
      <c r="BJ47" s="40"/>
      <c r="BK47" s="40"/>
      <c r="BL47" s="40"/>
      <c r="BM47" s="40"/>
      <c r="BN47" s="40"/>
      <c r="BO47" s="40"/>
      <c r="BP47" s="40"/>
      <c r="BQ47" s="40"/>
      <c r="BR47" s="40"/>
      <c r="BS47" s="40"/>
      <c r="BT47" s="40"/>
      <c r="BU47" s="40"/>
      <c r="BV47" s="40"/>
      <c r="BW47" s="40"/>
      <c r="BX47" s="40"/>
      <c r="BY47" s="40"/>
      <c r="BZ47" s="40"/>
      <c r="CA47" s="40"/>
      <c r="CB47" s="40"/>
      <c r="CC47" s="40"/>
      <c r="CD47" s="40"/>
      <c r="CE47" s="40"/>
      <c r="CF47" s="40"/>
      <c r="CG47" s="40"/>
      <c r="CH47" s="40"/>
      <c r="CI47" s="40"/>
      <c r="CJ47" s="40"/>
      <c r="CK47" s="40"/>
      <c r="CL47" s="40"/>
    </row>
    <row r="48" spans="1:90" x14ac:dyDescent="0.25">
      <c r="A48" s="40"/>
      <c r="B48" s="40"/>
      <c r="C48" s="40"/>
      <c r="D48" s="40"/>
      <c r="E48" s="40"/>
      <c r="F48" s="40"/>
      <c r="G48" s="40"/>
      <c r="H48" s="40"/>
      <c r="I48" s="40"/>
      <c r="J48" s="40"/>
      <c r="K48" s="40"/>
      <c r="L48" s="40"/>
      <c r="M48" s="40"/>
      <c r="N48" s="40"/>
      <c r="O48" s="40"/>
      <c r="P48" s="40"/>
      <c r="Q48" s="40"/>
      <c r="R48" s="40"/>
      <c r="S48" s="40"/>
      <c r="T48" s="40"/>
      <c r="U48" s="40"/>
      <c r="V48" s="40"/>
      <c r="W48" s="40"/>
      <c r="X48" s="40"/>
      <c r="Y48" s="40"/>
      <c r="Z48" s="40"/>
      <c r="AA48" s="40"/>
      <c r="AB48" s="40"/>
      <c r="AC48" s="40"/>
      <c r="AD48" s="40"/>
      <c r="AE48" s="40"/>
      <c r="AF48" s="40"/>
      <c r="AG48" s="40"/>
      <c r="AH48" s="40"/>
      <c r="AI48" s="40"/>
      <c r="AJ48" s="40"/>
      <c r="AK48" s="40"/>
      <c r="AL48" s="40"/>
      <c r="AM48" s="40"/>
      <c r="AN48" s="40"/>
      <c r="AO48" s="40"/>
      <c r="AP48" s="40"/>
      <c r="AQ48" s="40"/>
      <c r="AR48" s="40"/>
      <c r="AS48" s="40"/>
      <c r="AT48" s="40"/>
      <c r="AU48" s="40"/>
      <c r="AV48" s="40"/>
      <c r="AW48" s="40"/>
      <c r="AX48" s="40"/>
      <c r="AY48" s="40"/>
      <c r="AZ48" s="40"/>
      <c r="BA48" s="40"/>
      <c r="BB48" s="40"/>
      <c r="BC48" s="40"/>
      <c r="BD48" s="40"/>
      <c r="BE48" s="40"/>
      <c r="BF48" s="40"/>
      <c r="BG48" s="40"/>
      <c r="BH48" s="40"/>
      <c r="BI48" s="40"/>
      <c r="BJ48" s="40"/>
      <c r="BK48" s="40"/>
      <c r="BL48" s="40"/>
      <c r="BM48" s="40"/>
      <c r="BN48" s="40"/>
      <c r="BO48" s="40"/>
      <c r="BP48" s="40"/>
      <c r="BQ48" s="40"/>
      <c r="BR48" s="40"/>
      <c r="BS48" s="40"/>
      <c r="BT48" s="40"/>
      <c r="BU48" s="40"/>
      <c r="BV48" s="40"/>
      <c r="BW48" s="40"/>
      <c r="BX48" s="40"/>
      <c r="BY48" s="40"/>
      <c r="BZ48" s="40"/>
      <c r="CA48" s="40"/>
      <c r="CB48" s="40"/>
      <c r="CC48" s="40"/>
      <c r="CD48" s="40"/>
      <c r="CE48" s="40"/>
      <c r="CF48" s="40"/>
      <c r="CG48" s="40"/>
      <c r="CH48" s="40"/>
      <c r="CI48" s="40"/>
      <c r="CJ48" s="40"/>
      <c r="CK48" s="40"/>
      <c r="CL48" s="40"/>
    </row>
    <row r="49" spans="1:90" x14ac:dyDescent="0.25">
      <c r="A49" s="40"/>
      <c r="B49" s="40"/>
      <c r="C49" s="40"/>
      <c r="D49" s="40"/>
      <c r="E49" s="40"/>
      <c r="F49" s="40"/>
      <c r="G49" s="40"/>
      <c r="H49" s="40"/>
      <c r="I49" s="40"/>
      <c r="J49" s="40"/>
      <c r="K49" s="40"/>
      <c r="L49" s="40"/>
      <c r="M49" s="40"/>
      <c r="N49" s="40"/>
      <c r="O49" s="40"/>
      <c r="P49" s="40"/>
      <c r="Q49" s="40"/>
      <c r="R49" s="40"/>
      <c r="S49" s="40"/>
      <c r="T49" s="40"/>
      <c r="U49" s="40"/>
      <c r="V49" s="40"/>
      <c r="W49" s="40"/>
      <c r="X49" s="40"/>
      <c r="Y49" s="40"/>
      <c r="Z49" s="40"/>
      <c r="AA49" s="40"/>
      <c r="AB49" s="40"/>
      <c r="AC49" s="40"/>
      <c r="AD49" s="40"/>
      <c r="AE49" s="40"/>
      <c r="AF49" s="40"/>
      <c r="AG49" s="40"/>
      <c r="AH49" s="40"/>
      <c r="AI49" s="40"/>
      <c r="AJ49" s="40"/>
      <c r="AK49" s="40"/>
      <c r="AL49" s="40"/>
      <c r="AM49" s="40"/>
      <c r="AN49" s="40"/>
      <c r="AO49" s="40"/>
      <c r="AP49" s="40"/>
      <c r="AQ49" s="40"/>
      <c r="AR49" s="40"/>
      <c r="AS49" s="40"/>
      <c r="AT49" s="40"/>
      <c r="AU49" s="40"/>
      <c r="AV49" s="40"/>
      <c r="AW49" s="40"/>
      <c r="AX49" s="40"/>
      <c r="AY49" s="40"/>
      <c r="AZ49" s="40"/>
      <c r="BA49" s="40"/>
      <c r="BB49" s="40"/>
      <c r="BC49" s="40"/>
      <c r="BD49" s="40"/>
      <c r="BE49" s="40"/>
      <c r="BF49" s="40"/>
      <c r="BG49" s="40"/>
      <c r="BH49" s="40"/>
      <c r="BI49" s="40"/>
      <c r="BJ49" s="40"/>
      <c r="BK49" s="40"/>
      <c r="BL49" s="40"/>
      <c r="BM49" s="40"/>
      <c r="BN49" s="40"/>
      <c r="BO49" s="40"/>
      <c r="BP49" s="40"/>
      <c r="BQ49" s="40"/>
      <c r="BR49" s="40"/>
      <c r="BS49" s="40"/>
      <c r="BT49" s="40"/>
      <c r="BU49" s="40"/>
      <c r="BV49" s="40"/>
      <c r="BW49" s="40"/>
      <c r="BX49" s="40"/>
      <c r="BY49" s="40"/>
      <c r="BZ49" s="40"/>
      <c r="CA49" s="40"/>
      <c r="CB49" s="40"/>
      <c r="CC49" s="40"/>
      <c r="CD49" s="40"/>
      <c r="CE49" s="40"/>
      <c r="CF49" s="40"/>
      <c r="CG49" s="40"/>
      <c r="CH49" s="40"/>
      <c r="CI49" s="40"/>
      <c r="CJ49" s="40"/>
      <c r="CK49" s="40"/>
      <c r="CL49" s="40"/>
    </row>
    <row r="50" spans="1:90" x14ac:dyDescent="0.25">
      <c r="A50" s="40"/>
      <c r="B50" s="40"/>
      <c r="C50" s="40"/>
      <c r="D50" s="40"/>
      <c r="E50" s="40"/>
      <c r="F50" s="40"/>
      <c r="G50" s="40"/>
      <c r="H50" s="40"/>
      <c r="I50" s="40"/>
      <c r="J50" s="40"/>
      <c r="K50" s="40"/>
      <c r="L50" s="40"/>
      <c r="M50" s="40"/>
      <c r="N50" s="40"/>
      <c r="O50" s="40"/>
      <c r="P50" s="40"/>
      <c r="Q50" s="40"/>
      <c r="R50" s="40"/>
      <c r="S50" s="40"/>
      <c r="T50" s="40"/>
      <c r="U50" s="40"/>
      <c r="V50" s="40"/>
      <c r="W50" s="40"/>
      <c r="X50" s="40"/>
      <c r="Y50" s="40"/>
      <c r="Z50" s="40"/>
      <c r="AA50" s="40"/>
      <c r="AB50" s="40"/>
      <c r="AC50" s="40"/>
      <c r="AD50" s="40"/>
      <c r="AE50" s="40"/>
      <c r="AF50" s="40"/>
      <c r="AG50" s="40"/>
      <c r="AH50" s="40"/>
      <c r="AI50" s="40"/>
      <c r="AJ50" s="40"/>
      <c r="AK50" s="40"/>
      <c r="AL50" s="40"/>
      <c r="AM50" s="40"/>
      <c r="AN50" s="40"/>
      <c r="AO50" s="40"/>
      <c r="AP50" s="40"/>
      <c r="AQ50" s="40"/>
      <c r="AR50" s="40"/>
      <c r="AS50" s="40"/>
      <c r="AT50" s="40"/>
      <c r="AU50" s="40"/>
      <c r="AV50" s="40"/>
      <c r="AW50" s="40"/>
      <c r="AX50" s="40"/>
      <c r="AY50" s="40"/>
      <c r="AZ50" s="40"/>
      <c r="BA50" s="40"/>
      <c r="BB50" s="40"/>
      <c r="BC50" s="40"/>
      <c r="BD50" s="40"/>
      <c r="BE50" s="40"/>
      <c r="BF50" s="40"/>
      <c r="BG50" s="40"/>
      <c r="BH50" s="40"/>
      <c r="BI50" s="40"/>
      <c r="BJ50" s="40"/>
      <c r="BK50" s="40"/>
      <c r="BL50" s="40"/>
      <c r="BM50" s="40"/>
      <c r="BN50" s="40"/>
      <c r="BO50" s="40"/>
      <c r="BP50" s="40"/>
      <c r="BQ50" s="40"/>
      <c r="BR50" s="40"/>
      <c r="BS50" s="40"/>
      <c r="BT50" s="40"/>
      <c r="BU50" s="40"/>
      <c r="BV50" s="40"/>
      <c r="BW50" s="40"/>
      <c r="BX50" s="40"/>
      <c r="BY50" s="40"/>
      <c r="BZ50" s="40"/>
      <c r="CA50" s="40"/>
      <c r="CB50" s="40"/>
      <c r="CC50" s="40"/>
      <c r="CD50" s="40"/>
      <c r="CE50" s="40"/>
      <c r="CF50" s="40"/>
      <c r="CG50" s="40"/>
      <c r="CH50" s="40"/>
      <c r="CI50" s="40"/>
      <c r="CJ50" s="40"/>
      <c r="CK50" s="40"/>
      <c r="CL50" s="40"/>
    </row>
    <row r="51" spans="1:90" x14ac:dyDescent="0.25">
      <c r="A51" s="40"/>
      <c r="B51" s="40"/>
      <c r="C51" s="40"/>
      <c r="D51" s="40"/>
      <c r="E51" s="40"/>
      <c r="F51" s="40"/>
      <c r="G51" s="40"/>
      <c r="H51" s="40"/>
      <c r="I51" s="40"/>
      <c r="J51" s="40"/>
      <c r="K51" s="40"/>
      <c r="L51" s="40"/>
      <c r="M51" s="40"/>
      <c r="N51" s="40"/>
      <c r="O51" s="40"/>
      <c r="P51" s="40"/>
      <c r="Q51" s="40"/>
      <c r="R51" s="40"/>
      <c r="S51" s="40"/>
      <c r="T51" s="40"/>
      <c r="U51" s="40"/>
      <c r="V51" s="40"/>
      <c r="W51" s="40"/>
      <c r="X51" s="40"/>
      <c r="Y51" s="40"/>
      <c r="Z51" s="40"/>
      <c r="AA51" s="40"/>
      <c r="AB51" s="40"/>
      <c r="AC51" s="40"/>
      <c r="AD51" s="40"/>
      <c r="AE51" s="40"/>
      <c r="AF51" s="40"/>
      <c r="AG51" s="40"/>
      <c r="AH51" s="40"/>
      <c r="AI51" s="40"/>
      <c r="AJ51" s="40"/>
      <c r="AK51" s="40"/>
      <c r="AL51" s="40"/>
      <c r="AM51" s="40"/>
      <c r="AN51" s="40"/>
      <c r="AO51" s="40"/>
      <c r="AP51" s="40"/>
      <c r="AQ51" s="40"/>
      <c r="AR51" s="40"/>
      <c r="AS51" s="40"/>
      <c r="AT51" s="40"/>
      <c r="AU51" s="40"/>
      <c r="AV51" s="40"/>
      <c r="AW51" s="40"/>
      <c r="AX51" s="40"/>
      <c r="AY51" s="40"/>
      <c r="AZ51" s="40"/>
      <c r="BA51" s="40"/>
      <c r="BB51" s="40"/>
      <c r="BC51" s="40"/>
      <c r="BD51" s="40"/>
      <c r="BE51" s="40"/>
      <c r="BF51" s="40"/>
      <c r="BG51" s="40"/>
      <c r="BH51" s="40"/>
      <c r="BI51" s="40"/>
      <c r="BJ51" s="40"/>
      <c r="BK51" s="40"/>
      <c r="BL51" s="40"/>
      <c r="BM51" s="40"/>
      <c r="BN51" s="40"/>
      <c r="BO51" s="40"/>
      <c r="BP51" s="40"/>
      <c r="BQ51" s="40"/>
      <c r="BR51" s="40"/>
      <c r="BS51" s="40"/>
      <c r="BT51" s="40"/>
      <c r="BU51" s="40"/>
      <c r="BV51" s="40"/>
      <c r="BW51" s="40"/>
      <c r="BX51" s="40"/>
      <c r="BY51" s="40"/>
      <c r="BZ51" s="40"/>
      <c r="CA51" s="40"/>
      <c r="CB51" s="40"/>
      <c r="CC51" s="40"/>
      <c r="CD51" s="40"/>
      <c r="CE51" s="40"/>
      <c r="CF51" s="40"/>
      <c r="CG51" s="40"/>
      <c r="CH51" s="40"/>
      <c r="CI51" s="40"/>
      <c r="CJ51" s="40"/>
      <c r="CK51" s="40"/>
      <c r="CL51" s="40"/>
    </row>
    <row r="52" spans="1:90" x14ac:dyDescent="0.25">
      <c r="A52" s="40"/>
      <c r="B52" s="40"/>
      <c r="C52" s="40"/>
      <c r="D52" s="40"/>
      <c r="E52" s="40"/>
      <c r="F52" s="40"/>
      <c r="G52" s="40"/>
      <c r="H52" s="40"/>
      <c r="I52" s="40"/>
      <c r="J52" s="40"/>
      <c r="K52" s="40"/>
      <c r="L52" s="40"/>
      <c r="M52" s="40"/>
      <c r="N52" s="40"/>
      <c r="O52" s="40"/>
      <c r="P52" s="40"/>
      <c r="Q52" s="40"/>
      <c r="R52" s="40"/>
      <c r="S52" s="40"/>
      <c r="T52" s="40"/>
      <c r="U52" s="40"/>
      <c r="V52" s="40"/>
      <c r="W52" s="40"/>
      <c r="X52" s="40"/>
      <c r="Y52" s="40"/>
      <c r="Z52" s="40"/>
      <c r="AA52" s="40"/>
      <c r="AB52" s="40"/>
      <c r="AC52" s="40"/>
      <c r="AD52" s="40"/>
      <c r="AE52" s="40"/>
      <c r="AF52" s="40"/>
      <c r="AG52" s="40"/>
      <c r="AH52" s="40"/>
      <c r="AI52" s="40"/>
      <c r="AJ52" s="40"/>
      <c r="AK52" s="40"/>
      <c r="AL52" s="40"/>
      <c r="AM52" s="40"/>
      <c r="AN52" s="40"/>
      <c r="AO52" s="40"/>
      <c r="AP52" s="40"/>
      <c r="AQ52" s="40"/>
      <c r="AR52" s="40"/>
      <c r="AS52" s="40"/>
      <c r="AT52" s="40"/>
      <c r="AU52" s="40"/>
      <c r="AV52" s="40"/>
      <c r="AW52" s="40"/>
      <c r="AX52" s="40"/>
      <c r="AY52" s="40"/>
      <c r="AZ52" s="40"/>
      <c r="BA52" s="40"/>
      <c r="BB52" s="40"/>
      <c r="BC52" s="40"/>
      <c r="BD52" s="40"/>
      <c r="BE52" s="40"/>
      <c r="BF52" s="40"/>
      <c r="BG52" s="40"/>
      <c r="BH52" s="40"/>
      <c r="BI52" s="40"/>
      <c r="BJ52" s="40"/>
      <c r="BK52" s="40"/>
      <c r="BL52" s="40"/>
      <c r="BM52" s="40"/>
      <c r="BN52" s="40"/>
      <c r="BO52" s="40"/>
      <c r="BP52" s="40"/>
      <c r="BQ52" s="40"/>
      <c r="BR52" s="40"/>
      <c r="BS52" s="40"/>
      <c r="BT52" s="40"/>
      <c r="BU52" s="40"/>
      <c r="BV52" s="40"/>
      <c r="BW52" s="40"/>
      <c r="BX52" s="40"/>
      <c r="BY52" s="40"/>
      <c r="BZ52" s="40"/>
      <c r="CA52" s="40"/>
      <c r="CB52" s="40"/>
      <c r="CC52" s="40"/>
      <c r="CD52" s="40"/>
      <c r="CE52" s="40"/>
      <c r="CF52" s="40"/>
      <c r="CG52" s="40"/>
      <c r="CH52" s="40"/>
      <c r="CI52" s="40"/>
      <c r="CJ52" s="40"/>
      <c r="CK52" s="40"/>
      <c r="CL52" s="40"/>
    </row>
    <row r="53" spans="1:90" x14ac:dyDescent="0.25">
      <c r="A53" s="40"/>
      <c r="B53" s="40"/>
      <c r="C53" s="40"/>
      <c r="D53" s="40"/>
      <c r="E53" s="40"/>
      <c r="F53" s="40"/>
      <c r="G53" s="40"/>
      <c r="H53" s="40"/>
      <c r="I53" s="40"/>
      <c r="J53" s="40"/>
      <c r="K53" s="40"/>
      <c r="L53" s="40"/>
      <c r="M53" s="40"/>
      <c r="N53" s="40"/>
      <c r="O53" s="40"/>
      <c r="P53" s="40"/>
      <c r="Q53" s="40"/>
      <c r="R53" s="40"/>
      <c r="S53" s="40"/>
      <c r="T53" s="40"/>
      <c r="U53" s="40"/>
      <c r="V53" s="40"/>
      <c r="W53" s="40"/>
      <c r="X53" s="40"/>
      <c r="Y53" s="40"/>
      <c r="Z53" s="40"/>
      <c r="AA53" s="40"/>
      <c r="AB53" s="40"/>
      <c r="AC53" s="40"/>
      <c r="AD53" s="40"/>
      <c r="AE53" s="40"/>
      <c r="AF53" s="40"/>
      <c r="AG53" s="40"/>
      <c r="AH53" s="40"/>
      <c r="AI53" s="40"/>
      <c r="AJ53" s="40"/>
      <c r="AK53" s="40"/>
      <c r="AL53" s="40"/>
      <c r="AM53" s="40"/>
      <c r="AN53" s="40"/>
      <c r="AO53" s="40"/>
      <c r="AP53" s="40"/>
      <c r="AQ53" s="40"/>
      <c r="AR53" s="40"/>
      <c r="AS53" s="40"/>
      <c r="AT53" s="40"/>
      <c r="AU53" s="40"/>
      <c r="AV53" s="40"/>
      <c r="AW53" s="40"/>
      <c r="AX53" s="40"/>
      <c r="AY53" s="40"/>
      <c r="AZ53" s="40"/>
      <c r="BA53" s="40"/>
      <c r="BB53" s="40"/>
      <c r="BC53" s="40"/>
      <c r="BD53" s="40"/>
      <c r="BE53" s="40"/>
      <c r="BF53" s="40"/>
      <c r="BG53" s="40"/>
      <c r="BH53" s="40"/>
      <c r="BI53" s="40"/>
      <c r="BJ53" s="40"/>
      <c r="BK53" s="40"/>
      <c r="BL53" s="40"/>
      <c r="BM53" s="40"/>
      <c r="BN53" s="40"/>
      <c r="BO53" s="40"/>
      <c r="BP53" s="40"/>
      <c r="BQ53" s="40"/>
      <c r="BR53" s="40"/>
      <c r="BS53" s="40"/>
      <c r="BT53" s="40"/>
      <c r="BU53" s="40"/>
      <c r="BV53" s="40"/>
      <c r="BW53" s="40"/>
      <c r="BX53" s="40"/>
      <c r="BY53" s="40"/>
      <c r="BZ53" s="40"/>
      <c r="CA53" s="40"/>
      <c r="CB53" s="40"/>
      <c r="CC53" s="40"/>
      <c r="CD53" s="40"/>
      <c r="CE53" s="40"/>
      <c r="CF53" s="40"/>
      <c r="CG53" s="40"/>
      <c r="CH53" s="40"/>
      <c r="CI53" s="40"/>
      <c r="CJ53" s="40"/>
      <c r="CK53" s="40"/>
      <c r="CL53" s="40"/>
    </row>
    <row r="54" spans="1:90" x14ac:dyDescent="0.25">
      <c r="A54" s="40"/>
      <c r="B54" s="40"/>
      <c r="C54" s="40"/>
      <c r="D54" s="40"/>
      <c r="E54" s="40"/>
      <c r="F54" s="40"/>
      <c r="G54" s="40"/>
      <c r="H54" s="40"/>
      <c r="I54" s="40"/>
      <c r="J54" s="40"/>
      <c r="K54" s="40"/>
      <c r="L54" s="40"/>
      <c r="M54" s="40"/>
      <c r="N54" s="40"/>
      <c r="O54" s="40"/>
      <c r="P54" s="40"/>
      <c r="Q54" s="40"/>
      <c r="R54" s="40"/>
      <c r="S54" s="40"/>
      <c r="T54" s="40"/>
      <c r="U54" s="40"/>
      <c r="V54" s="40"/>
      <c r="W54" s="40"/>
      <c r="X54" s="40"/>
      <c r="Y54" s="40"/>
      <c r="Z54" s="40"/>
      <c r="AA54" s="40"/>
      <c r="AB54" s="40"/>
      <c r="AC54" s="40"/>
      <c r="AD54" s="40"/>
      <c r="AE54" s="40"/>
      <c r="AF54" s="40"/>
      <c r="AG54" s="40"/>
      <c r="AH54" s="40"/>
      <c r="AI54" s="40"/>
      <c r="AJ54" s="40"/>
      <c r="AK54" s="40"/>
      <c r="AL54" s="40"/>
      <c r="AM54" s="40"/>
      <c r="AN54" s="40"/>
      <c r="AO54" s="40"/>
      <c r="AP54" s="40"/>
      <c r="AQ54" s="40"/>
      <c r="AR54" s="40"/>
      <c r="AS54" s="40"/>
      <c r="AT54" s="40"/>
      <c r="AU54" s="40"/>
      <c r="AV54" s="40"/>
      <c r="AW54" s="40"/>
      <c r="AX54" s="40"/>
      <c r="AY54" s="40"/>
      <c r="AZ54" s="40"/>
      <c r="BA54" s="40"/>
      <c r="BB54" s="40"/>
      <c r="BC54" s="40"/>
      <c r="BD54" s="40"/>
      <c r="BE54" s="40"/>
      <c r="BF54" s="40"/>
      <c r="BG54" s="40"/>
      <c r="BH54" s="40"/>
      <c r="BI54" s="40"/>
      <c r="BJ54" s="40"/>
      <c r="BK54" s="40"/>
      <c r="BL54" s="40"/>
      <c r="BM54" s="40"/>
      <c r="BN54" s="40"/>
      <c r="BO54" s="40"/>
      <c r="BP54" s="40"/>
      <c r="BQ54" s="40"/>
      <c r="BR54" s="40"/>
      <c r="BS54" s="40"/>
      <c r="BT54" s="40"/>
      <c r="BU54" s="40"/>
      <c r="BV54" s="40"/>
      <c r="BW54" s="40"/>
      <c r="BX54" s="40"/>
      <c r="BY54" s="40"/>
      <c r="BZ54" s="40"/>
      <c r="CA54" s="40"/>
      <c r="CB54" s="40"/>
      <c r="CC54" s="40"/>
      <c r="CD54" s="40"/>
      <c r="CE54" s="40"/>
      <c r="CF54" s="40"/>
      <c r="CG54" s="40"/>
      <c r="CH54" s="40"/>
      <c r="CI54" s="40"/>
      <c r="CJ54" s="40"/>
      <c r="CK54" s="40"/>
      <c r="CL54" s="40"/>
    </row>
    <row r="55" spans="1:90" x14ac:dyDescent="0.25">
      <c r="A55" s="40"/>
      <c r="B55" s="40"/>
      <c r="C55" s="40"/>
      <c r="D55" s="40"/>
      <c r="E55" s="40"/>
      <c r="F55" s="40"/>
      <c r="G55" s="40"/>
      <c r="H55" s="40"/>
      <c r="I55" s="40"/>
      <c r="J55" s="40"/>
      <c r="K55" s="40"/>
      <c r="L55" s="40"/>
      <c r="M55" s="40"/>
      <c r="N55" s="40"/>
      <c r="O55" s="40"/>
      <c r="P55" s="40"/>
      <c r="Q55" s="40"/>
      <c r="R55" s="40"/>
      <c r="S55" s="40"/>
      <c r="T55" s="40"/>
      <c r="U55" s="40"/>
      <c r="V55" s="40"/>
      <c r="W55" s="40"/>
      <c r="X55" s="40"/>
      <c r="Y55" s="40"/>
      <c r="Z55" s="40"/>
      <c r="AA55" s="40"/>
      <c r="AB55" s="40"/>
      <c r="AC55" s="40"/>
      <c r="AD55" s="40"/>
      <c r="AE55" s="40"/>
      <c r="AF55" s="40"/>
      <c r="AG55" s="40"/>
      <c r="AH55" s="40"/>
      <c r="AI55" s="40"/>
      <c r="AJ55" s="40"/>
      <c r="AK55" s="40"/>
      <c r="AL55" s="40"/>
      <c r="AM55" s="40"/>
      <c r="AN55" s="40"/>
      <c r="AO55" s="40"/>
      <c r="AP55" s="40"/>
      <c r="AQ55" s="40"/>
      <c r="AR55" s="40"/>
      <c r="AS55" s="40"/>
      <c r="AT55" s="40"/>
      <c r="AU55" s="40"/>
      <c r="AV55" s="40"/>
      <c r="AW55" s="40"/>
      <c r="AX55" s="40"/>
      <c r="AY55" s="40"/>
      <c r="AZ55" s="40"/>
      <c r="BA55" s="40"/>
      <c r="BB55" s="40"/>
      <c r="BC55" s="40"/>
      <c r="BD55" s="40"/>
      <c r="BE55" s="40"/>
      <c r="BF55" s="40"/>
      <c r="BG55" s="40"/>
      <c r="BH55" s="40"/>
      <c r="BI55" s="40"/>
      <c r="BJ55" s="40"/>
      <c r="BK55" s="40"/>
      <c r="BL55" s="40"/>
      <c r="BM55" s="40"/>
      <c r="BN55" s="40"/>
      <c r="BO55" s="40"/>
      <c r="BP55" s="40"/>
      <c r="BQ55" s="40"/>
      <c r="BR55" s="40"/>
      <c r="BS55" s="40"/>
      <c r="BT55" s="40"/>
      <c r="BU55" s="40"/>
      <c r="BV55" s="40"/>
      <c r="BW55" s="40"/>
      <c r="BX55" s="40"/>
      <c r="BY55" s="40"/>
      <c r="BZ55" s="40"/>
      <c r="CA55" s="40"/>
      <c r="CB55" s="40"/>
      <c r="CC55" s="40"/>
      <c r="CD55" s="40"/>
      <c r="CE55" s="40"/>
      <c r="CF55" s="40"/>
      <c r="CG55" s="40"/>
      <c r="CH55" s="40"/>
      <c r="CI55" s="40"/>
      <c r="CJ55" s="40"/>
      <c r="CK55" s="40"/>
      <c r="CL55" s="40"/>
    </row>
    <row r="56" spans="1:90" x14ac:dyDescent="0.25">
      <c r="A56" s="40"/>
      <c r="B56" s="40"/>
      <c r="C56" s="40"/>
      <c r="D56" s="40"/>
      <c r="E56" s="40"/>
      <c r="F56" s="40"/>
      <c r="G56" s="40"/>
      <c r="H56" s="40"/>
      <c r="I56" s="40"/>
      <c r="J56" s="40"/>
      <c r="K56" s="40"/>
      <c r="L56" s="40"/>
      <c r="M56" s="40"/>
      <c r="N56" s="40"/>
      <c r="O56" s="40"/>
      <c r="P56" s="40"/>
      <c r="Q56" s="40"/>
      <c r="R56" s="40"/>
      <c r="S56" s="40"/>
      <c r="T56" s="40"/>
      <c r="U56" s="40"/>
      <c r="V56" s="40"/>
      <c r="W56" s="40"/>
      <c r="X56" s="40"/>
      <c r="Y56" s="40"/>
      <c r="Z56" s="40"/>
      <c r="AA56" s="40"/>
      <c r="AB56" s="40"/>
      <c r="AC56" s="40"/>
      <c r="AD56" s="40"/>
      <c r="AE56" s="40"/>
      <c r="AF56" s="40"/>
      <c r="AG56" s="40"/>
      <c r="AH56" s="40"/>
      <c r="AI56" s="40"/>
      <c r="AJ56" s="40"/>
      <c r="AK56" s="40"/>
      <c r="AL56" s="40"/>
      <c r="AM56" s="40"/>
      <c r="AN56" s="40"/>
      <c r="AO56" s="40"/>
      <c r="AP56" s="40"/>
      <c r="AQ56" s="40"/>
      <c r="AR56" s="40"/>
      <c r="AS56" s="40"/>
      <c r="AT56" s="40"/>
      <c r="AU56" s="40"/>
      <c r="AV56" s="40"/>
      <c r="AW56" s="40"/>
      <c r="AX56" s="40"/>
      <c r="AY56" s="40"/>
      <c r="AZ56" s="40"/>
      <c r="BA56" s="40"/>
      <c r="BB56" s="40"/>
      <c r="BC56" s="40"/>
      <c r="BD56" s="40"/>
      <c r="BE56" s="40"/>
      <c r="BF56" s="40"/>
      <c r="BG56" s="40"/>
      <c r="BH56" s="40"/>
      <c r="BI56" s="40"/>
      <c r="BJ56" s="40"/>
      <c r="BK56" s="40"/>
      <c r="BL56" s="40"/>
      <c r="BM56" s="40"/>
      <c r="BN56" s="40"/>
      <c r="BO56" s="40"/>
      <c r="BP56" s="40"/>
      <c r="BQ56" s="40"/>
      <c r="BR56" s="40"/>
      <c r="BS56" s="40"/>
      <c r="BT56" s="40"/>
      <c r="BU56" s="40"/>
      <c r="BV56" s="40"/>
      <c r="BW56" s="40"/>
      <c r="BX56" s="40"/>
      <c r="BY56" s="40"/>
      <c r="BZ56" s="40"/>
      <c r="CA56" s="40"/>
      <c r="CB56" s="40"/>
      <c r="CC56" s="40"/>
      <c r="CD56" s="40"/>
      <c r="CE56" s="40"/>
      <c r="CF56" s="40"/>
      <c r="CG56" s="40"/>
      <c r="CH56" s="40"/>
      <c r="CI56" s="40"/>
      <c r="CJ56" s="40"/>
      <c r="CK56" s="40"/>
      <c r="CL56" s="40"/>
    </row>
    <row r="57" spans="1:90" x14ac:dyDescent="0.25">
      <c r="A57" s="40"/>
      <c r="B57" s="40"/>
      <c r="C57" s="40"/>
      <c r="D57" s="40"/>
      <c r="E57" s="40"/>
      <c r="F57" s="40"/>
      <c r="G57" s="40"/>
      <c r="H57" s="40"/>
      <c r="I57" s="40"/>
      <c r="J57" s="40"/>
      <c r="K57" s="40"/>
      <c r="L57" s="40"/>
      <c r="M57" s="40"/>
      <c r="N57" s="40"/>
      <c r="O57" s="40"/>
      <c r="P57" s="40"/>
      <c r="Q57" s="40"/>
      <c r="R57" s="40"/>
      <c r="S57" s="40"/>
      <c r="T57" s="40"/>
      <c r="U57" s="40"/>
      <c r="V57" s="40"/>
      <c r="W57" s="40"/>
      <c r="X57" s="40"/>
      <c r="Y57" s="40"/>
      <c r="Z57" s="40"/>
      <c r="AA57" s="40"/>
      <c r="AB57" s="40"/>
      <c r="AC57" s="40"/>
      <c r="AD57" s="40"/>
      <c r="AE57" s="40"/>
      <c r="AF57" s="40"/>
      <c r="AG57" s="40"/>
      <c r="AH57" s="40"/>
      <c r="AI57" s="40"/>
      <c r="AJ57" s="40"/>
      <c r="AK57" s="40"/>
      <c r="AL57" s="40"/>
      <c r="AM57" s="40"/>
      <c r="AN57" s="40"/>
      <c r="AO57" s="40"/>
      <c r="AP57" s="40"/>
      <c r="AQ57" s="40"/>
      <c r="AR57" s="40"/>
      <c r="AS57" s="40"/>
      <c r="AT57" s="40"/>
      <c r="AU57" s="40"/>
      <c r="AV57" s="40"/>
      <c r="AW57" s="40"/>
      <c r="AX57" s="40"/>
      <c r="AY57" s="40"/>
      <c r="AZ57" s="40"/>
      <c r="BA57" s="40"/>
      <c r="BB57" s="40"/>
      <c r="BC57" s="40"/>
      <c r="BD57" s="40"/>
      <c r="BE57" s="40"/>
      <c r="BF57" s="40"/>
      <c r="BG57" s="40"/>
      <c r="BH57" s="40"/>
      <c r="BI57" s="40"/>
      <c r="BJ57" s="40"/>
      <c r="BK57" s="40"/>
      <c r="BL57" s="40"/>
      <c r="BM57" s="40"/>
      <c r="BN57" s="40"/>
      <c r="BO57" s="40"/>
      <c r="BP57" s="40"/>
      <c r="BQ57" s="40"/>
      <c r="BR57" s="40"/>
      <c r="BS57" s="40"/>
      <c r="BT57" s="40"/>
      <c r="BU57" s="40"/>
      <c r="BV57" s="40"/>
      <c r="BW57" s="40"/>
      <c r="BX57" s="40"/>
      <c r="BY57" s="40"/>
      <c r="BZ57" s="40"/>
      <c r="CA57" s="40"/>
      <c r="CB57" s="40"/>
      <c r="CC57" s="40"/>
      <c r="CD57" s="40"/>
      <c r="CE57" s="40"/>
      <c r="CF57" s="40"/>
      <c r="CG57" s="40"/>
      <c r="CH57" s="40"/>
      <c r="CI57" s="40"/>
      <c r="CJ57" s="40"/>
      <c r="CK57" s="40"/>
      <c r="CL57" s="40"/>
    </row>
    <row r="58" spans="1:90" x14ac:dyDescent="0.25">
      <c r="A58" s="40"/>
      <c r="B58" s="40"/>
      <c r="C58" s="40"/>
      <c r="D58" s="40"/>
      <c r="E58" s="40"/>
      <c r="F58" s="40"/>
      <c r="G58" s="40"/>
      <c r="H58" s="40"/>
      <c r="I58" s="40"/>
      <c r="J58" s="40"/>
      <c r="K58" s="40"/>
      <c r="L58" s="40"/>
      <c r="M58" s="40"/>
      <c r="N58" s="40"/>
      <c r="O58" s="40"/>
      <c r="P58" s="40"/>
      <c r="Q58" s="40"/>
      <c r="R58" s="40"/>
      <c r="S58" s="40"/>
      <c r="T58" s="40"/>
      <c r="U58" s="40"/>
      <c r="V58" s="40"/>
      <c r="W58" s="40"/>
      <c r="X58" s="40"/>
      <c r="Y58" s="40"/>
      <c r="Z58" s="40"/>
      <c r="AA58" s="40"/>
      <c r="AB58" s="40"/>
      <c r="AC58" s="40"/>
      <c r="AD58" s="40"/>
      <c r="AE58" s="40"/>
      <c r="AF58" s="40"/>
      <c r="AG58" s="40"/>
      <c r="AH58" s="40"/>
      <c r="AI58" s="40"/>
      <c r="AJ58" s="40"/>
      <c r="AK58" s="40"/>
      <c r="AL58" s="40"/>
      <c r="AM58" s="40"/>
      <c r="AN58" s="40"/>
      <c r="AO58" s="40"/>
      <c r="AP58" s="40"/>
      <c r="AQ58" s="40"/>
      <c r="AR58" s="40"/>
      <c r="AS58" s="40"/>
      <c r="AT58" s="40"/>
      <c r="AU58" s="40"/>
      <c r="AV58" s="40"/>
      <c r="AW58" s="40"/>
      <c r="AX58" s="40"/>
      <c r="AY58" s="40"/>
      <c r="AZ58" s="40"/>
      <c r="BA58" s="40"/>
      <c r="BB58" s="40"/>
      <c r="BC58" s="40"/>
      <c r="BD58" s="40"/>
      <c r="BE58" s="40"/>
      <c r="BF58" s="40"/>
      <c r="BG58" s="40"/>
      <c r="BH58" s="40"/>
      <c r="BI58" s="40"/>
      <c r="BJ58" s="40"/>
      <c r="BK58" s="40"/>
      <c r="BL58" s="40"/>
      <c r="BM58" s="40"/>
      <c r="BN58" s="40"/>
      <c r="BO58" s="40"/>
      <c r="BP58" s="40"/>
      <c r="BQ58" s="40"/>
      <c r="BR58" s="40"/>
      <c r="BS58" s="40"/>
      <c r="BT58" s="40"/>
      <c r="BU58" s="40"/>
      <c r="BV58" s="40"/>
      <c r="BW58" s="40"/>
      <c r="BX58" s="40"/>
      <c r="BY58" s="40"/>
      <c r="BZ58" s="40"/>
      <c r="CA58" s="40"/>
      <c r="CB58" s="40"/>
      <c r="CC58" s="40"/>
      <c r="CD58" s="40"/>
      <c r="CE58" s="40"/>
      <c r="CF58" s="40"/>
      <c r="CG58" s="40"/>
      <c r="CH58" s="40"/>
      <c r="CI58" s="40"/>
      <c r="CJ58" s="40"/>
      <c r="CK58" s="40"/>
      <c r="CL58" s="40"/>
    </row>
    <row r="59" spans="1:90" x14ac:dyDescent="0.25">
      <c r="A59" s="40"/>
      <c r="B59" s="40"/>
      <c r="C59" s="40"/>
      <c r="D59" s="40"/>
      <c r="E59" s="40"/>
      <c r="F59" s="40"/>
      <c r="G59" s="40"/>
      <c r="H59" s="40"/>
      <c r="I59" s="40"/>
      <c r="J59" s="40"/>
      <c r="K59" s="40"/>
      <c r="L59" s="40"/>
      <c r="M59" s="40"/>
      <c r="N59" s="40"/>
      <c r="O59" s="40"/>
      <c r="P59" s="40"/>
      <c r="Q59" s="40"/>
      <c r="R59" s="40"/>
      <c r="S59" s="40"/>
      <c r="T59" s="40"/>
      <c r="U59" s="40"/>
      <c r="V59" s="40"/>
      <c r="W59" s="40"/>
      <c r="X59" s="40"/>
      <c r="Y59" s="40"/>
      <c r="Z59" s="40"/>
      <c r="AA59" s="40"/>
      <c r="AB59" s="40"/>
      <c r="AC59" s="40"/>
      <c r="AD59" s="40"/>
      <c r="AE59" s="40"/>
      <c r="AF59" s="40"/>
      <c r="AG59" s="40"/>
      <c r="AH59" s="40"/>
      <c r="AI59" s="40"/>
      <c r="AJ59" s="40"/>
      <c r="AK59" s="40"/>
      <c r="AL59" s="40"/>
      <c r="AM59" s="40"/>
      <c r="AN59" s="40"/>
      <c r="AO59" s="40"/>
      <c r="AP59" s="40"/>
      <c r="AQ59" s="40"/>
      <c r="AR59" s="40"/>
      <c r="AS59" s="40"/>
      <c r="AT59" s="40"/>
      <c r="AU59" s="40"/>
      <c r="AV59" s="40"/>
      <c r="AW59" s="40"/>
      <c r="AX59" s="40"/>
      <c r="AY59" s="40"/>
      <c r="AZ59" s="40"/>
      <c r="BA59" s="40"/>
      <c r="BB59" s="40"/>
      <c r="BC59" s="40"/>
      <c r="BD59" s="40"/>
      <c r="BE59" s="40"/>
      <c r="BF59" s="40"/>
      <c r="BG59" s="40"/>
      <c r="BH59" s="40"/>
      <c r="BI59" s="40"/>
      <c r="BJ59" s="40"/>
      <c r="BK59" s="40"/>
      <c r="BL59" s="40"/>
      <c r="BM59" s="40"/>
      <c r="BN59" s="40"/>
      <c r="BO59" s="40"/>
      <c r="BP59" s="40"/>
      <c r="BQ59" s="40"/>
      <c r="BR59" s="40"/>
      <c r="BS59" s="40"/>
      <c r="BT59" s="40"/>
      <c r="BU59" s="40"/>
      <c r="BV59" s="40"/>
      <c r="BW59" s="40"/>
      <c r="BX59" s="40"/>
      <c r="BY59" s="40"/>
      <c r="BZ59" s="40"/>
      <c r="CA59" s="40"/>
      <c r="CB59" s="40"/>
      <c r="CC59" s="40"/>
      <c r="CD59" s="40"/>
      <c r="CE59" s="40"/>
      <c r="CF59" s="40"/>
      <c r="CG59" s="40"/>
      <c r="CH59" s="40"/>
      <c r="CI59" s="40"/>
      <c r="CJ59" s="40"/>
      <c r="CK59" s="40"/>
      <c r="CL59" s="40"/>
    </row>
    <row r="60" spans="1:90" x14ac:dyDescent="0.25">
      <c r="A60" s="40"/>
      <c r="B60" s="40"/>
      <c r="C60" s="40"/>
      <c r="D60" s="40"/>
      <c r="E60" s="40"/>
      <c r="F60" s="40"/>
      <c r="G60" s="40"/>
      <c r="H60" s="40"/>
      <c r="I60" s="40"/>
      <c r="J60" s="40"/>
      <c r="K60" s="40"/>
      <c r="L60" s="40"/>
      <c r="M60" s="40"/>
      <c r="N60" s="40"/>
      <c r="O60" s="40"/>
      <c r="P60" s="40"/>
      <c r="Q60" s="40"/>
      <c r="R60" s="40"/>
      <c r="S60" s="40"/>
      <c r="T60" s="40"/>
      <c r="U60" s="40"/>
      <c r="V60" s="40"/>
      <c r="W60" s="40"/>
      <c r="X60" s="40"/>
      <c r="Y60" s="40"/>
      <c r="Z60" s="40"/>
      <c r="AA60" s="40"/>
      <c r="AB60" s="40"/>
      <c r="AC60" s="40"/>
      <c r="AD60" s="40"/>
      <c r="AE60" s="40"/>
      <c r="AF60" s="40"/>
      <c r="AG60" s="40"/>
      <c r="AH60" s="40"/>
      <c r="AI60" s="40"/>
      <c r="AJ60" s="40"/>
      <c r="AK60" s="40"/>
      <c r="AL60" s="40"/>
      <c r="AM60" s="40"/>
      <c r="AN60" s="40"/>
      <c r="AO60" s="40"/>
      <c r="AP60" s="40"/>
      <c r="AQ60" s="40"/>
      <c r="AR60" s="40"/>
      <c r="AS60" s="40"/>
      <c r="AT60" s="40"/>
      <c r="AU60" s="40"/>
      <c r="AV60" s="40"/>
      <c r="AW60" s="40"/>
      <c r="AX60" s="40"/>
      <c r="AY60" s="40"/>
      <c r="AZ60" s="40"/>
      <c r="BA60" s="40"/>
      <c r="BB60" s="40"/>
      <c r="BC60" s="40"/>
      <c r="BD60" s="40"/>
      <c r="BE60" s="40"/>
      <c r="BF60" s="40"/>
      <c r="BG60" s="40"/>
      <c r="BH60" s="40"/>
      <c r="BI60" s="40"/>
      <c r="BJ60" s="40"/>
      <c r="BK60" s="40"/>
      <c r="BL60" s="40"/>
      <c r="BM60" s="40"/>
      <c r="BN60" s="40"/>
      <c r="BO60" s="40"/>
      <c r="BP60" s="40"/>
      <c r="BQ60" s="40"/>
      <c r="BR60" s="40"/>
      <c r="BS60" s="40"/>
      <c r="BT60" s="40"/>
      <c r="BU60" s="40"/>
      <c r="BV60" s="40"/>
      <c r="BW60" s="40"/>
      <c r="BX60" s="40"/>
      <c r="BY60" s="40"/>
      <c r="BZ60" s="40"/>
      <c r="CA60" s="40"/>
      <c r="CB60" s="40"/>
      <c r="CC60" s="40"/>
      <c r="CD60" s="40"/>
      <c r="CE60" s="40"/>
      <c r="CF60" s="40"/>
      <c r="CG60" s="40"/>
      <c r="CH60" s="40"/>
      <c r="CI60" s="40"/>
      <c r="CJ60" s="40"/>
      <c r="CK60" s="40"/>
      <c r="CL60" s="40"/>
    </row>
    <row r="61" spans="1:90" x14ac:dyDescent="0.25">
      <c r="A61" s="40"/>
      <c r="B61" s="40"/>
      <c r="C61" s="40"/>
      <c r="D61" s="40"/>
      <c r="E61" s="40"/>
      <c r="F61" s="40"/>
      <c r="G61" s="40"/>
      <c r="H61" s="40"/>
      <c r="I61" s="40"/>
      <c r="J61" s="40"/>
      <c r="K61" s="40"/>
      <c r="L61" s="40"/>
      <c r="M61" s="40"/>
      <c r="N61" s="40"/>
      <c r="O61" s="40"/>
      <c r="P61" s="40"/>
      <c r="Q61" s="40"/>
      <c r="R61" s="40"/>
      <c r="S61" s="40"/>
      <c r="T61" s="40"/>
      <c r="U61" s="40"/>
      <c r="V61" s="40"/>
      <c r="W61" s="40"/>
      <c r="X61" s="40"/>
      <c r="Y61" s="40"/>
      <c r="Z61" s="40"/>
      <c r="AA61" s="40"/>
      <c r="AB61" s="40"/>
      <c r="AC61" s="40"/>
      <c r="AD61" s="40"/>
      <c r="AE61" s="40"/>
      <c r="AF61" s="40"/>
      <c r="AG61" s="40"/>
      <c r="AH61" s="40"/>
      <c r="AI61" s="40"/>
      <c r="AJ61" s="40"/>
      <c r="AK61" s="40"/>
      <c r="AL61" s="40"/>
      <c r="AM61" s="40"/>
      <c r="AN61" s="40"/>
      <c r="AO61" s="40"/>
      <c r="AP61" s="40"/>
      <c r="AQ61" s="40"/>
      <c r="AR61" s="40"/>
      <c r="AS61" s="40"/>
      <c r="AT61" s="40"/>
      <c r="AU61" s="40"/>
      <c r="AV61" s="40"/>
      <c r="AW61" s="40"/>
      <c r="AX61" s="40"/>
      <c r="AY61" s="40"/>
      <c r="AZ61" s="40"/>
      <c r="BA61" s="40"/>
      <c r="BB61" s="40"/>
      <c r="BC61" s="40"/>
      <c r="BD61" s="40"/>
      <c r="BE61" s="40"/>
      <c r="BF61" s="40"/>
      <c r="BG61" s="40"/>
      <c r="BH61" s="40"/>
      <c r="BI61" s="40"/>
      <c r="BJ61" s="40"/>
      <c r="BK61" s="40"/>
      <c r="BL61" s="40"/>
      <c r="BM61" s="40"/>
      <c r="BN61" s="40"/>
      <c r="BO61" s="40"/>
      <c r="BP61" s="40"/>
      <c r="BQ61" s="40"/>
      <c r="BR61" s="40"/>
      <c r="BS61" s="40"/>
      <c r="BT61" s="40"/>
      <c r="BU61" s="40"/>
      <c r="BV61" s="40"/>
      <c r="BW61" s="40"/>
      <c r="BX61" s="40"/>
      <c r="BY61" s="40"/>
      <c r="BZ61" s="40"/>
      <c r="CA61" s="40"/>
      <c r="CB61" s="40"/>
      <c r="CC61" s="40"/>
      <c r="CD61" s="40"/>
      <c r="CE61" s="40"/>
      <c r="CF61" s="40"/>
      <c r="CG61" s="40"/>
      <c r="CH61" s="40"/>
      <c r="CI61" s="40"/>
      <c r="CJ61" s="40"/>
      <c r="CK61" s="40"/>
      <c r="CL61" s="40"/>
    </row>
    <row r="62" spans="1:90" x14ac:dyDescent="0.25">
      <c r="A62" s="40"/>
      <c r="B62" s="40"/>
      <c r="C62" s="40"/>
      <c r="D62" s="40"/>
      <c r="E62" s="40"/>
      <c r="F62" s="40"/>
      <c r="G62" s="40"/>
      <c r="H62" s="40"/>
      <c r="I62" s="40"/>
      <c r="J62" s="40"/>
      <c r="K62" s="40"/>
      <c r="L62" s="40"/>
      <c r="M62" s="40"/>
      <c r="N62" s="40"/>
      <c r="O62" s="40"/>
      <c r="P62" s="40"/>
      <c r="Q62" s="40"/>
      <c r="R62" s="40"/>
      <c r="S62" s="40"/>
      <c r="T62" s="40"/>
      <c r="U62" s="40"/>
      <c r="V62" s="40"/>
      <c r="W62" s="40"/>
      <c r="X62" s="40"/>
      <c r="Y62" s="40"/>
      <c r="Z62" s="40"/>
      <c r="AA62" s="40"/>
      <c r="AB62" s="40"/>
      <c r="AC62" s="40"/>
      <c r="AD62" s="40"/>
      <c r="AE62" s="40"/>
      <c r="AF62" s="40"/>
      <c r="AG62" s="40"/>
      <c r="AH62" s="40"/>
      <c r="AI62" s="40"/>
      <c r="AJ62" s="40"/>
      <c r="AK62" s="40"/>
      <c r="AL62" s="40"/>
      <c r="AM62" s="40"/>
      <c r="AN62" s="40"/>
      <c r="AO62" s="40"/>
      <c r="AP62" s="40"/>
      <c r="AQ62" s="40"/>
      <c r="AR62" s="40"/>
      <c r="AS62" s="40"/>
      <c r="AT62" s="40"/>
      <c r="AU62" s="40"/>
      <c r="AV62" s="40"/>
      <c r="AW62" s="40"/>
      <c r="AX62" s="40"/>
      <c r="AY62" s="40"/>
      <c r="AZ62" s="40"/>
      <c r="BA62" s="40"/>
      <c r="BB62" s="40"/>
      <c r="BC62" s="40"/>
      <c r="BD62" s="40"/>
      <c r="BE62" s="40"/>
      <c r="BF62" s="40"/>
      <c r="BG62" s="40"/>
      <c r="BH62" s="40"/>
      <c r="BI62" s="40"/>
      <c r="BJ62" s="40"/>
      <c r="BK62" s="40"/>
      <c r="BL62" s="40"/>
      <c r="BM62" s="40"/>
      <c r="BN62" s="40"/>
      <c r="BO62" s="40"/>
      <c r="BP62" s="40"/>
      <c r="BQ62" s="40"/>
      <c r="BR62" s="40"/>
      <c r="BS62" s="40"/>
      <c r="BT62" s="40"/>
      <c r="BU62" s="40"/>
      <c r="BV62" s="40"/>
      <c r="BW62" s="40"/>
      <c r="BX62" s="40"/>
      <c r="BY62" s="40"/>
      <c r="BZ62" s="40"/>
      <c r="CA62" s="40"/>
      <c r="CB62" s="40"/>
      <c r="CC62" s="40"/>
      <c r="CD62" s="40"/>
      <c r="CE62" s="40"/>
      <c r="CF62" s="40"/>
      <c r="CG62" s="40"/>
      <c r="CH62" s="40"/>
      <c r="CI62" s="40"/>
      <c r="CJ62" s="40"/>
      <c r="CK62" s="40"/>
      <c r="CL62" s="40"/>
    </row>
    <row r="63" spans="1:90" x14ac:dyDescent="0.25">
      <c r="A63" s="40"/>
      <c r="B63" s="40"/>
      <c r="C63" s="40"/>
      <c r="D63" s="40"/>
      <c r="E63" s="40"/>
      <c r="F63" s="40"/>
      <c r="G63" s="40"/>
      <c r="H63" s="40"/>
      <c r="I63" s="40"/>
      <c r="J63" s="40"/>
      <c r="K63" s="40"/>
      <c r="L63" s="40"/>
      <c r="M63" s="40"/>
      <c r="N63" s="40"/>
      <c r="O63" s="40"/>
      <c r="P63" s="40"/>
      <c r="Q63" s="40"/>
      <c r="R63" s="40"/>
      <c r="S63" s="40"/>
      <c r="T63" s="40"/>
      <c r="U63" s="40"/>
      <c r="V63" s="40"/>
      <c r="W63" s="40"/>
      <c r="X63" s="40"/>
      <c r="Y63" s="40"/>
      <c r="Z63" s="40"/>
      <c r="AA63" s="40"/>
      <c r="AB63" s="40"/>
      <c r="AC63" s="40"/>
      <c r="AD63" s="40"/>
      <c r="AE63" s="40"/>
      <c r="AF63" s="40"/>
      <c r="AG63" s="40"/>
      <c r="AH63" s="40"/>
      <c r="AI63" s="40"/>
      <c r="AJ63" s="40"/>
      <c r="AK63" s="40"/>
      <c r="AL63" s="40"/>
      <c r="AM63" s="40"/>
      <c r="AN63" s="40"/>
      <c r="AO63" s="40"/>
      <c r="AP63" s="40"/>
      <c r="AQ63" s="40"/>
      <c r="AR63" s="40"/>
      <c r="AS63" s="40"/>
      <c r="AT63" s="40"/>
      <c r="AU63" s="40"/>
      <c r="AV63" s="40"/>
      <c r="AW63" s="40"/>
      <c r="AX63" s="40"/>
      <c r="AY63" s="40"/>
      <c r="AZ63" s="40"/>
      <c r="BA63" s="40"/>
      <c r="BB63" s="40"/>
      <c r="BC63" s="40"/>
      <c r="BD63" s="40"/>
      <c r="BE63" s="40"/>
      <c r="BF63" s="40"/>
      <c r="BG63" s="40"/>
      <c r="BH63" s="40"/>
      <c r="BI63" s="40"/>
      <c r="BJ63" s="40"/>
      <c r="BK63" s="40"/>
      <c r="BL63" s="40"/>
      <c r="BM63" s="40"/>
      <c r="BN63" s="40"/>
      <c r="BO63" s="40"/>
      <c r="BP63" s="40"/>
      <c r="BQ63" s="40"/>
      <c r="BR63" s="40"/>
      <c r="BS63" s="40"/>
      <c r="BT63" s="40"/>
      <c r="BU63" s="40"/>
      <c r="BV63" s="40"/>
      <c r="BW63" s="40"/>
      <c r="BX63" s="40"/>
      <c r="BY63" s="40"/>
      <c r="BZ63" s="40"/>
      <c r="CA63" s="40"/>
      <c r="CB63" s="40"/>
      <c r="CC63" s="40"/>
      <c r="CD63" s="40"/>
      <c r="CE63" s="40"/>
      <c r="CF63" s="40"/>
      <c r="CG63" s="40"/>
      <c r="CH63" s="40"/>
      <c r="CI63" s="40"/>
      <c r="CJ63" s="40"/>
      <c r="CK63" s="40"/>
      <c r="CL63" s="40"/>
    </row>
    <row r="64" spans="1:90" x14ac:dyDescent="0.25">
      <c r="A64" s="40"/>
      <c r="B64" s="40"/>
      <c r="C64" s="40"/>
      <c r="D64" s="40"/>
      <c r="E64" s="40"/>
      <c r="F64" s="40"/>
      <c r="G64" s="40"/>
      <c r="H64" s="40"/>
      <c r="I64" s="40"/>
      <c r="J64" s="40"/>
      <c r="K64" s="40"/>
      <c r="L64" s="40"/>
      <c r="M64" s="40"/>
      <c r="N64" s="40"/>
      <c r="O64" s="40"/>
      <c r="P64" s="40"/>
      <c r="Q64" s="40"/>
      <c r="R64" s="40"/>
      <c r="S64" s="40"/>
      <c r="T64" s="40"/>
      <c r="U64" s="40"/>
      <c r="V64" s="40"/>
      <c r="W64" s="40"/>
      <c r="X64" s="40"/>
      <c r="Y64" s="40"/>
      <c r="Z64" s="40"/>
      <c r="AA64" s="40"/>
      <c r="AB64" s="40"/>
      <c r="AC64" s="40"/>
      <c r="AD64" s="40"/>
      <c r="AE64" s="40"/>
      <c r="AF64" s="40"/>
      <c r="AG64" s="40"/>
      <c r="AH64" s="40"/>
      <c r="AI64" s="40"/>
      <c r="AJ64" s="40"/>
      <c r="AK64" s="40"/>
      <c r="AL64" s="40"/>
      <c r="AM64" s="40"/>
      <c r="AN64" s="40"/>
      <c r="AO64" s="40"/>
      <c r="AP64" s="40"/>
      <c r="AQ64" s="40"/>
      <c r="AR64" s="40"/>
      <c r="AS64" s="40"/>
      <c r="AT64" s="40"/>
      <c r="AU64" s="40"/>
      <c r="AV64" s="40"/>
      <c r="AW64" s="40"/>
      <c r="AX64" s="40"/>
      <c r="AY64" s="40"/>
      <c r="AZ64" s="40"/>
      <c r="BA64" s="40"/>
      <c r="BB64" s="40"/>
      <c r="BC64" s="40"/>
      <c r="BD64" s="40"/>
      <c r="BE64" s="40"/>
      <c r="BF64" s="40"/>
      <c r="BG64" s="40"/>
      <c r="BH64" s="40"/>
      <c r="BI64" s="40"/>
      <c r="BJ64" s="40"/>
      <c r="BK64" s="40"/>
      <c r="BL64" s="40"/>
      <c r="BM64" s="40"/>
      <c r="BN64" s="40"/>
      <c r="BO64" s="40"/>
      <c r="BP64" s="40"/>
      <c r="BQ64" s="40"/>
      <c r="BR64" s="40"/>
      <c r="BS64" s="40"/>
      <c r="BT64" s="40"/>
      <c r="BU64" s="40"/>
      <c r="BV64" s="40"/>
      <c r="BW64" s="40"/>
      <c r="BX64" s="40"/>
      <c r="BY64" s="40"/>
      <c r="BZ64" s="40"/>
      <c r="CA64" s="40"/>
      <c r="CB64" s="40"/>
      <c r="CC64" s="40"/>
      <c r="CD64" s="40"/>
      <c r="CE64" s="40"/>
      <c r="CF64" s="40"/>
      <c r="CG64" s="40"/>
      <c r="CH64" s="40"/>
      <c r="CI64" s="40"/>
      <c r="CJ64" s="40"/>
      <c r="CK64" s="40"/>
      <c r="CL64" s="40"/>
    </row>
    <row r="65" spans="1:90" x14ac:dyDescent="0.25">
      <c r="A65" s="40"/>
      <c r="B65" s="40"/>
      <c r="C65" s="40"/>
      <c r="D65" s="40"/>
      <c r="E65" s="40"/>
      <c r="F65" s="40"/>
      <c r="G65" s="40"/>
      <c r="H65" s="40"/>
      <c r="I65" s="40"/>
      <c r="J65" s="40"/>
      <c r="K65" s="40"/>
      <c r="L65" s="40"/>
      <c r="M65" s="40"/>
      <c r="N65" s="40"/>
      <c r="O65" s="40"/>
      <c r="P65" s="40"/>
      <c r="Q65" s="40"/>
      <c r="R65" s="40"/>
      <c r="S65" s="40"/>
      <c r="T65" s="40"/>
      <c r="U65" s="40"/>
      <c r="V65" s="40"/>
      <c r="W65" s="40"/>
      <c r="X65" s="40"/>
      <c r="Y65" s="40"/>
      <c r="Z65" s="40"/>
      <c r="AA65" s="40"/>
      <c r="AB65" s="40"/>
      <c r="AC65" s="40"/>
      <c r="AD65" s="40"/>
      <c r="AE65" s="40"/>
      <c r="AF65" s="40"/>
      <c r="AG65" s="40"/>
      <c r="AH65" s="40"/>
      <c r="AI65" s="40"/>
      <c r="AJ65" s="40"/>
      <c r="AK65" s="40"/>
      <c r="AL65" s="40"/>
      <c r="AM65" s="40"/>
      <c r="AN65" s="40"/>
      <c r="AO65" s="40"/>
      <c r="AP65" s="40"/>
      <c r="AQ65" s="40"/>
      <c r="AR65" s="40"/>
      <c r="AS65" s="40"/>
      <c r="AT65" s="40"/>
      <c r="AU65" s="40"/>
      <c r="AV65" s="40"/>
      <c r="AW65" s="40"/>
      <c r="AX65" s="40"/>
      <c r="AY65" s="40"/>
      <c r="AZ65" s="40"/>
      <c r="BA65" s="40"/>
      <c r="BB65" s="40"/>
      <c r="BC65" s="40"/>
      <c r="BD65" s="40"/>
      <c r="BE65" s="40"/>
      <c r="BF65" s="40"/>
      <c r="BG65" s="40"/>
      <c r="BH65" s="40"/>
      <c r="BI65" s="40"/>
      <c r="BJ65" s="40"/>
      <c r="BK65" s="40"/>
      <c r="BL65" s="40"/>
      <c r="BM65" s="40"/>
      <c r="BN65" s="40"/>
      <c r="BO65" s="40"/>
      <c r="BP65" s="40"/>
      <c r="BQ65" s="40"/>
      <c r="BR65" s="40"/>
      <c r="BS65" s="40"/>
      <c r="BT65" s="40"/>
      <c r="BU65" s="40"/>
      <c r="BV65" s="40"/>
      <c r="BW65" s="40"/>
      <c r="BX65" s="40"/>
      <c r="BY65" s="40"/>
      <c r="BZ65" s="40"/>
      <c r="CA65" s="40"/>
      <c r="CB65" s="40"/>
      <c r="CC65" s="40"/>
      <c r="CD65" s="40"/>
      <c r="CE65" s="40"/>
      <c r="CF65" s="40"/>
      <c r="CG65" s="40"/>
      <c r="CH65" s="40"/>
      <c r="CI65" s="40"/>
      <c r="CJ65" s="40"/>
      <c r="CK65" s="40"/>
      <c r="CL65" s="40"/>
    </row>
    <row r="66" spans="1:90" x14ac:dyDescent="0.25">
      <c r="A66" s="40"/>
      <c r="B66" s="40"/>
      <c r="C66" s="40"/>
      <c r="D66" s="40"/>
      <c r="E66" s="40"/>
      <c r="F66" s="40"/>
      <c r="G66" s="40"/>
      <c r="H66" s="40"/>
      <c r="I66" s="40"/>
      <c r="J66" s="40"/>
      <c r="K66" s="40"/>
      <c r="L66" s="40"/>
      <c r="M66" s="40"/>
      <c r="N66" s="40"/>
      <c r="O66" s="40"/>
      <c r="P66" s="40"/>
      <c r="Q66" s="40"/>
      <c r="R66" s="40"/>
      <c r="S66" s="40"/>
      <c r="T66" s="40"/>
      <c r="U66" s="40"/>
      <c r="V66" s="40"/>
      <c r="W66" s="40"/>
      <c r="X66" s="40"/>
      <c r="Y66" s="40"/>
      <c r="Z66" s="40"/>
      <c r="AA66" s="40"/>
      <c r="AB66" s="40"/>
      <c r="AC66" s="40"/>
      <c r="AD66" s="40"/>
      <c r="AE66" s="40"/>
      <c r="AF66" s="40"/>
      <c r="AG66" s="40"/>
      <c r="AH66" s="40"/>
      <c r="AI66" s="40"/>
      <c r="AJ66" s="40"/>
      <c r="AK66" s="40"/>
      <c r="AL66" s="40"/>
      <c r="AM66" s="40"/>
      <c r="AN66" s="40"/>
      <c r="AO66" s="40"/>
      <c r="AP66" s="40"/>
      <c r="AQ66" s="40"/>
      <c r="AR66" s="40"/>
      <c r="AS66" s="40"/>
      <c r="AT66" s="40"/>
      <c r="AU66" s="40"/>
      <c r="AV66" s="40"/>
      <c r="AW66" s="40"/>
      <c r="AX66" s="40"/>
      <c r="AY66" s="40"/>
      <c r="AZ66" s="40"/>
      <c r="BA66" s="40"/>
      <c r="BB66" s="40"/>
      <c r="BC66" s="40"/>
      <c r="BD66" s="40"/>
      <c r="BE66" s="40"/>
      <c r="BF66" s="40"/>
      <c r="BG66" s="40"/>
      <c r="BH66" s="40"/>
      <c r="BI66" s="40"/>
      <c r="BJ66" s="40"/>
      <c r="BK66" s="40"/>
      <c r="BL66" s="40"/>
      <c r="BM66" s="40"/>
      <c r="BN66" s="40"/>
      <c r="BO66" s="40"/>
      <c r="BP66" s="40"/>
      <c r="BQ66" s="40"/>
      <c r="BR66" s="40"/>
      <c r="BS66" s="40"/>
      <c r="BT66" s="40"/>
      <c r="BU66" s="40"/>
      <c r="BV66" s="40"/>
      <c r="BW66" s="40"/>
      <c r="BX66" s="40"/>
      <c r="BY66" s="40"/>
      <c r="BZ66" s="40"/>
      <c r="CA66" s="40"/>
      <c r="CB66" s="40"/>
      <c r="CC66" s="40"/>
      <c r="CD66" s="40"/>
      <c r="CE66" s="40"/>
      <c r="CF66" s="40"/>
      <c r="CG66" s="40"/>
      <c r="CH66" s="40"/>
      <c r="CI66" s="40"/>
      <c r="CJ66" s="40"/>
      <c r="CK66" s="40"/>
      <c r="CL66" s="40"/>
    </row>
    <row r="67" spans="1:90" x14ac:dyDescent="0.25">
      <c r="A67" s="40"/>
      <c r="B67" s="40"/>
      <c r="C67" s="40"/>
      <c r="D67" s="40"/>
      <c r="E67" s="40"/>
      <c r="F67" s="40"/>
      <c r="G67" s="40"/>
      <c r="H67" s="40"/>
      <c r="I67" s="40"/>
      <c r="J67" s="40"/>
      <c r="K67" s="40"/>
      <c r="L67" s="40"/>
      <c r="M67" s="40"/>
      <c r="N67" s="40"/>
      <c r="O67" s="40"/>
      <c r="P67" s="40"/>
      <c r="Q67" s="40"/>
      <c r="R67" s="40"/>
      <c r="S67" s="40"/>
      <c r="T67" s="40"/>
      <c r="U67" s="40"/>
      <c r="V67" s="40"/>
      <c r="W67" s="40"/>
      <c r="X67" s="40"/>
      <c r="Y67" s="40"/>
      <c r="Z67" s="40"/>
      <c r="AA67" s="40"/>
      <c r="AB67" s="40"/>
      <c r="AC67" s="40"/>
      <c r="AD67" s="40"/>
      <c r="AE67" s="40"/>
      <c r="AF67" s="40"/>
      <c r="AG67" s="40"/>
      <c r="AH67" s="40"/>
      <c r="AI67" s="40"/>
      <c r="AJ67" s="40"/>
      <c r="AK67" s="40"/>
      <c r="AL67" s="40"/>
      <c r="AM67" s="40"/>
      <c r="AN67" s="40"/>
      <c r="AO67" s="40"/>
      <c r="AP67" s="40"/>
      <c r="AQ67" s="40"/>
      <c r="AR67" s="40"/>
      <c r="AS67" s="40"/>
      <c r="AT67" s="40"/>
      <c r="AU67" s="40"/>
      <c r="AV67" s="40"/>
      <c r="AW67" s="40"/>
      <c r="AX67" s="40"/>
      <c r="AY67" s="40"/>
      <c r="AZ67" s="40"/>
      <c r="BA67" s="40"/>
      <c r="BB67" s="40"/>
      <c r="BC67" s="40"/>
      <c r="BD67" s="40"/>
      <c r="BE67" s="40"/>
      <c r="BF67" s="40"/>
      <c r="BG67" s="40"/>
      <c r="BH67" s="40"/>
      <c r="BI67" s="40"/>
      <c r="BJ67" s="40"/>
      <c r="BK67" s="40"/>
      <c r="BL67" s="40"/>
      <c r="BM67" s="40"/>
      <c r="BN67" s="40"/>
      <c r="BO67" s="40"/>
      <c r="BP67" s="40"/>
      <c r="BQ67" s="40"/>
      <c r="BR67" s="40"/>
      <c r="BS67" s="40"/>
      <c r="BT67" s="40"/>
      <c r="BU67" s="40"/>
      <c r="BV67" s="40"/>
      <c r="BW67" s="40"/>
      <c r="BX67" s="40"/>
      <c r="BY67" s="40"/>
      <c r="BZ67" s="40"/>
      <c r="CA67" s="40"/>
      <c r="CB67" s="40"/>
      <c r="CC67" s="40"/>
      <c r="CD67" s="40"/>
      <c r="CE67" s="40"/>
      <c r="CF67" s="40"/>
      <c r="CG67" s="40"/>
      <c r="CH67" s="40"/>
      <c r="CI67" s="40"/>
      <c r="CJ67" s="40"/>
      <c r="CK67" s="40"/>
      <c r="CL67" s="40"/>
    </row>
    <row r="68" spans="1:90" x14ac:dyDescent="0.25">
      <c r="A68" s="40"/>
      <c r="B68" s="40"/>
      <c r="C68" s="40"/>
      <c r="D68" s="40"/>
      <c r="E68" s="40"/>
      <c r="F68" s="40"/>
      <c r="G68" s="40"/>
      <c r="H68" s="40"/>
      <c r="I68" s="40"/>
      <c r="J68" s="40"/>
      <c r="K68" s="40"/>
      <c r="L68" s="40"/>
      <c r="M68" s="40"/>
      <c r="N68" s="40"/>
      <c r="O68" s="40"/>
      <c r="P68" s="40"/>
      <c r="Q68" s="40"/>
      <c r="R68" s="40"/>
      <c r="S68" s="40"/>
      <c r="T68" s="40"/>
      <c r="U68" s="40"/>
      <c r="V68" s="40"/>
      <c r="W68" s="40"/>
      <c r="X68" s="40"/>
      <c r="Y68" s="40"/>
      <c r="Z68" s="40"/>
      <c r="AA68" s="40"/>
      <c r="AB68" s="40"/>
      <c r="AC68" s="40"/>
      <c r="AD68" s="40"/>
      <c r="AE68" s="40"/>
      <c r="AF68" s="40"/>
      <c r="AG68" s="40"/>
      <c r="AH68" s="40"/>
      <c r="AI68" s="40"/>
      <c r="AJ68" s="40"/>
      <c r="AK68" s="40"/>
      <c r="AL68" s="40"/>
      <c r="AM68" s="40"/>
      <c r="AN68" s="40"/>
      <c r="AO68" s="40"/>
      <c r="AP68" s="40"/>
      <c r="AQ68" s="40"/>
      <c r="AR68" s="40"/>
      <c r="AS68" s="40"/>
      <c r="AT68" s="40"/>
      <c r="AU68" s="40"/>
      <c r="AV68" s="40"/>
      <c r="AW68" s="40"/>
      <c r="AX68" s="40"/>
      <c r="AY68" s="40"/>
      <c r="AZ68" s="40"/>
      <c r="BA68" s="40"/>
      <c r="BB68" s="40"/>
      <c r="BC68" s="40"/>
      <c r="BD68" s="40"/>
      <c r="BE68" s="40"/>
      <c r="BF68" s="40"/>
      <c r="BG68" s="40"/>
      <c r="BH68" s="40"/>
      <c r="BI68" s="40"/>
      <c r="BJ68" s="40"/>
      <c r="BK68" s="40"/>
      <c r="BL68" s="40"/>
      <c r="BM68" s="40"/>
      <c r="BN68" s="40"/>
      <c r="BO68" s="40"/>
      <c r="BP68" s="40"/>
      <c r="BQ68" s="40"/>
      <c r="BR68" s="40"/>
      <c r="BS68" s="40"/>
      <c r="BT68" s="40"/>
      <c r="BU68" s="40"/>
      <c r="BV68" s="40"/>
      <c r="BW68" s="40"/>
      <c r="BX68" s="40"/>
      <c r="BY68" s="40"/>
      <c r="BZ68" s="40"/>
      <c r="CA68" s="40"/>
      <c r="CB68" s="40"/>
      <c r="CC68" s="40"/>
      <c r="CD68" s="40"/>
      <c r="CE68" s="40"/>
      <c r="CF68" s="40"/>
      <c r="CG68" s="40"/>
      <c r="CH68" s="40"/>
      <c r="CI68" s="40"/>
      <c r="CJ68" s="40"/>
      <c r="CK68" s="40"/>
      <c r="CL68" s="40"/>
    </row>
    <row r="69" spans="1:90" x14ac:dyDescent="0.25">
      <c r="A69" s="40"/>
      <c r="B69" s="40"/>
      <c r="C69" s="40"/>
      <c r="D69" s="40"/>
      <c r="E69" s="40"/>
      <c r="F69" s="40"/>
      <c r="G69" s="40"/>
      <c r="H69" s="40"/>
      <c r="I69" s="40"/>
      <c r="J69" s="40"/>
      <c r="K69" s="40"/>
      <c r="L69" s="40"/>
      <c r="M69" s="40"/>
      <c r="N69" s="40"/>
      <c r="O69" s="40"/>
      <c r="P69" s="40"/>
      <c r="Q69" s="40"/>
      <c r="R69" s="40"/>
      <c r="S69" s="40"/>
      <c r="T69" s="40"/>
      <c r="U69" s="40"/>
      <c r="V69" s="40"/>
      <c r="W69" s="40"/>
      <c r="X69" s="40"/>
      <c r="Y69" s="40"/>
      <c r="Z69" s="40"/>
      <c r="AA69" s="40"/>
      <c r="AB69" s="40"/>
      <c r="AC69" s="40"/>
      <c r="AD69" s="40"/>
      <c r="AE69" s="40"/>
      <c r="AF69" s="40"/>
      <c r="AG69" s="40"/>
      <c r="AH69" s="40"/>
      <c r="AI69" s="40"/>
      <c r="AJ69" s="40"/>
      <c r="AK69" s="40"/>
      <c r="AL69" s="40"/>
      <c r="AM69" s="40"/>
      <c r="AN69" s="40"/>
      <c r="AO69" s="40"/>
      <c r="AP69" s="40"/>
      <c r="AQ69" s="40"/>
      <c r="AR69" s="40"/>
      <c r="AS69" s="40"/>
      <c r="AT69" s="40"/>
      <c r="AU69" s="40"/>
      <c r="AV69" s="40"/>
      <c r="AW69" s="40"/>
      <c r="AX69" s="40"/>
      <c r="AY69" s="40"/>
      <c r="AZ69" s="40"/>
      <c r="BA69" s="40"/>
      <c r="BB69" s="40"/>
      <c r="BC69" s="40"/>
      <c r="BD69" s="40"/>
      <c r="BE69" s="40"/>
      <c r="BF69" s="40"/>
      <c r="BG69" s="40"/>
      <c r="BH69" s="40"/>
      <c r="BI69" s="40"/>
      <c r="BJ69" s="40"/>
      <c r="BK69" s="40"/>
      <c r="BL69" s="40"/>
      <c r="BM69" s="40"/>
      <c r="BN69" s="40"/>
      <c r="BO69" s="40"/>
      <c r="BP69" s="40"/>
      <c r="BQ69" s="40"/>
      <c r="BR69" s="40"/>
      <c r="BS69" s="40"/>
      <c r="BT69" s="40"/>
      <c r="BU69" s="40"/>
      <c r="BV69" s="40"/>
      <c r="BW69" s="40"/>
      <c r="BX69" s="40"/>
      <c r="BY69" s="40"/>
      <c r="BZ69" s="40"/>
      <c r="CA69" s="40"/>
      <c r="CB69" s="40"/>
      <c r="CC69" s="40"/>
      <c r="CD69" s="40"/>
      <c r="CE69" s="40"/>
      <c r="CF69" s="40"/>
      <c r="CG69" s="40"/>
      <c r="CH69" s="40"/>
      <c r="CI69" s="40"/>
      <c r="CJ69" s="40"/>
      <c r="CK69" s="40"/>
      <c r="CL69" s="40"/>
    </row>
    <row r="70" spans="1:90" x14ac:dyDescent="0.25">
      <c r="A70" s="40"/>
      <c r="B70" s="40"/>
      <c r="C70" s="40"/>
      <c r="D70" s="40"/>
      <c r="E70" s="40"/>
      <c r="F70" s="40"/>
      <c r="G70" s="40"/>
      <c r="H70" s="40"/>
      <c r="I70" s="40"/>
      <c r="J70" s="40"/>
      <c r="K70" s="40"/>
      <c r="L70" s="40"/>
      <c r="M70" s="40"/>
      <c r="N70" s="40"/>
      <c r="O70" s="40"/>
      <c r="P70" s="40"/>
      <c r="Q70" s="40"/>
      <c r="R70" s="40"/>
      <c r="S70" s="40"/>
      <c r="T70" s="40"/>
      <c r="U70" s="40"/>
      <c r="V70" s="40"/>
      <c r="W70" s="40"/>
      <c r="X70" s="40"/>
      <c r="Y70" s="40"/>
      <c r="Z70" s="40"/>
      <c r="AA70" s="40"/>
      <c r="AB70" s="40"/>
      <c r="AC70" s="40"/>
      <c r="AD70" s="40"/>
      <c r="AE70" s="40"/>
      <c r="AF70" s="40"/>
      <c r="AG70" s="40"/>
      <c r="AH70" s="40"/>
      <c r="AI70" s="40"/>
      <c r="AJ70" s="40"/>
      <c r="AK70" s="40"/>
      <c r="AL70" s="40"/>
      <c r="AM70" s="40"/>
      <c r="AN70" s="40"/>
      <c r="AO70" s="40"/>
      <c r="AP70" s="40"/>
      <c r="AQ70" s="40"/>
      <c r="AR70" s="40"/>
      <c r="AS70" s="40"/>
      <c r="AT70" s="40"/>
      <c r="AU70" s="40"/>
      <c r="AV70" s="40"/>
      <c r="AW70" s="40"/>
      <c r="AX70" s="40"/>
      <c r="AY70" s="40"/>
      <c r="AZ70" s="40"/>
      <c r="BA70" s="40"/>
      <c r="BB70" s="40"/>
      <c r="BC70" s="40"/>
      <c r="BD70" s="40"/>
      <c r="BE70" s="40"/>
      <c r="BF70" s="40"/>
      <c r="BG70" s="40"/>
      <c r="BH70" s="40"/>
      <c r="BI70" s="40"/>
      <c r="BJ70" s="40"/>
      <c r="BK70" s="40"/>
      <c r="BL70" s="40"/>
      <c r="BM70" s="40"/>
      <c r="BN70" s="40"/>
      <c r="BO70" s="40"/>
      <c r="BP70" s="40"/>
      <c r="BQ70" s="40"/>
      <c r="BR70" s="40"/>
      <c r="BS70" s="40"/>
      <c r="BT70" s="40"/>
      <c r="BU70" s="40"/>
      <c r="BV70" s="40"/>
      <c r="BW70" s="40"/>
      <c r="BX70" s="40"/>
      <c r="BY70" s="40"/>
      <c r="BZ70" s="40"/>
      <c r="CA70" s="40"/>
      <c r="CB70" s="40"/>
      <c r="CC70" s="40"/>
      <c r="CD70" s="40"/>
      <c r="CE70" s="40"/>
      <c r="CF70" s="40"/>
      <c r="CG70" s="40"/>
      <c r="CH70" s="40"/>
      <c r="CI70" s="40"/>
      <c r="CJ70" s="40"/>
      <c r="CK70" s="40"/>
      <c r="CL70" s="40"/>
    </row>
    <row r="71" spans="1:90" x14ac:dyDescent="0.25">
      <c r="A71" s="40"/>
      <c r="B71" s="40"/>
      <c r="C71" s="40"/>
      <c r="D71" s="40"/>
      <c r="E71" s="40"/>
      <c r="F71" s="40"/>
      <c r="G71" s="40"/>
      <c r="H71" s="40"/>
      <c r="I71" s="40"/>
      <c r="J71" s="40"/>
      <c r="K71" s="40"/>
      <c r="L71" s="40"/>
      <c r="M71" s="40"/>
      <c r="N71" s="40"/>
      <c r="O71" s="40"/>
      <c r="P71" s="40"/>
      <c r="Q71" s="40"/>
      <c r="R71" s="40"/>
      <c r="S71" s="40"/>
      <c r="T71" s="40"/>
      <c r="U71" s="40"/>
      <c r="V71" s="40"/>
      <c r="W71" s="40"/>
      <c r="X71" s="40"/>
      <c r="Y71" s="40"/>
      <c r="Z71" s="40"/>
      <c r="AA71" s="40"/>
      <c r="AB71" s="40"/>
      <c r="AC71" s="40"/>
      <c r="AD71" s="40"/>
      <c r="AE71" s="40"/>
      <c r="AF71" s="40"/>
      <c r="AG71" s="40"/>
      <c r="AH71" s="40"/>
      <c r="AI71" s="40"/>
      <c r="AJ71" s="40"/>
      <c r="AK71" s="40"/>
      <c r="AL71" s="40"/>
      <c r="AM71" s="40"/>
      <c r="AN71" s="40"/>
      <c r="AO71" s="40"/>
      <c r="AP71" s="40"/>
      <c r="AQ71" s="40"/>
      <c r="AR71" s="40"/>
      <c r="AS71" s="40"/>
      <c r="AT71" s="40"/>
      <c r="AU71" s="40"/>
      <c r="AV71" s="40"/>
      <c r="AW71" s="40"/>
      <c r="AX71" s="40"/>
      <c r="AY71" s="40"/>
      <c r="AZ71" s="40"/>
      <c r="BA71" s="40"/>
      <c r="BB71" s="40"/>
      <c r="BC71" s="40"/>
      <c r="BD71" s="40"/>
      <c r="BE71" s="40"/>
      <c r="BF71" s="40"/>
      <c r="BG71" s="40"/>
      <c r="BH71" s="40"/>
      <c r="BI71" s="40"/>
      <c r="BJ71" s="40"/>
      <c r="BK71" s="40"/>
      <c r="BL71" s="40"/>
      <c r="BM71" s="40"/>
      <c r="BN71" s="40"/>
      <c r="BO71" s="40"/>
      <c r="BP71" s="40"/>
      <c r="BQ71" s="40"/>
      <c r="BR71" s="40"/>
      <c r="BS71" s="40"/>
      <c r="BT71" s="40"/>
      <c r="BU71" s="40"/>
      <c r="BV71" s="40"/>
      <c r="BW71" s="40"/>
      <c r="BX71" s="40"/>
      <c r="BY71" s="40"/>
      <c r="BZ71" s="40"/>
      <c r="CA71" s="40"/>
      <c r="CB71" s="40"/>
      <c r="CC71" s="40"/>
      <c r="CD71" s="40"/>
      <c r="CE71" s="40"/>
      <c r="CF71" s="40"/>
      <c r="CG71" s="40"/>
      <c r="CH71" s="40"/>
      <c r="CI71" s="40"/>
      <c r="CJ71" s="40"/>
      <c r="CK71" s="40"/>
      <c r="CL71" s="40"/>
    </row>
    <row r="72" spans="1:90" x14ac:dyDescent="0.25">
      <c r="A72" s="40"/>
      <c r="B72" s="40"/>
      <c r="C72" s="40"/>
      <c r="D72" s="40"/>
      <c r="E72" s="40"/>
      <c r="F72" s="40"/>
      <c r="G72" s="40"/>
      <c r="H72" s="40"/>
      <c r="I72" s="40"/>
      <c r="J72" s="40"/>
      <c r="K72" s="40"/>
      <c r="L72" s="40"/>
      <c r="M72" s="40"/>
      <c r="N72" s="40"/>
      <c r="O72" s="40"/>
      <c r="P72" s="40"/>
      <c r="Q72" s="40"/>
      <c r="R72" s="40"/>
      <c r="S72" s="40"/>
      <c r="T72" s="40"/>
      <c r="U72" s="40"/>
      <c r="V72" s="40"/>
      <c r="W72" s="40"/>
      <c r="X72" s="40"/>
      <c r="Y72" s="40"/>
      <c r="Z72" s="40"/>
      <c r="AA72" s="40"/>
      <c r="AB72" s="40"/>
      <c r="AC72" s="40"/>
      <c r="AD72" s="40"/>
      <c r="AE72" s="40"/>
      <c r="AF72" s="40"/>
      <c r="AG72" s="40"/>
      <c r="AH72" s="40"/>
      <c r="AI72" s="40"/>
      <c r="AJ72" s="40"/>
      <c r="AK72" s="40"/>
      <c r="AL72" s="40"/>
      <c r="AM72" s="40"/>
      <c r="AN72" s="40"/>
      <c r="AO72" s="40"/>
      <c r="AP72" s="40"/>
      <c r="AQ72" s="40"/>
      <c r="AR72" s="40"/>
      <c r="AS72" s="40"/>
      <c r="AT72" s="40"/>
      <c r="AU72" s="40"/>
      <c r="AV72" s="40"/>
      <c r="AW72" s="40"/>
      <c r="AX72" s="40"/>
      <c r="AY72" s="40"/>
      <c r="AZ72" s="40"/>
      <c r="BA72" s="40"/>
      <c r="BB72" s="40"/>
      <c r="BC72" s="40"/>
      <c r="BD72" s="40"/>
      <c r="BE72" s="40"/>
      <c r="BF72" s="40"/>
      <c r="BG72" s="40"/>
      <c r="BH72" s="40"/>
      <c r="BI72" s="40"/>
      <c r="BJ72" s="40"/>
      <c r="BK72" s="40"/>
      <c r="BL72" s="40"/>
      <c r="BM72" s="40"/>
      <c r="BN72" s="40"/>
      <c r="BO72" s="40"/>
      <c r="BP72" s="40"/>
      <c r="BQ72" s="40"/>
      <c r="BR72" s="40"/>
      <c r="BS72" s="40"/>
      <c r="BT72" s="40"/>
      <c r="BU72" s="40"/>
      <c r="BV72" s="40"/>
      <c r="BW72" s="40"/>
      <c r="BX72" s="40"/>
      <c r="BY72" s="40"/>
      <c r="BZ72" s="40"/>
      <c r="CA72" s="40"/>
      <c r="CB72" s="40"/>
      <c r="CC72" s="40"/>
      <c r="CD72" s="40"/>
      <c r="CE72" s="40"/>
      <c r="CF72" s="40"/>
      <c r="CG72" s="40"/>
      <c r="CH72" s="40"/>
      <c r="CI72" s="40"/>
      <c r="CJ72" s="40"/>
      <c r="CK72" s="40"/>
      <c r="CL72" s="40"/>
    </row>
    <row r="73" spans="1:90" x14ac:dyDescent="0.25">
      <c r="A73" s="40"/>
      <c r="B73" s="40"/>
      <c r="C73" s="40"/>
      <c r="D73" s="40"/>
      <c r="E73" s="40"/>
      <c r="F73" s="40"/>
      <c r="G73" s="40"/>
      <c r="H73" s="40"/>
      <c r="I73" s="40"/>
      <c r="J73" s="40"/>
      <c r="K73" s="40"/>
      <c r="L73" s="40"/>
      <c r="M73" s="40"/>
      <c r="N73" s="40"/>
      <c r="O73" s="40"/>
      <c r="P73" s="40"/>
      <c r="Q73" s="40"/>
      <c r="R73" s="40"/>
      <c r="S73" s="40"/>
      <c r="T73" s="40"/>
      <c r="U73" s="40"/>
      <c r="V73" s="40"/>
      <c r="W73" s="40"/>
      <c r="X73" s="40"/>
      <c r="Y73" s="40"/>
      <c r="Z73" s="40"/>
      <c r="AA73" s="40"/>
      <c r="AB73" s="40"/>
      <c r="AC73" s="40"/>
      <c r="AD73" s="40"/>
      <c r="AE73" s="40"/>
      <c r="AF73" s="40"/>
      <c r="AG73" s="40"/>
      <c r="AH73" s="40"/>
      <c r="AI73" s="40"/>
      <c r="AJ73" s="40"/>
      <c r="AK73" s="40"/>
      <c r="AL73" s="40"/>
      <c r="AM73" s="40"/>
      <c r="AN73" s="40"/>
      <c r="AO73" s="40"/>
      <c r="AP73" s="40"/>
      <c r="AQ73" s="40"/>
      <c r="AR73" s="40"/>
      <c r="AS73" s="40"/>
      <c r="AT73" s="40"/>
      <c r="AU73" s="40"/>
      <c r="AV73" s="40"/>
      <c r="AW73" s="40"/>
      <c r="AX73" s="40"/>
      <c r="AY73" s="40"/>
      <c r="AZ73" s="40"/>
      <c r="BA73" s="40"/>
      <c r="BB73" s="40"/>
      <c r="BC73" s="40"/>
      <c r="BD73" s="40"/>
      <c r="BE73" s="40"/>
      <c r="BF73" s="40"/>
      <c r="BG73" s="40"/>
      <c r="BH73" s="40"/>
      <c r="BI73" s="40"/>
      <c r="BJ73" s="40"/>
      <c r="BK73" s="40"/>
      <c r="BL73" s="40"/>
      <c r="BM73" s="40"/>
      <c r="BN73" s="40"/>
      <c r="BO73" s="40"/>
      <c r="BP73" s="40"/>
      <c r="BQ73" s="40"/>
      <c r="BR73" s="40"/>
      <c r="BS73" s="40"/>
      <c r="BT73" s="40"/>
      <c r="BU73" s="40"/>
      <c r="BV73" s="40"/>
      <c r="BW73" s="40"/>
      <c r="BX73" s="40"/>
      <c r="BY73" s="40"/>
      <c r="BZ73" s="40"/>
      <c r="CA73" s="40"/>
      <c r="CB73" s="40"/>
      <c r="CC73" s="40"/>
      <c r="CD73" s="40"/>
      <c r="CE73" s="40"/>
      <c r="CF73" s="40"/>
      <c r="CG73" s="40"/>
      <c r="CH73" s="40"/>
      <c r="CI73" s="40"/>
      <c r="CJ73" s="40"/>
      <c r="CK73" s="40"/>
      <c r="CL73" s="40"/>
    </row>
    <row r="74" spans="1:90" x14ac:dyDescent="0.25">
      <c r="A74" s="40"/>
      <c r="B74" s="40"/>
      <c r="C74" s="40"/>
      <c r="D74" s="40"/>
      <c r="E74" s="40"/>
      <c r="F74" s="40"/>
      <c r="G74" s="40"/>
      <c r="H74" s="40"/>
      <c r="I74" s="40"/>
      <c r="J74" s="40"/>
      <c r="K74" s="40"/>
      <c r="L74" s="40"/>
      <c r="M74" s="40"/>
      <c r="N74" s="40"/>
      <c r="O74" s="40"/>
      <c r="P74" s="40"/>
      <c r="Q74" s="40"/>
      <c r="R74" s="40"/>
      <c r="S74" s="40"/>
      <c r="T74" s="40"/>
      <c r="U74" s="40"/>
      <c r="V74" s="40"/>
      <c r="W74" s="40"/>
      <c r="X74" s="40"/>
      <c r="Y74" s="40"/>
      <c r="Z74" s="40"/>
      <c r="AA74" s="40"/>
      <c r="AB74" s="40"/>
      <c r="AC74" s="40"/>
      <c r="AD74" s="40"/>
      <c r="AE74" s="40"/>
      <c r="AF74" s="40"/>
      <c r="AG74" s="40"/>
      <c r="AH74" s="40"/>
      <c r="AI74" s="40"/>
      <c r="AJ74" s="40"/>
      <c r="AK74" s="40"/>
      <c r="AL74" s="40"/>
      <c r="AM74" s="40"/>
      <c r="AN74" s="40"/>
      <c r="AO74" s="40"/>
      <c r="AP74" s="40"/>
      <c r="AQ74" s="40"/>
      <c r="AR74" s="40"/>
      <c r="AS74" s="40"/>
      <c r="AT74" s="40"/>
      <c r="AU74" s="40"/>
      <c r="AV74" s="40"/>
      <c r="AW74" s="40"/>
      <c r="AX74" s="40"/>
      <c r="AY74" s="40"/>
      <c r="AZ74" s="40"/>
      <c r="BA74" s="40"/>
      <c r="BB74" s="40"/>
      <c r="BC74" s="40"/>
      <c r="BD74" s="40"/>
      <c r="BE74" s="40"/>
      <c r="BF74" s="40"/>
      <c r="BG74" s="40"/>
      <c r="BH74" s="40"/>
      <c r="BI74" s="40"/>
      <c r="BJ74" s="40"/>
      <c r="BK74" s="40"/>
      <c r="BL74" s="40"/>
      <c r="BM74" s="40"/>
      <c r="BN74" s="40"/>
      <c r="BO74" s="40"/>
      <c r="BP74" s="40"/>
      <c r="BQ74" s="40"/>
      <c r="BR74" s="40"/>
      <c r="BS74" s="40"/>
      <c r="BT74" s="40"/>
      <c r="BU74" s="40"/>
      <c r="BV74" s="40"/>
      <c r="BW74" s="40"/>
      <c r="BX74" s="40"/>
      <c r="BY74" s="40"/>
      <c r="BZ74" s="40"/>
      <c r="CA74" s="40"/>
      <c r="CB74" s="40"/>
      <c r="CC74" s="40"/>
      <c r="CD74" s="40"/>
      <c r="CE74" s="40"/>
      <c r="CF74" s="40"/>
      <c r="CG74" s="40"/>
      <c r="CH74" s="40"/>
      <c r="CI74" s="40"/>
      <c r="CJ74" s="40"/>
      <c r="CK74" s="40"/>
      <c r="CL74" s="40"/>
    </row>
    <row r="75" spans="1:90" x14ac:dyDescent="0.25">
      <c r="A75" s="40"/>
      <c r="B75" s="40"/>
      <c r="C75" s="40"/>
      <c r="D75" s="40"/>
      <c r="E75" s="40"/>
      <c r="F75" s="40"/>
      <c r="G75" s="40"/>
      <c r="H75" s="40"/>
      <c r="I75" s="40"/>
      <c r="J75" s="40"/>
      <c r="K75" s="40"/>
      <c r="L75" s="40"/>
      <c r="M75" s="40"/>
      <c r="N75" s="40"/>
      <c r="O75" s="40"/>
      <c r="P75" s="40"/>
      <c r="Q75" s="40"/>
      <c r="R75" s="40"/>
      <c r="S75" s="40"/>
      <c r="T75" s="40"/>
      <c r="U75" s="40"/>
      <c r="V75" s="40"/>
      <c r="W75" s="40"/>
      <c r="X75" s="40"/>
      <c r="Y75" s="40"/>
      <c r="Z75" s="40"/>
      <c r="AA75" s="40"/>
      <c r="AB75" s="40"/>
      <c r="AC75" s="40"/>
      <c r="AD75" s="40"/>
      <c r="AE75" s="40"/>
      <c r="AF75" s="40"/>
      <c r="AG75" s="40"/>
      <c r="AH75" s="40"/>
      <c r="AI75" s="40"/>
      <c r="AJ75" s="40"/>
      <c r="AK75" s="40"/>
      <c r="AL75" s="40"/>
      <c r="AM75" s="40"/>
      <c r="AN75" s="40"/>
      <c r="AO75" s="40"/>
      <c r="AP75" s="40"/>
      <c r="AQ75" s="40"/>
      <c r="AR75" s="40"/>
      <c r="AS75" s="40"/>
      <c r="AT75" s="40"/>
      <c r="AU75" s="40"/>
      <c r="AV75" s="40"/>
      <c r="AW75" s="40"/>
      <c r="AX75" s="40"/>
      <c r="AY75" s="40"/>
      <c r="AZ75" s="40"/>
      <c r="BA75" s="40"/>
      <c r="BB75" s="40"/>
      <c r="BC75" s="40"/>
      <c r="BD75" s="40"/>
      <c r="BE75" s="40"/>
      <c r="BF75" s="40"/>
      <c r="BG75" s="40"/>
      <c r="BH75" s="40"/>
      <c r="BI75" s="40"/>
      <c r="BJ75" s="40"/>
      <c r="BK75" s="40"/>
      <c r="BL75" s="40"/>
      <c r="BM75" s="40"/>
      <c r="BN75" s="40"/>
      <c r="BO75" s="40"/>
      <c r="BP75" s="40"/>
      <c r="BQ75" s="40"/>
      <c r="BR75" s="40"/>
      <c r="BS75" s="40"/>
      <c r="BT75" s="40"/>
      <c r="BU75" s="40"/>
      <c r="BV75" s="40"/>
      <c r="BW75" s="40"/>
      <c r="BX75" s="40"/>
      <c r="BY75" s="40"/>
      <c r="BZ75" s="40"/>
      <c r="CA75" s="40"/>
      <c r="CB75" s="40"/>
      <c r="CC75" s="40"/>
      <c r="CD75" s="40"/>
      <c r="CE75" s="40"/>
      <c r="CF75" s="40"/>
      <c r="CG75" s="40"/>
      <c r="CH75" s="40"/>
      <c r="CI75" s="40"/>
      <c r="CJ75" s="40"/>
      <c r="CK75" s="40"/>
      <c r="CL75" s="40"/>
    </row>
    <row r="76" spans="1:90" x14ac:dyDescent="0.25">
      <c r="A76" s="40"/>
      <c r="B76" s="40"/>
      <c r="C76" s="40"/>
      <c r="D76" s="40"/>
      <c r="E76" s="40"/>
      <c r="F76" s="40"/>
      <c r="G76" s="40"/>
      <c r="H76" s="40"/>
      <c r="I76" s="40"/>
      <c r="J76" s="40"/>
      <c r="K76" s="40"/>
      <c r="L76" s="40"/>
      <c r="M76" s="40"/>
      <c r="N76" s="40"/>
      <c r="O76" s="40"/>
      <c r="P76" s="40"/>
      <c r="Q76" s="40"/>
      <c r="R76" s="40"/>
      <c r="S76" s="40"/>
      <c r="T76" s="40"/>
      <c r="U76" s="40"/>
      <c r="V76" s="40"/>
      <c r="W76" s="40"/>
      <c r="X76" s="40"/>
      <c r="Y76" s="40"/>
      <c r="Z76" s="40"/>
      <c r="AA76" s="40"/>
      <c r="AB76" s="40"/>
      <c r="AC76" s="40"/>
      <c r="AD76" s="40"/>
      <c r="AE76" s="40"/>
      <c r="AF76" s="40"/>
      <c r="AG76" s="40"/>
      <c r="AH76" s="40"/>
      <c r="AI76" s="40"/>
      <c r="AJ76" s="40"/>
      <c r="AK76" s="40"/>
      <c r="AL76" s="40"/>
      <c r="AM76" s="40"/>
      <c r="AN76" s="40"/>
      <c r="AO76" s="40"/>
      <c r="AP76" s="40"/>
      <c r="AQ76" s="40"/>
      <c r="AR76" s="40"/>
      <c r="AS76" s="40"/>
      <c r="AT76" s="40"/>
      <c r="AU76" s="40"/>
      <c r="AV76" s="40"/>
      <c r="AW76" s="40"/>
      <c r="AX76" s="40"/>
      <c r="AY76" s="40"/>
      <c r="AZ76" s="40"/>
      <c r="BA76" s="40"/>
      <c r="BB76" s="40"/>
      <c r="BC76" s="40"/>
      <c r="BD76" s="40"/>
      <c r="BE76" s="40"/>
      <c r="BF76" s="40"/>
      <c r="BG76" s="40"/>
      <c r="BH76" s="40"/>
      <c r="BI76" s="40"/>
      <c r="BJ76" s="40"/>
      <c r="BK76" s="40"/>
      <c r="BL76" s="40"/>
      <c r="BM76" s="40"/>
      <c r="BN76" s="40"/>
      <c r="BO76" s="40"/>
      <c r="BP76" s="40"/>
      <c r="BQ76" s="40"/>
      <c r="BR76" s="40"/>
      <c r="BS76" s="40"/>
      <c r="BT76" s="40"/>
      <c r="BU76" s="40"/>
      <c r="BV76" s="40"/>
      <c r="BW76" s="40"/>
      <c r="BX76" s="40"/>
      <c r="BY76" s="40"/>
      <c r="BZ76" s="40"/>
      <c r="CA76" s="40"/>
      <c r="CB76" s="40"/>
      <c r="CC76" s="40"/>
      <c r="CD76" s="40"/>
      <c r="CE76" s="40"/>
      <c r="CF76" s="40"/>
      <c r="CG76" s="40"/>
      <c r="CH76" s="40"/>
      <c r="CI76" s="40"/>
      <c r="CJ76" s="40"/>
      <c r="CK76" s="40"/>
      <c r="CL76" s="40"/>
    </row>
    <row r="77" spans="1:90" x14ac:dyDescent="0.25">
      <c r="A77" s="40"/>
      <c r="B77" s="40"/>
      <c r="C77" s="40"/>
      <c r="D77" s="40"/>
      <c r="E77" s="40"/>
      <c r="F77" s="40"/>
      <c r="G77" s="40"/>
      <c r="H77" s="40"/>
      <c r="I77" s="40"/>
      <c r="J77" s="40"/>
      <c r="K77" s="40"/>
      <c r="L77" s="40"/>
      <c r="M77" s="40"/>
      <c r="N77" s="40"/>
      <c r="O77" s="40"/>
      <c r="P77" s="40"/>
      <c r="Q77" s="40"/>
      <c r="R77" s="40"/>
      <c r="S77" s="40"/>
      <c r="T77" s="40"/>
      <c r="U77" s="40"/>
      <c r="V77" s="40"/>
      <c r="W77" s="40"/>
      <c r="X77" s="40"/>
      <c r="Y77" s="40"/>
      <c r="Z77" s="40"/>
      <c r="AA77" s="40"/>
      <c r="AB77" s="40"/>
      <c r="AC77" s="40"/>
      <c r="AD77" s="40"/>
      <c r="AE77" s="40"/>
      <c r="AF77" s="40"/>
      <c r="AG77" s="40"/>
      <c r="AH77" s="40"/>
      <c r="AI77" s="40"/>
      <c r="AJ77" s="40"/>
      <c r="AK77" s="40"/>
      <c r="AL77" s="40"/>
      <c r="AM77" s="40"/>
      <c r="AN77" s="40"/>
      <c r="AO77" s="40"/>
      <c r="AP77" s="40"/>
      <c r="AQ77" s="40"/>
      <c r="AR77" s="40"/>
      <c r="AS77" s="40"/>
      <c r="AT77" s="40"/>
      <c r="AU77" s="40"/>
      <c r="AV77" s="40"/>
      <c r="AW77" s="40"/>
      <c r="AX77" s="40"/>
      <c r="AY77" s="40"/>
      <c r="AZ77" s="40"/>
      <c r="BA77" s="40"/>
      <c r="BB77" s="40"/>
      <c r="BC77" s="40"/>
      <c r="BD77" s="40"/>
      <c r="BE77" s="40"/>
      <c r="BF77" s="40"/>
      <c r="BG77" s="40"/>
      <c r="BH77" s="40"/>
      <c r="BI77" s="40"/>
      <c r="BJ77" s="40"/>
      <c r="BK77" s="40"/>
      <c r="BL77" s="40"/>
      <c r="BM77" s="40"/>
      <c r="BN77" s="40"/>
      <c r="BO77" s="40"/>
      <c r="BP77" s="40"/>
      <c r="BQ77" s="40"/>
      <c r="BR77" s="40"/>
      <c r="BS77" s="40"/>
      <c r="BT77" s="40"/>
      <c r="BU77" s="40"/>
      <c r="BV77" s="40"/>
      <c r="BW77" s="40"/>
      <c r="BX77" s="40"/>
      <c r="BY77" s="40"/>
      <c r="BZ77" s="40"/>
      <c r="CA77" s="40"/>
      <c r="CB77" s="40"/>
      <c r="CC77" s="40"/>
      <c r="CD77" s="40"/>
      <c r="CE77" s="40"/>
      <c r="CF77" s="40"/>
      <c r="CG77" s="40"/>
      <c r="CH77" s="40"/>
      <c r="CI77" s="40"/>
      <c r="CJ77" s="40"/>
      <c r="CK77" s="40"/>
      <c r="CL77" s="40"/>
    </row>
    <row r="78" spans="1:90" x14ac:dyDescent="0.25">
      <c r="A78" s="40"/>
      <c r="B78" s="40"/>
      <c r="C78" s="40"/>
      <c r="D78" s="40"/>
      <c r="E78" s="40"/>
      <c r="F78" s="40"/>
      <c r="G78" s="40"/>
      <c r="H78" s="40"/>
      <c r="I78" s="40"/>
      <c r="J78" s="40"/>
      <c r="K78" s="40"/>
      <c r="L78" s="40"/>
      <c r="M78" s="40"/>
      <c r="N78" s="40"/>
      <c r="O78" s="40"/>
      <c r="P78" s="40"/>
      <c r="Q78" s="40"/>
      <c r="R78" s="40"/>
      <c r="S78" s="40"/>
      <c r="T78" s="40"/>
      <c r="U78" s="40"/>
      <c r="V78" s="40"/>
      <c r="W78" s="40"/>
      <c r="X78" s="40"/>
      <c r="Y78" s="40"/>
      <c r="Z78" s="40"/>
      <c r="AA78" s="40"/>
      <c r="AB78" s="40"/>
      <c r="AC78" s="40"/>
      <c r="AD78" s="40"/>
      <c r="AE78" s="40"/>
      <c r="AF78" s="40"/>
      <c r="AG78" s="40"/>
      <c r="AH78" s="40"/>
      <c r="AI78" s="40"/>
      <c r="AJ78" s="40"/>
      <c r="AK78" s="40"/>
      <c r="AL78" s="40"/>
      <c r="AM78" s="40"/>
      <c r="AN78" s="40"/>
      <c r="AO78" s="40"/>
      <c r="AP78" s="40"/>
      <c r="AQ78" s="40"/>
      <c r="AR78" s="40"/>
      <c r="AS78" s="40"/>
      <c r="AT78" s="40"/>
      <c r="AU78" s="40"/>
      <c r="AV78" s="40"/>
      <c r="AW78" s="40"/>
      <c r="AX78" s="40"/>
      <c r="AY78" s="40"/>
      <c r="AZ78" s="40"/>
      <c r="BA78" s="40"/>
      <c r="BB78" s="40"/>
      <c r="BC78" s="40"/>
      <c r="BD78" s="40"/>
      <c r="BE78" s="40"/>
      <c r="BF78" s="40"/>
      <c r="BG78" s="40"/>
      <c r="BH78" s="40"/>
      <c r="BI78" s="40"/>
      <c r="BJ78" s="40"/>
      <c r="BK78" s="40"/>
      <c r="BL78" s="40"/>
      <c r="BM78" s="40"/>
      <c r="BN78" s="40"/>
      <c r="BO78" s="40"/>
      <c r="BP78" s="40"/>
      <c r="BQ78" s="40"/>
      <c r="BR78" s="40"/>
      <c r="BS78" s="40"/>
      <c r="BT78" s="40"/>
      <c r="BU78" s="40"/>
      <c r="BV78" s="40"/>
      <c r="BW78" s="40"/>
      <c r="BX78" s="40"/>
      <c r="BY78" s="40"/>
      <c r="BZ78" s="40"/>
      <c r="CA78" s="40"/>
      <c r="CB78" s="40"/>
      <c r="CC78" s="40"/>
      <c r="CD78" s="40"/>
      <c r="CE78" s="40"/>
      <c r="CF78" s="40"/>
      <c r="CG78" s="40"/>
      <c r="CH78" s="40"/>
      <c r="CI78" s="40"/>
      <c r="CJ78" s="40"/>
      <c r="CK78" s="40"/>
      <c r="CL78" s="40"/>
    </row>
    <row r="79" spans="1:90" x14ac:dyDescent="0.25">
      <c r="A79" s="40"/>
      <c r="B79" s="40"/>
      <c r="C79" s="40"/>
      <c r="D79" s="40"/>
      <c r="E79" s="40"/>
      <c r="F79" s="40"/>
      <c r="G79" s="40"/>
      <c r="H79" s="40"/>
      <c r="I79" s="40"/>
      <c r="J79" s="40"/>
      <c r="K79" s="40"/>
      <c r="L79" s="40"/>
      <c r="M79" s="40"/>
      <c r="N79" s="40"/>
      <c r="O79" s="40"/>
      <c r="P79" s="40"/>
      <c r="Q79" s="40"/>
      <c r="R79" s="40"/>
      <c r="S79" s="40"/>
      <c r="T79" s="40"/>
      <c r="U79" s="40"/>
      <c r="V79" s="40"/>
      <c r="W79" s="40"/>
      <c r="X79" s="40"/>
      <c r="Y79" s="40"/>
      <c r="Z79" s="40"/>
      <c r="AA79" s="40"/>
      <c r="AB79" s="40"/>
      <c r="AC79" s="40"/>
      <c r="AD79" s="40"/>
      <c r="AE79" s="40"/>
      <c r="AF79" s="40"/>
      <c r="AG79" s="40"/>
      <c r="AH79" s="40"/>
      <c r="AI79" s="40"/>
      <c r="AJ79" s="40"/>
      <c r="AK79" s="40"/>
      <c r="AL79" s="40"/>
      <c r="AM79" s="40"/>
      <c r="AN79" s="40"/>
      <c r="AO79" s="40"/>
      <c r="AP79" s="40"/>
      <c r="AQ79" s="40"/>
      <c r="AR79" s="40"/>
      <c r="AS79" s="40"/>
      <c r="AT79" s="40"/>
      <c r="AU79" s="40"/>
      <c r="AV79" s="40"/>
      <c r="AW79" s="40"/>
      <c r="AX79" s="40"/>
      <c r="AY79" s="40"/>
      <c r="AZ79" s="40"/>
      <c r="BA79" s="40"/>
      <c r="BB79" s="40"/>
      <c r="BC79" s="40"/>
      <c r="BD79" s="40"/>
      <c r="BE79" s="40"/>
      <c r="BF79" s="40"/>
      <c r="BG79" s="40"/>
      <c r="BH79" s="40"/>
      <c r="BI79" s="40"/>
      <c r="BJ79" s="40"/>
      <c r="BK79" s="40"/>
      <c r="BL79" s="40"/>
      <c r="BM79" s="40"/>
      <c r="BN79" s="40"/>
      <c r="BO79" s="40"/>
      <c r="BP79" s="40"/>
      <c r="BQ79" s="40"/>
      <c r="BR79" s="40"/>
      <c r="BS79" s="40"/>
      <c r="BT79" s="40"/>
      <c r="BU79" s="40"/>
      <c r="BV79" s="40"/>
      <c r="BW79" s="40"/>
      <c r="BX79" s="40"/>
      <c r="BY79" s="40"/>
      <c r="BZ79" s="40"/>
      <c r="CA79" s="40"/>
      <c r="CB79" s="40"/>
      <c r="CC79" s="40"/>
      <c r="CD79" s="40"/>
      <c r="CE79" s="40"/>
      <c r="CF79" s="40"/>
      <c r="CG79" s="40"/>
      <c r="CH79" s="40"/>
      <c r="CI79" s="40"/>
      <c r="CJ79" s="40"/>
      <c r="CK79" s="40"/>
      <c r="CL79" s="40"/>
    </row>
    <row r="80" spans="1:90" x14ac:dyDescent="0.25">
      <c r="A80" s="40"/>
      <c r="B80" s="40"/>
      <c r="C80" s="40"/>
      <c r="D80" s="40"/>
      <c r="E80" s="40"/>
      <c r="F80" s="40"/>
      <c r="G80" s="40"/>
      <c r="H80" s="40"/>
      <c r="I80" s="40"/>
      <c r="J80" s="40"/>
      <c r="K80" s="40"/>
      <c r="L80" s="40"/>
      <c r="M80" s="40"/>
      <c r="N80" s="40"/>
      <c r="O80" s="40"/>
      <c r="P80" s="40"/>
      <c r="Q80" s="40"/>
      <c r="R80" s="40"/>
      <c r="S80" s="40"/>
      <c r="T80" s="40"/>
      <c r="U80" s="40"/>
      <c r="V80" s="40"/>
      <c r="W80" s="40"/>
      <c r="X80" s="40"/>
      <c r="Y80" s="40"/>
      <c r="Z80" s="40"/>
      <c r="AA80" s="40"/>
      <c r="AB80" s="40"/>
      <c r="AC80" s="40"/>
      <c r="AD80" s="40"/>
      <c r="AE80" s="40"/>
      <c r="AF80" s="40"/>
      <c r="AG80" s="40"/>
      <c r="AH80" s="40"/>
      <c r="AI80" s="40"/>
      <c r="AJ80" s="40"/>
      <c r="AK80" s="40"/>
      <c r="AL80" s="40"/>
      <c r="AM80" s="40"/>
      <c r="AN80" s="40"/>
      <c r="AO80" s="40"/>
      <c r="AP80" s="40"/>
      <c r="AQ80" s="40"/>
      <c r="AR80" s="40"/>
      <c r="AS80" s="40"/>
      <c r="AT80" s="40"/>
      <c r="AU80" s="40"/>
      <c r="AV80" s="40"/>
      <c r="AW80" s="40"/>
      <c r="AX80" s="40"/>
      <c r="AY80" s="40"/>
      <c r="AZ80" s="40"/>
      <c r="BA80" s="40"/>
      <c r="BB80" s="40"/>
      <c r="BC80" s="40"/>
      <c r="BD80" s="40"/>
      <c r="BE80" s="40"/>
      <c r="BF80" s="40"/>
      <c r="BG80" s="40"/>
      <c r="BH80" s="40"/>
      <c r="BI80" s="40"/>
      <c r="BJ80" s="40"/>
      <c r="BK80" s="40"/>
      <c r="BL80" s="40"/>
      <c r="BM80" s="40"/>
      <c r="BN80" s="40"/>
      <c r="BO80" s="40"/>
      <c r="BP80" s="40"/>
      <c r="BQ80" s="40"/>
      <c r="BR80" s="40"/>
      <c r="BS80" s="40"/>
      <c r="BT80" s="40"/>
      <c r="BU80" s="40"/>
      <c r="BV80" s="40"/>
      <c r="BW80" s="40"/>
      <c r="BX80" s="40"/>
      <c r="BY80" s="40"/>
      <c r="BZ80" s="40"/>
      <c r="CA80" s="40"/>
      <c r="CB80" s="40"/>
      <c r="CC80" s="40"/>
      <c r="CD80" s="40"/>
      <c r="CE80" s="40"/>
      <c r="CF80" s="40"/>
      <c r="CG80" s="40"/>
      <c r="CH80" s="40"/>
      <c r="CI80" s="40"/>
      <c r="CJ80" s="40"/>
      <c r="CK80" s="40"/>
      <c r="CL80" s="40"/>
    </row>
    <row r="81" spans="1:90" x14ac:dyDescent="0.25">
      <c r="A81" s="40"/>
      <c r="B81" s="40"/>
      <c r="C81" s="40"/>
      <c r="D81" s="40"/>
      <c r="E81" s="40"/>
      <c r="F81" s="40"/>
      <c r="G81" s="40"/>
      <c r="H81" s="40"/>
      <c r="I81" s="40"/>
      <c r="J81" s="40"/>
      <c r="K81" s="40"/>
      <c r="L81" s="40"/>
      <c r="M81" s="40"/>
      <c r="N81" s="40"/>
      <c r="O81" s="40"/>
      <c r="P81" s="40"/>
      <c r="Q81" s="40"/>
      <c r="R81" s="40"/>
      <c r="S81" s="40"/>
      <c r="T81" s="40"/>
      <c r="U81" s="40"/>
      <c r="V81" s="40"/>
      <c r="W81" s="40"/>
      <c r="X81" s="40"/>
      <c r="Y81" s="40"/>
      <c r="Z81" s="40"/>
      <c r="AA81" s="40"/>
      <c r="AB81" s="40"/>
      <c r="AC81" s="40"/>
      <c r="AD81" s="40"/>
      <c r="AE81" s="40"/>
      <c r="AF81" s="40"/>
      <c r="AG81" s="40"/>
      <c r="AH81" s="40"/>
      <c r="AI81" s="40"/>
      <c r="AJ81" s="40"/>
      <c r="AK81" s="40"/>
      <c r="AL81" s="40"/>
      <c r="AM81" s="40"/>
      <c r="AN81" s="40"/>
      <c r="AO81" s="40"/>
      <c r="AP81" s="40"/>
      <c r="AQ81" s="40"/>
      <c r="AR81" s="40"/>
      <c r="AS81" s="40"/>
      <c r="AT81" s="40"/>
      <c r="AU81" s="40"/>
      <c r="AV81" s="40"/>
      <c r="AW81" s="40"/>
      <c r="AX81" s="40"/>
      <c r="AY81" s="40"/>
      <c r="AZ81" s="40"/>
      <c r="BA81" s="40"/>
      <c r="BB81" s="40"/>
      <c r="BC81" s="40"/>
      <c r="BD81" s="40"/>
      <c r="BE81" s="40"/>
      <c r="BF81" s="40"/>
      <c r="BG81" s="40"/>
      <c r="BH81" s="40"/>
      <c r="BI81" s="40"/>
      <c r="BJ81" s="40"/>
      <c r="BK81" s="40"/>
      <c r="BL81" s="40"/>
      <c r="BM81" s="40"/>
      <c r="BN81" s="40"/>
      <c r="BO81" s="40"/>
      <c r="BP81" s="40"/>
      <c r="BQ81" s="40"/>
      <c r="BR81" s="40"/>
      <c r="BS81" s="40"/>
      <c r="BT81" s="40"/>
      <c r="BU81" s="40"/>
      <c r="BV81" s="40"/>
      <c r="BW81" s="40"/>
      <c r="BX81" s="40"/>
      <c r="BY81" s="40"/>
      <c r="BZ81" s="40"/>
      <c r="CA81" s="40"/>
      <c r="CB81" s="40"/>
      <c r="CC81" s="40"/>
      <c r="CD81" s="40"/>
      <c r="CE81" s="40"/>
      <c r="CF81" s="40"/>
      <c r="CG81" s="40"/>
      <c r="CH81" s="40"/>
      <c r="CI81" s="40"/>
      <c r="CJ81" s="40"/>
      <c r="CK81" s="40"/>
      <c r="CL81" s="40"/>
    </row>
    <row r="82" spans="1:90" x14ac:dyDescent="0.25">
      <c r="A82" s="40"/>
      <c r="B82" s="40"/>
      <c r="C82" s="40"/>
      <c r="D82" s="40"/>
      <c r="E82" s="40"/>
      <c r="F82" s="40"/>
      <c r="G82" s="40"/>
      <c r="H82" s="40"/>
      <c r="I82" s="40"/>
      <c r="J82" s="40"/>
      <c r="K82" s="40"/>
      <c r="L82" s="40"/>
      <c r="M82" s="40"/>
      <c r="N82" s="40"/>
      <c r="O82" s="40"/>
      <c r="P82" s="40"/>
      <c r="Q82" s="40"/>
      <c r="R82" s="40"/>
      <c r="S82" s="40"/>
      <c r="T82" s="40"/>
      <c r="U82" s="40"/>
      <c r="V82" s="40"/>
      <c r="W82" s="40"/>
      <c r="X82" s="40"/>
      <c r="Y82" s="40"/>
      <c r="Z82" s="40"/>
      <c r="AA82" s="40"/>
      <c r="AB82" s="40"/>
      <c r="AC82" s="40"/>
      <c r="AD82" s="40"/>
      <c r="AE82" s="40"/>
      <c r="AF82" s="40"/>
      <c r="AG82" s="40"/>
      <c r="AH82" s="40"/>
      <c r="AI82" s="40"/>
      <c r="AJ82" s="40"/>
      <c r="AK82" s="40"/>
      <c r="AL82" s="40"/>
      <c r="AM82" s="40"/>
      <c r="AN82" s="40"/>
      <c r="AO82" s="40"/>
      <c r="AP82" s="40"/>
      <c r="AQ82" s="40"/>
      <c r="AR82" s="40"/>
      <c r="AS82" s="40"/>
      <c r="AT82" s="40"/>
      <c r="AU82" s="40"/>
      <c r="AV82" s="40"/>
      <c r="AW82" s="40"/>
      <c r="AX82" s="40"/>
      <c r="AY82" s="40"/>
      <c r="AZ82" s="40"/>
      <c r="BA82" s="40"/>
      <c r="BB82" s="40"/>
      <c r="BC82" s="40"/>
      <c r="BD82" s="40"/>
      <c r="BE82" s="40"/>
      <c r="BF82" s="40"/>
      <c r="BG82" s="40"/>
      <c r="BH82" s="40"/>
      <c r="BI82" s="40"/>
      <c r="BJ82" s="40"/>
      <c r="BK82" s="40"/>
      <c r="BL82" s="40"/>
      <c r="BM82" s="40"/>
      <c r="BN82" s="40"/>
      <c r="BO82" s="40"/>
      <c r="BP82" s="40"/>
      <c r="BQ82" s="40"/>
      <c r="BR82" s="40"/>
      <c r="BS82" s="40"/>
      <c r="BT82" s="40"/>
      <c r="BU82" s="40"/>
      <c r="BV82" s="40"/>
      <c r="BW82" s="40"/>
      <c r="BX82" s="40"/>
      <c r="BY82" s="40"/>
      <c r="BZ82" s="40"/>
      <c r="CA82" s="40"/>
      <c r="CB82" s="40"/>
      <c r="CC82" s="40"/>
      <c r="CD82" s="40"/>
      <c r="CE82" s="40"/>
      <c r="CF82" s="40"/>
      <c r="CG82" s="40"/>
      <c r="CH82" s="40"/>
      <c r="CI82" s="40"/>
      <c r="CJ82" s="40"/>
      <c r="CK82" s="40"/>
      <c r="CL82" s="40"/>
    </row>
    <row r="83" spans="1:90" x14ac:dyDescent="0.25">
      <c r="A83" s="40"/>
      <c r="B83" s="40"/>
      <c r="C83" s="40"/>
      <c r="D83" s="40"/>
      <c r="E83" s="40"/>
      <c r="F83" s="40"/>
      <c r="G83" s="40"/>
      <c r="H83" s="40"/>
      <c r="I83" s="40"/>
      <c r="J83" s="40"/>
      <c r="K83" s="40"/>
      <c r="L83" s="40"/>
      <c r="M83" s="40"/>
      <c r="N83" s="40"/>
      <c r="O83" s="40"/>
      <c r="P83" s="40"/>
      <c r="Q83" s="40"/>
      <c r="R83" s="40"/>
      <c r="S83" s="40"/>
      <c r="T83" s="40"/>
      <c r="U83" s="40"/>
      <c r="V83" s="40"/>
      <c r="W83" s="40"/>
      <c r="X83" s="40"/>
      <c r="Y83" s="40"/>
      <c r="Z83" s="40"/>
      <c r="AA83" s="40"/>
      <c r="AB83" s="40"/>
      <c r="AC83" s="40"/>
      <c r="AD83" s="40"/>
      <c r="AE83" s="40"/>
      <c r="AF83" s="40"/>
      <c r="AG83" s="40"/>
      <c r="AH83" s="40"/>
      <c r="AI83" s="40"/>
      <c r="AJ83" s="40"/>
      <c r="AK83" s="40"/>
      <c r="AL83" s="40"/>
      <c r="AM83" s="40"/>
      <c r="AN83" s="40"/>
      <c r="AO83" s="40"/>
      <c r="AP83" s="40"/>
      <c r="AQ83" s="40"/>
      <c r="AR83" s="40"/>
      <c r="AS83" s="40"/>
      <c r="AT83" s="40"/>
      <c r="AU83" s="40"/>
      <c r="AV83" s="40"/>
      <c r="AW83" s="40"/>
      <c r="AX83" s="40"/>
      <c r="AY83" s="40"/>
      <c r="AZ83" s="40"/>
      <c r="BA83" s="40"/>
      <c r="BB83" s="40"/>
      <c r="BC83" s="40"/>
      <c r="BD83" s="40"/>
      <c r="BE83" s="40"/>
      <c r="BF83" s="40"/>
      <c r="BG83" s="40"/>
      <c r="BH83" s="40"/>
      <c r="BI83" s="40"/>
      <c r="BJ83" s="40"/>
      <c r="BK83" s="40"/>
      <c r="BL83" s="40"/>
      <c r="BM83" s="40"/>
      <c r="BN83" s="40"/>
      <c r="BO83" s="40"/>
      <c r="BP83" s="40"/>
      <c r="BQ83" s="40"/>
      <c r="BR83" s="40"/>
      <c r="BS83" s="40"/>
      <c r="BT83" s="40"/>
      <c r="BU83" s="40"/>
      <c r="BV83" s="40"/>
      <c r="BW83" s="40"/>
      <c r="BX83" s="40"/>
      <c r="BY83" s="40"/>
      <c r="BZ83" s="40"/>
      <c r="CA83" s="40"/>
      <c r="CB83" s="40"/>
      <c r="CC83" s="40"/>
      <c r="CD83" s="40"/>
      <c r="CE83" s="40"/>
      <c r="CF83" s="40"/>
      <c r="CG83" s="40"/>
      <c r="CH83" s="40"/>
      <c r="CI83" s="40"/>
      <c r="CJ83" s="40"/>
      <c r="CK83" s="40"/>
      <c r="CL83" s="40"/>
    </row>
    <row r="84" spans="1:90" x14ac:dyDescent="0.25">
      <c r="A84" s="40"/>
      <c r="B84" s="40"/>
      <c r="C84" s="40"/>
      <c r="D84" s="40"/>
      <c r="E84" s="40"/>
      <c r="F84" s="40"/>
      <c r="G84" s="40"/>
      <c r="H84" s="40"/>
      <c r="I84" s="40"/>
      <c r="J84" s="40"/>
      <c r="K84" s="40"/>
      <c r="L84" s="40"/>
      <c r="M84" s="40"/>
      <c r="N84" s="40"/>
      <c r="O84" s="40"/>
      <c r="P84" s="40"/>
      <c r="Q84" s="40"/>
      <c r="R84" s="40"/>
      <c r="S84" s="40"/>
      <c r="T84" s="40"/>
      <c r="U84" s="40"/>
      <c r="V84" s="40"/>
      <c r="W84" s="40"/>
      <c r="X84" s="40"/>
      <c r="Y84" s="40"/>
      <c r="Z84" s="40"/>
      <c r="AA84" s="40"/>
      <c r="AB84" s="40"/>
      <c r="AC84" s="40"/>
      <c r="AD84" s="40"/>
      <c r="AE84" s="40"/>
      <c r="AF84" s="40"/>
      <c r="AG84" s="40"/>
      <c r="AH84" s="40"/>
      <c r="AI84" s="40"/>
      <c r="AJ84" s="40"/>
      <c r="AK84" s="40"/>
      <c r="AL84" s="40"/>
      <c r="AM84" s="40"/>
      <c r="AN84" s="40"/>
      <c r="AO84" s="40"/>
      <c r="AP84" s="40"/>
      <c r="AQ84" s="40"/>
      <c r="AR84" s="40"/>
      <c r="AS84" s="40"/>
      <c r="AT84" s="40"/>
      <c r="AU84" s="40"/>
      <c r="AV84" s="40"/>
      <c r="AW84" s="40"/>
      <c r="AX84" s="40"/>
      <c r="AY84" s="40"/>
      <c r="AZ84" s="40"/>
      <c r="BA84" s="40"/>
      <c r="BB84" s="40"/>
      <c r="BC84" s="40"/>
      <c r="BD84" s="40"/>
      <c r="BE84" s="40"/>
      <c r="BF84" s="40"/>
      <c r="BG84" s="40"/>
      <c r="BH84" s="40"/>
      <c r="BI84" s="40"/>
      <c r="BJ84" s="40"/>
      <c r="BK84" s="40"/>
      <c r="BL84" s="40"/>
      <c r="BM84" s="40"/>
      <c r="BN84" s="40"/>
      <c r="BO84" s="40"/>
      <c r="BP84" s="40"/>
      <c r="BQ84" s="40"/>
      <c r="BR84" s="40"/>
      <c r="BS84" s="40"/>
      <c r="BT84" s="40"/>
      <c r="BU84" s="40"/>
      <c r="BV84" s="40"/>
      <c r="BW84" s="40"/>
      <c r="BX84" s="40"/>
      <c r="BY84" s="40"/>
      <c r="BZ84" s="40"/>
      <c r="CA84" s="40"/>
      <c r="CB84" s="40"/>
      <c r="CC84" s="40"/>
      <c r="CD84" s="40"/>
      <c r="CE84" s="40"/>
      <c r="CF84" s="40"/>
      <c r="CG84" s="40"/>
      <c r="CH84" s="40"/>
      <c r="CI84" s="40"/>
      <c r="CJ84" s="40"/>
      <c r="CK84" s="40"/>
      <c r="CL84" s="40"/>
    </row>
    <row r="85" spans="1:90" x14ac:dyDescent="0.25">
      <c r="A85" s="40"/>
      <c r="B85" s="40"/>
      <c r="C85" s="40"/>
      <c r="D85" s="40"/>
      <c r="E85" s="40"/>
      <c r="F85" s="40"/>
      <c r="G85" s="40"/>
      <c r="H85" s="40"/>
      <c r="I85" s="40"/>
      <c r="J85" s="40"/>
      <c r="K85" s="40"/>
      <c r="L85" s="40"/>
      <c r="M85" s="40"/>
      <c r="N85" s="40"/>
      <c r="O85" s="40"/>
      <c r="P85" s="40"/>
      <c r="Q85" s="40"/>
      <c r="R85" s="40"/>
      <c r="S85" s="40"/>
      <c r="T85" s="40"/>
      <c r="U85" s="40"/>
      <c r="V85" s="40"/>
      <c r="W85" s="40"/>
      <c r="X85" s="40"/>
      <c r="Y85" s="40"/>
      <c r="Z85" s="40"/>
      <c r="AA85" s="40"/>
      <c r="AB85" s="40"/>
      <c r="AC85" s="40"/>
      <c r="AD85" s="40"/>
      <c r="AE85" s="40"/>
      <c r="AF85" s="40"/>
      <c r="AG85" s="40"/>
      <c r="AH85" s="40"/>
      <c r="AI85" s="40"/>
      <c r="AJ85" s="40"/>
      <c r="AK85" s="40"/>
      <c r="AL85" s="40"/>
      <c r="AM85" s="40"/>
      <c r="AN85" s="40"/>
      <c r="AO85" s="40"/>
      <c r="AP85" s="40"/>
      <c r="AQ85" s="40"/>
      <c r="AR85" s="40"/>
      <c r="AS85" s="40"/>
      <c r="AT85" s="40"/>
      <c r="AU85" s="40"/>
      <c r="AV85" s="40"/>
      <c r="AW85" s="40"/>
      <c r="AX85" s="40"/>
      <c r="AY85" s="40"/>
      <c r="AZ85" s="40"/>
      <c r="BA85" s="40"/>
      <c r="BB85" s="40"/>
      <c r="BC85" s="40"/>
      <c r="BD85" s="40"/>
      <c r="BE85" s="40"/>
      <c r="BF85" s="40"/>
      <c r="BG85" s="40"/>
      <c r="BH85" s="40"/>
      <c r="BI85" s="40"/>
      <c r="BJ85" s="40"/>
      <c r="BK85" s="40"/>
      <c r="BL85" s="40"/>
      <c r="BM85" s="40"/>
      <c r="BN85" s="40"/>
      <c r="BO85" s="40"/>
      <c r="BP85" s="40"/>
      <c r="BQ85" s="40"/>
      <c r="BR85" s="40"/>
      <c r="BS85" s="40"/>
      <c r="BT85" s="40"/>
      <c r="BU85" s="40"/>
      <c r="BV85" s="40"/>
      <c r="BW85" s="40"/>
      <c r="BX85" s="40"/>
      <c r="BY85" s="40"/>
      <c r="BZ85" s="40"/>
      <c r="CA85" s="40"/>
      <c r="CB85" s="40"/>
      <c r="CC85" s="40"/>
      <c r="CD85" s="40"/>
      <c r="CE85" s="40"/>
      <c r="CF85" s="40"/>
      <c r="CG85" s="40"/>
      <c r="CH85" s="40"/>
      <c r="CI85" s="40"/>
      <c r="CJ85" s="40"/>
      <c r="CK85" s="40"/>
      <c r="CL85" s="40"/>
    </row>
    <row r="86" spans="1:90" x14ac:dyDescent="0.25">
      <c r="A86" s="40"/>
      <c r="B86" s="40"/>
      <c r="C86" s="40"/>
      <c r="D86" s="40"/>
      <c r="E86" s="40"/>
      <c r="F86" s="40"/>
      <c r="G86" s="40"/>
      <c r="H86" s="40"/>
      <c r="I86" s="40"/>
      <c r="J86" s="40"/>
      <c r="K86" s="40"/>
      <c r="L86" s="40"/>
      <c r="M86" s="40"/>
      <c r="N86" s="40"/>
      <c r="O86" s="40"/>
      <c r="P86" s="40"/>
      <c r="Q86" s="40"/>
      <c r="R86" s="40"/>
      <c r="S86" s="40"/>
      <c r="T86" s="40"/>
      <c r="U86" s="40"/>
      <c r="V86" s="40"/>
      <c r="W86" s="40"/>
      <c r="X86" s="40"/>
      <c r="Y86" s="40"/>
      <c r="Z86" s="40"/>
      <c r="AA86" s="40"/>
      <c r="AB86" s="40"/>
      <c r="AC86" s="40"/>
      <c r="AD86" s="40"/>
      <c r="AE86" s="40"/>
      <c r="AF86" s="40"/>
      <c r="AG86" s="40"/>
      <c r="AH86" s="40"/>
      <c r="AI86" s="40"/>
      <c r="AJ86" s="40"/>
      <c r="AK86" s="40"/>
      <c r="AL86" s="40"/>
      <c r="AM86" s="40"/>
      <c r="AN86" s="40"/>
      <c r="AO86" s="40"/>
      <c r="AP86" s="40"/>
      <c r="AQ86" s="40"/>
      <c r="AR86" s="40"/>
      <c r="AS86" s="40"/>
      <c r="AT86" s="40"/>
      <c r="AU86" s="40"/>
      <c r="AV86" s="40"/>
      <c r="AW86" s="40"/>
      <c r="AX86" s="40"/>
      <c r="AY86" s="40"/>
      <c r="AZ86" s="40"/>
      <c r="BA86" s="40"/>
      <c r="BB86" s="40"/>
      <c r="BC86" s="40"/>
      <c r="BD86" s="40"/>
      <c r="BE86" s="40"/>
      <c r="BF86" s="40"/>
      <c r="BG86" s="40"/>
      <c r="BH86" s="40"/>
      <c r="BI86" s="40"/>
      <c r="BJ86" s="40"/>
      <c r="BK86" s="40"/>
      <c r="BL86" s="40"/>
      <c r="BM86" s="40"/>
      <c r="BN86" s="40"/>
      <c r="BO86" s="40"/>
      <c r="BP86" s="40"/>
      <c r="BQ86" s="40"/>
      <c r="BR86" s="40"/>
      <c r="BS86" s="40"/>
      <c r="BT86" s="40"/>
      <c r="BU86" s="40"/>
      <c r="BV86" s="40"/>
      <c r="BW86" s="40"/>
      <c r="BX86" s="40"/>
      <c r="BY86" s="40"/>
      <c r="BZ86" s="40"/>
      <c r="CA86" s="40"/>
      <c r="CB86" s="40"/>
      <c r="CC86" s="40"/>
      <c r="CD86" s="40"/>
      <c r="CE86" s="40"/>
      <c r="CF86" s="40"/>
      <c r="CG86" s="40"/>
      <c r="CH86" s="40"/>
      <c r="CI86" s="40"/>
      <c r="CJ86" s="40"/>
      <c r="CK86" s="40"/>
      <c r="CL86" s="40"/>
    </row>
    <row r="87" spans="1:90" x14ac:dyDescent="0.25">
      <c r="A87" s="40"/>
      <c r="B87" s="40"/>
      <c r="C87" s="40"/>
      <c r="D87" s="40"/>
      <c r="E87" s="40"/>
      <c r="F87" s="40"/>
      <c r="G87" s="40"/>
      <c r="H87" s="40"/>
      <c r="I87" s="40"/>
      <c r="J87" s="40"/>
      <c r="K87" s="40"/>
      <c r="L87" s="40"/>
      <c r="M87" s="40"/>
      <c r="N87" s="40"/>
      <c r="O87" s="40"/>
      <c r="P87" s="40"/>
      <c r="Q87" s="40"/>
      <c r="R87" s="40"/>
      <c r="S87" s="40"/>
      <c r="T87" s="40"/>
      <c r="U87" s="40"/>
      <c r="V87" s="40"/>
      <c r="W87" s="40"/>
      <c r="X87" s="40"/>
      <c r="Y87" s="40"/>
      <c r="Z87" s="40"/>
      <c r="AA87" s="40"/>
      <c r="AB87" s="40"/>
      <c r="AC87" s="40"/>
      <c r="AD87" s="40"/>
      <c r="AE87" s="40"/>
      <c r="AF87" s="40"/>
      <c r="AG87" s="40"/>
      <c r="AH87" s="40"/>
      <c r="AI87" s="40"/>
      <c r="AJ87" s="40"/>
      <c r="AK87" s="40"/>
      <c r="AL87" s="40"/>
      <c r="AM87" s="40"/>
      <c r="AN87" s="40"/>
      <c r="AO87" s="40"/>
      <c r="AP87" s="40"/>
      <c r="AQ87" s="40"/>
      <c r="AR87" s="40"/>
      <c r="AS87" s="40"/>
      <c r="AT87" s="40"/>
      <c r="AU87" s="40"/>
      <c r="AV87" s="40"/>
      <c r="AW87" s="40"/>
      <c r="AX87" s="40"/>
      <c r="AY87" s="40"/>
      <c r="AZ87" s="40"/>
      <c r="BA87" s="40"/>
      <c r="BB87" s="40"/>
      <c r="BC87" s="40"/>
      <c r="BD87" s="40"/>
      <c r="BE87" s="40"/>
      <c r="BF87" s="40"/>
      <c r="BG87" s="40"/>
      <c r="BH87" s="40"/>
      <c r="BI87" s="40"/>
      <c r="BJ87" s="40"/>
      <c r="BK87" s="40"/>
      <c r="BL87" s="40"/>
      <c r="BM87" s="40"/>
      <c r="BN87" s="40"/>
      <c r="BO87" s="40"/>
      <c r="BP87" s="40"/>
      <c r="BQ87" s="40"/>
      <c r="BR87" s="40"/>
      <c r="BS87" s="40"/>
      <c r="BT87" s="40"/>
      <c r="BU87" s="40"/>
      <c r="BV87" s="40"/>
      <c r="BW87" s="40"/>
      <c r="BX87" s="40"/>
      <c r="BY87" s="40"/>
      <c r="BZ87" s="40"/>
      <c r="CA87" s="40"/>
      <c r="CB87" s="40"/>
      <c r="CC87" s="40"/>
      <c r="CD87" s="40"/>
      <c r="CE87" s="40"/>
      <c r="CF87" s="40"/>
      <c r="CG87" s="40"/>
      <c r="CH87" s="40"/>
      <c r="CI87" s="40"/>
      <c r="CJ87" s="40"/>
      <c r="CK87" s="40"/>
      <c r="CL87" s="40"/>
    </row>
    <row r="88" spans="1:90" x14ac:dyDescent="0.25">
      <c r="A88" s="40"/>
      <c r="B88" s="40"/>
      <c r="C88" s="40"/>
      <c r="D88" s="40"/>
      <c r="E88" s="40"/>
      <c r="F88" s="40"/>
      <c r="G88" s="40"/>
      <c r="H88" s="40"/>
      <c r="I88" s="40"/>
      <c r="J88" s="40"/>
      <c r="K88" s="40"/>
      <c r="L88" s="40"/>
      <c r="M88" s="40"/>
      <c r="N88" s="40"/>
      <c r="O88" s="40"/>
      <c r="P88" s="40"/>
      <c r="Q88" s="40"/>
      <c r="R88" s="40"/>
      <c r="S88" s="40"/>
      <c r="T88" s="40"/>
      <c r="U88" s="40"/>
      <c r="V88" s="40"/>
      <c r="W88" s="40"/>
      <c r="X88" s="40"/>
      <c r="Y88" s="40"/>
      <c r="Z88" s="40"/>
      <c r="AA88" s="40"/>
      <c r="AB88" s="40"/>
      <c r="AC88" s="40"/>
      <c r="AD88" s="40"/>
      <c r="AE88" s="40"/>
      <c r="AF88" s="40"/>
      <c r="AG88" s="40"/>
      <c r="AH88" s="40"/>
      <c r="AI88" s="40"/>
      <c r="AJ88" s="40"/>
      <c r="AK88" s="40"/>
      <c r="AL88" s="40"/>
      <c r="AM88" s="40"/>
      <c r="AN88" s="40"/>
      <c r="AO88" s="40"/>
      <c r="AP88" s="40"/>
      <c r="AQ88" s="40"/>
      <c r="AR88" s="40"/>
      <c r="AS88" s="40"/>
      <c r="AT88" s="40"/>
      <c r="AU88" s="40"/>
      <c r="AV88" s="40"/>
      <c r="AW88" s="40"/>
      <c r="AX88" s="40"/>
      <c r="AY88" s="40"/>
      <c r="AZ88" s="40"/>
      <c r="BA88" s="40"/>
      <c r="BB88" s="40"/>
      <c r="BC88" s="40"/>
      <c r="BD88" s="40"/>
      <c r="BE88" s="40"/>
      <c r="BF88" s="40"/>
      <c r="BG88" s="40"/>
      <c r="BH88" s="40"/>
      <c r="BI88" s="40"/>
      <c r="BJ88" s="40"/>
      <c r="BK88" s="40"/>
      <c r="BL88" s="40"/>
      <c r="BM88" s="40"/>
      <c r="BN88" s="40"/>
      <c r="BO88" s="40"/>
      <c r="BP88" s="40"/>
      <c r="BQ88" s="40"/>
      <c r="BR88" s="40"/>
      <c r="BS88" s="40"/>
      <c r="BT88" s="40"/>
      <c r="BU88" s="40"/>
      <c r="BV88" s="40"/>
      <c r="BW88" s="40"/>
      <c r="BX88" s="40"/>
      <c r="BY88" s="40"/>
      <c r="BZ88" s="40"/>
      <c r="CA88" s="40"/>
      <c r="CB88" s="40"/>
      <c r="CC88" s="40"/>
      <c r="CD88" s="40"/>
      <c r="CE88" s="40"/>
      <c r="CF88" s="40"/>
      <c r="CG88" s="40"/>
      <c r="CH88" s="40"/>
      <c r="CI88" s="40"/>
      <c r="CJ88" s="40"/>
      <c r="CK88" s="40"/>
      <c r="CL88" s="40"/>
    </row>
    <row r="89" spans="1:90" x14ac:dyDescent="0.25">
      <c r="A89" s="40"/>
      <c r="B89" s="40"/>
      <c r="C89" s="40"/>
      <c r="D89" s="40"/>
      <c r="E89" s="40"/>
      <c r="F89" s="40"/>
      <c r="G89" s="40"/>
      <c r="H89" s="40"/>
      <c r="I89" s="40"/>
      <c r="J89" s="40"/>
      <c r="K89" s="40"/>
      <c r="L89" s="40"/>
      <c r="M89" s="40"/>
      <c r="N89" s="40"/>
      <c r="O89" s="40"/>
      <c r="P89" s="40"/>
      <c r="Q89" s="40"/>
      <c r="R89" s="40"/>
      <c r="S89" s="40"/>
      <c r="T89" s="40"/>
      <c r="U89" s="40"/>
      <c r="V89" s="40"/>
      <c r="W89" s="40"/>
      <c r="X89" s="40"/>
      <c r="Y89" s="40"/>
      <c r="Z89" s="40"/>
      <c r="AA89" s="40"/>
      <c r="AB89" s="40"/>
      <c r="AC89" s="40"/>
      <c r="AD89" s="40"/>
      <c r="AE89" s="40"/>
      <c r="AF89" s="40"/>
      <c r="AG89" s="40"/>
      <c r="AH89" s="40"/>
      <c r="AI89" s="40"/>
      <c r="AJ89" s="40"/>
      <c r="AK89" s="40"/>
      <c r="AL89" s="40"/>
      <c r="AM89" s="40"/>
      <c r="AN89" s="40"/>
      <c r="AO89" s="40"/>
      <c r="AP89" s="40"/>
      <c r="AQ89" s="40"/>
      <c r="AR89" s="40"/>
      <c r="AS89" s="40"/>
      <c r="AT89" s="40"/>
      <c r="AU89" s="40"/>
      <c r="AV89" s="40"/>
      <c r="AW89" s="40"/>
      <c r="AX89" s="40"/>
      <c r="AY89" s="40"/>
      <c r="AZ89" s="40"/>
      <c r="BA89" s="40"/>
      <c r="BB89" s="40"/>
      <c r="BC89" s="40"/>
      <c r="BD89" s="40"/>
      <c r="BE89" s="40"/>
      <c r="BF89" s="40"/>
      <c r="BG89" s="40"/>
      <c r="BH89" s="40"/>
      <c r="BI89" s="40"/>
      <c r="BJ89" s="40"/>
      <c r="BK89" s="40"/>
      <c r="BL89" s="40"/>
      <c r="BM89" s="40"/>
      <c r="BN89" s="40"/>
      <c r="BO89" s="40"/>
      <c r="BP89" s="40"/>
      <c r="BQ89" s="40"/>
      <c r="BR89" s="40"/>
      <c r="BS89" s="40"/>
      <c r="BT89" s="40"/>
      <c r="BU89" s="40"/>
      <c r="BV89" s="40"/>
      <c r="BW89" s="40"/>
      <c r="BX89" s="40"/>
      <c r="BY89" s="40"/>
      <c r="BZ89" s="40"/>
      <c r="CA89" s="40"/>
      <c r="CB89" s="40"/>
      <c r="CC89" s="40"/>
      <c r="CD89" s="40"/>
      <c r="CE89" s="40"/>
      <c r="CF89" s="40"/>
      <c r="CG89" s="40"/>
      <c r="CH89" s="40"/>
      <c r="CI89" s="40"/>
      <c r="CJ89" s="40"/>
      <c r="CK89" s="40"/>
      <c r="CL89" s="40"/>
    </row>
    <row r="90" spans="1:90" x14ac:dyDescent="0.25">
      <c r="A90" s="40"/>
      <c r="B90" s="40"/>
      <c r="C90" s="40"/>
      <c r="D90" s="40"/>
      <c r="E90" s="40"/>
      <c r="F90" s="40"/>
      <c r="G90" s="40"/>
      <c r="H90" s="40"/>
      <c r="I90" s="40"/>
      <c r="J90" s="40"/>
      <c r="K90" s="40"/>
      <c r="L90" s="40"/>
      <c r="M90" s="40"/>
      <c r="N90" s="40"/>
      <c r="O90" s="40"/>
      <c r="P90" s="40"/>
      <c r="Q90" s="40"/>
      <c r="R90" s="40"/>
      <c r="S90" s="40"/>
      <c r="T90" s="40"/>
      <c r="U90" s="40"/>
      <c r="V90" s="40"/>
      <c r="W90" s="40"/>
      <c r="X90" s="40"/>
      <c r="Y90" s="40"/>
      <c r="Z90" s="40"/>
      <c r="AA90" s="40"/>
      <c r="AB90" s="40"/>
      <c r="AC90" s="40"/>
      <c r="AD90" s="40"/>
      <c r="AE90" s="40"/>
      <c r="AF90" s="40"/>
      <c r="AG90" s="40"/>
      <c r="AH90" s="40"/>
      <c r="AI90" s="40"/>
      <c r="AJ90" s="40"/>
      <c r="AK90" s="40"/>
      <c r="AL90" s="40"/>
      <c r="AM90" s="40"/>
      <c r="AN90" s="40"/>
      <c r="AO90" s="40"/>
      <c r="AP90" s="40"/>
      <c r="AQ90" s="40"/>
      <c r="AR90" s="40"/>
      <c r="AS90" s="40"/>
      <c r="AT90" s="40"/>
      <c r="AU90" s="40"/>
      <c r="AV90" s="40"/>
      <c r="AW90" s="40"/>
      <c r="AX90" s="40"/>
      <c r="AY90" s="40"/>
      <c r="AZ90" s="40"/>
      <c r="BA90" s="40"/>
      <c r="BB90" s="40"/>
      <c r="BC90" s="40"/>
      <c r="BD90" s="40"/>
      <c r="BE90" s="40"/>
      <c r="BF90" s="40"/>
      <c r="BG90" s="40"/>
      <c r="BH90" s="40"/>
      <c r="BI90" s="40"/>
      <c r="BJ90" s="40"/>
      <c r="BK90" s="40"/>
      <c r="BL90" s="40"/>
      <c r="BM90" s="40"/>
      <c r="BN90" s="40"/>
      <c r="BO90" s="40"/>
      <c r="BP90" s="40"/>
      <c r="BQ90" s="40"/>
      <c r="BR90" s="40"/>
      <c r="BS90" s="40"/>
      <c r="BT90" s="40"/>
      <c r="BU90" s="40"/>
      <c r="BV90" s="40"/>
      <c r="BW90" s="40"/>
      <c r="BX90" s="40"/>
      <c r="BY90" s="40"/>
      <c r="BZ90" s="40"/>
      <c r="CA90" s="40"/>
      <c r="CB90" s="40"/>
      <c r="CC90" s="40"/>
      <c r="CD90" s="40"/>
      <c r="CE90" s="40"/>
      <c r="CF90" s="40"/>
      <c r="CG90" s="40"/>
      <c r="CH90" s="40"/>
      <c r="CI90" s="40"/>
      <c r="CJ90" s="40"/>
      <c r="CK90" s="40"/>
      <c r="CL90" s="40"/>
    </row>
    <row r="91" spans="1:90" x14ac:dyDescent="0.25">
      <c r="A91" s="40"/>
      <c r="B91" s="40"/>
      <c r="C91" s="40"/>
      <c r="D91" s="40"/>
      <c r="E91" s="40"/>
      <c r="F91" s="40"/>
      <c r="G91" s="40"/>
      <c r="H91" s="40"/>
      <c r="I91" s="40"/>
      <c r="J91" s="40"/>
      <c r="K91" s="40"/>
      <c r="L91" s="40"/>
      <c r="M91" s="40"/>
      <c r="N91" s="40"/>
      <c r="O91" s="40"/>
      <c r="P91" s="40"/>
      <c r="Q91" s="40"/>
      <c r="R91" s="40"/>
      <c r="S91" s="40"/>
      <c r="T91" s="40"/>
      <c r="U91" s="40"/>
      <c r="V91" s="40"/>
      <c r="W91" s="40"/>
      <c r="X91" s="40"/>
      <c r="Y91" s="40"/>
      <c r="Z91" s="40"/>
      <c r="AA91" s="40"/>
      <c r="AB91" s="40"/>
      <c r="AC91" s="40"/>
      <c r="AD91" s="40"/>
      <c r="AE91" s="40"/>
      <c r="AF91" s="40"/>
      <c r="AG91" s="40"/>
      <c r="AH91" s="40"/>
      <c r="AI91" s="40"/>
      <c r="AJ91" s="40"/>
      <c r="AK91" s="40"/>
      <c r="AL91" s="40"/>
      <c r="AM91" s="40"/>
      <c r="AN91" s="40"/>
      <c r="AO91" s="40"/>
      <c r="AP91" s="40"/>
      <c r="AQ91" s="40"/>
      <c r="AR91" s="40"/>
      <c r="AS91" s="40"/>
      <c r="AT91" s="40"/>
      <c r="AU91" s="40"/>
      <c r="AV91" s="40"/>
      <c r="AW91" s="40"/>
      <c r="AX91" s="40"/>
      <c r="AY91" s="40"/>
      <c r="AZ91" s="40"/>
      <c r="BA91" s="40"/>
      <c r="BB91" s="40"/>
      <c r="BC91" s="40"/>
      <c r="BD91" s="40"/>
      <c r="BE91" s="40"/>
      <c r="BF91" s="40"/>
      <c r="BG91" s="40"/>
      <c r="BH91" s="40"/>
      <c r="BI91" s="40"/>
      <c r="BJ91" s="40"/>
      <c r="BK91" s="40"/>
      <c r="BL91" s="40"/>
      <c r="BM91" s="40"/>
      <c r="BN91" s="40"/>
      <c r="BO91" s="40"/>
      <c r="BP91" s="40"/>
      <c r="BQ91" s="40"/>
      <c r="BR91" s="40"/>
      <c r="BS91" s="40"/>
      <c r="BT91" s="40"/>
      <c r="BU91" s="40"/>
      <c r="BV91" s="40"/>
      <c r="BW91" s="40"/>
      <c r="BX91" s="40"/>
      <c r="BY91" s="40"/>
      <c r="BZ91" s="40"/>
      <c r="CA91" s="40"/>
      <c r="CB91" s="40"/>
      <c r="CC91" s="40"/>
      <c r="CD91" s="40"/>
      <c r="CE91" s="40"/>
      <c r="CF91" s="40"/>
      <c r="CG91" s="40"/>
      <c r="CH91" s="40"/>
      <c r="CI91" s="40"/>
      <c r="CJ91" s="40"/>
      <c r="CK91" s="40"/>
      <c r="CL91" s="40"/>
    </row>
    <row r="92" spans="1:90" x14ac:dyDescent="0.25">
      <c r="A92" s="40"/>
      <c r="B92" s="40"/>
      <c r="C92" s="40"/>
      <c r="D92" s="40"/>
      <c r="E92" s="40"/>
      <c r="F92" s="40"/>
      <c r="G92" s="40"/>
      <c r="H92" s="40"/>
      <c r="I92" s="40"/>
      <c r="J92" s="40"/>
      <c r="K92" s="40"/>
      <c r="L92" s="40"/>
      <c r="M92" s="40"/>
      <c r="N92" s="40"/>
      <c r="O92" s="40"/>
      <c r="P92" s="40"/>
      <c r="Q92" s="40"/>
      <c r="R92" s="40"/>
      <c r="S92" s="40"/>
      <c r="T92" s="40"/>
      <c r="U92" s="40"/>
      <c r="V92" s="40"/>
      <c r="W92" s="40"/>
      <c r="X92" s="40"/>
      <c r="Y92" s="40"/>
      <c r="Z92" s="40"/>
      <c r="AA92" s="40"/>
      <c r="AB92" s="40"/>
      <c r="AC92" s="40"/>
      <c r="AD92" s="40"/>
      <c r="AE92" s="40"/>
      <c r="AF92" s="40"/>
      <c r="AG92" s="40"/>
      <c r="AH92" s="40"/>
      <c r="AI92" s="40"/>
      <c r="AJ92" s="40"/>
      <c r="AK92" s="40"/>
      <c r="AL92" s="40"/>
      <c r="AM92" s="40"/>
      <c r="AN92" s="40"/>
      <c r="AO92" s="40"/>
      <c r="AP92" s="40"/>
      <c r="AQ92" s="40"/>
      <c r="AR92" s="40"/>
      <c r="AS92" s="40"/>
      <c r="AT92" s="40"/>
      <c r="AU92" s="40"/>
      <c r="AV92" s="40"/>
      <c r="AW92" s="40"/>
      <c r="AX92" s="40"/>
      <c r="AY92" s="40"/>
      <c r="AZ92" s="40"/>
      <c r="BA92" s="40"/>
      <c r="BB92" s="40"/>
      <c r="BC92" s="40"/>
      <c r="BD92" s="40"/>
      <c r="BE92" s="40"/>
      <c r="BF92" s="40"/>
      <c r="BG92" s="40"/>
      <c r="BH92" s="40"/>
      <c r="BI92" s="40"/>
      <c r="BJ92" s="40"/>
      <c r="BK92" s="40"/>
      <c r="BL92" s="40"/>
      <c r="BM92" s="40"/>
      <c r="BN92" s="40"/>
      <c r="BO92" s="40"/>
      <c r="BP92" s="40"/>
      <c r="BQ92" s="40"/>
      <c r="BR92" s="40"/>
      <c r="BS92" s="40"/>
      <c r="BT92" s="40"/>
      <c r="BU92" s="40"/>
      <c r="BV92" s="40"/>
      <c r="BW92" s="40"/>
      <c r="BX92" s="40"/>
      <c r="BY92" s="40"/>
      <c r="BZ92" s="40"/>
      <c r="CA92" s="40"/>
      <c r="CB92" s="40"/>
      <c r="CC92" s="40"/>
      <c r="CD92" s="40"/>
      <c r="CE92" s="40"/>
      <c r="CF92" s="40"/>
      <c r="CG92" s="40"/>
      <c r="CH92" s="40"/>
      <c r="CI92" s="40"/>
      <c r="CJ92" s="40"/>
      <c r="CK92" s="40"/>
      <c r="CL92" s="40"/>
    </row>
    <row r="93" spans="1:90" x14ac:dyDescent="0.25">
      <c r="A93" s="40"/>
      <c r="B93" s="40"/>
      <c r="C93" s="40"/>
      <c r="D93" s="40"/>
      <c r="E93" s="40"/>
      <c r="F93" s="40"/>
      <c r="G93" s="40"/>
      <c r="H93" s="40"/>
      <c r="I93" s="40"/>
      <c r="J93" s="40"/>
      <c r="K93" s="40"/>
      <c r="L93" s="40"/>
      <c r="M93" s="40"/>
      <c r="N93" s="40"/>
      <c r="O93" s="40"/>
      <c r="P93" s="40"/>
      <c r="Q93" s="40"/>
      <c r="R93" s="40"/>
      <c r="S93" s="40"/>
      <c r="T93" s="40"/>
      <c r="U93" s="40"/>
      <c r="V93" s="40"/>
      <c r="W93" s="40"/>
      <c r="X93" s="40"/>
      <c r="Y93" s="40"/>
      <c r="Z93" s="40"/>
      <c r="AA93" s="40"/>
      <c r="AB93" s="40"/>
      <c r="AC93" s="40"/>
      <c r="AD93" s="40"/>
      <c r="AE93" s="40"/>
      <c r="AF93" s="40"/>
      <c r="AG93" s="40"/>
      <c r="AH93" s="40"/>
      <c r="AI93" s="40"/>
      <c r="AJ93" s="40"/>
      <c r="AK93" s="40"/>
      <c r="AL93" s="40"/>
      <c r="AM93" s="40"/>
      <c r="AN93" s="40"/>
      <c r="AO93" s="40"/>
      <c r="AP93" s="40"/>
      <c r="AQ93" s="40"/>
      <c r="AR93" s="40"/>
      <c r="AS93" s="40"/>
      <c r="AT93" s="40"/>
      <c r="AU93" s="40"/>
      <c r="AV93" s="40"/>
      <c r="AW93" s="40"/>
      <c r="AX93" s="40"/>
      <c r="AY93" s="40"/>
      <c r="AZ93" s="40"/>
      <c r="BA93" s="40"/>
      <c r="BB93" s="40"/>
      <c r="BC93" s="40"/>
      <c r="BD93" s="40"/>
      <c r="BE93" s="40"/>
      <c r="BF93" s="40"/>
      <c r="BG93" s="40"/>
      <c r="BH93" s="40"/>
      <c r="BI93" s="40"/>
      <c r="BJ93" s="40"/>
      <c r="BK93" s="40"/>
      <c r="BL93" s="40"/>
      <c r="BM93" s="40"/>
      <c r="BN93" s="40"/>
      <c r="BO93" s="40"/>
      <c r="BP93" s="40"/>
      <c r="BQ93" s="40"/>
      <c r="BR93" s="40"/>
      <c r="BS93" s="40"/>
      <c r="BT93" s="40"/>
      <c r="BU93" s="40"/>
      <c r="BV93" s="40"/>
      <c r="BW93" s="40"/>
      <c r="BX93" s="40"/>
      <c r="BY93" s="40"/>
      <c r="BZ93" s="40"/>
      <c r="CA93" s="40"/>
      <c r="CB93" s="40"/>
      <c r="CC93" s="40"/>
      <c r="CD93" s="40"/>
      <c r="CE93" s="40"/>
      <c r="CF93" s="40"/>
      <c r="CG93" s="40"/>
      <c r="CH93" s="40"/>
      <c r="CI93" s="40"/>
      <c r="CJ93" s="40"/>
      <c r="CK93" s="40"/>
      <c r="CL93" s="40"/>
    </row>
    <row r="94" spans="1:90" x14ac:dyDescent="0.25">
      <c r="A94" s="40"/>
      <c r="B94" s="40"/>
      <c r="C94" s="40"/>
      <c r="D94" s="40"/>
      <c r="E94" s="40"/>
      <c r="F94" s="40"/>
      <c r="G94" s="40"/>
      <c r="H94" s="40"/>
      <c r="I94" s="40"/>
      <c r="J94" s="40"/>
      <c r="K94" s="40"/>
      <c r="L94" s="40"/>
      <c r="M94" s="40"/>
      <c r="N94" s="40"/>
      <c r="O94" s="40"/>
      <c r="P94" s="40"/>
      <c r="Q94" s="40"/>
      <c r="R94" s="40"/>
      <c r="S94" s="40"/>
      <c r="T94" s="40"/>
      <c r="U94" s="40"/>
      <c r="V94" s="40"/>
      <c r="W94" s="40"/>
      <c r="X94" s="40"/>
      <c r="Y94" s="40"/>
      <c r="Z94" s="40"/>
      <c r="AA94" s="40"/>
      <c r="AB94" s="40"/>
      <c r="AC94" s="40"/>
      <c r="AD94" s="40"/>
      <c r="AE94" s="40"/>
      <c r="AF94" s="40"/>
      <c r="AG94" s="40"/>
      <c r="AH94" s="40"/>
      <c r="AI94" s="40"/>
      <c r="AJ94" s="40"/>
      <c r="AK94" s="40"/>
      <c r="AL94" s="40"/>
      <c r="AM94" s="40"/>
      <c r="AN94" s="40"/>
      <c r="AO94" s="40"/>
      <c r="AP94" s="40"/>
      <c r="AQ94" s="40"/>
      <c r="AR94" s="40"/>
      <c r="AS94" s="40"/>
      <c r="AT94" s="40"/>
      <c r="AU94" s="40"/>
      <c r="AV94" s="40"/>
      <c r="AW94" s="40"/>
      <c r="AX94" s="40"/>
      <c r="AY94" s="40"/>
      <c r="AZ94" s="40"/>
      <c r="BA94" s="40"/>
      <c r="BB94" s="40"/>
      <c r="BC94" s="40"/>
      <c r="BD94" s="40"/>
      <c r="BE94" s="40"/>
      <c r="BF94" s="40"/>
      <c r="BG94" s="40"/>
      <c r="BH94" s="40"/>
      <c r="BI94" s="40"/>
      <c r="BJ94" s="40"/>
      <c r="BK94" s="40"/>
      <c r="BL94" s="40"/>
      <c r="BM94" s="40"/>
      <c r="BN94" s="40"/>
      <c r="BO94" s="40"/>
      <c r="BP94" s="40"/>
      <c r="BQ94" s="40"/>
      <c r="BR94" s="40"/>
      <c r="BS94" s="40"/>
      <c r="BT94" s="40"/>
      <c r="BU94" s="40"/>
      <c r="BV94" s="40"/>
      <c r="BW94" s="40"/>
      <c r="BX94" s="40"/>
      <c r="BY94" s="40"/>
      <c r="BZ94" s="40"/>
      <c r="CA94" s="40"/>
      <c r="CB94" s="40"/>
      <c r="CC94" s="40"/>
      <c r="CD94" s="40"/>
      <c r="CE94" s="40"/>
      <c r="CF94" s="40"/>
      <c r="CG94" s="40"/>
      <c r="CH94" s="40"/>
      <c r="CI94" s="40"/>
      <c r="CJ94" s="40"/>
      <c r="CK94" s="40"/>
      <c r="CL94" s="40"/>
    </row>
    <row r="95" spans="1:90" x14ac:dyDescent="0.25">
      <c r="A95" s="40"/>
      <c r="B95" s="40"/>
      <c r="C95" s="40"/>
      <c r="D95" s="40"/>
      <c r="E95" s="40"/>
      <c r="F95" s="40"/>
      <c r="G95" s="40"/>
      <c r="H95" s="40"/>
      <c r="I95" s="40"/>
      <c r="J95" s="40"/>
      <c r="K95" s="40"/>
      <c r="L95" s="40"/>
      <c r="M95" s="40"/>
      <c r="N95" s="40"/>
      <c r="O95" s="40"/>
      <c r="P95" s="40"/>
      <c r="Q95" s="40"/>
      <c r="R95" s="40"/>
      <c r="S95" s="40"/>
      <c r="T95" s="40"/>
      <c r="U95" s="40"/>
      <c r="V95" s="40"/>
      <c r="W95" s="40"/>
      <c r="X95" s="40"/>
      <c r="Y95" s="40"/>
      <c r="Z95" s="40"/>
      <c r="AA95" s="40"/>
      <c r="AB95" s="40"/>
      <c r="AC95" s="40"/>
      <c r="AD95" s="40"/>
      <c r="AE95" s="40"/>
      <c r="AF95" s="40"/>
      <c r="AG95" s="40"/>
      <c r="AH95" s="40"/>
      <c r="AI95" s="40"/>
      <c r="AJ95" s="40"/>
      <c r="AK95" s="40"/>
      <c r="AL95" s="40"/>
      <c r="AM95" s="40"/>
      <c r="AN95" s="40"/>
      <c r="AO95" s="40"/>
      <c r="AP95" s="40"/>
      <c r="AQ95" s="40"/>
      <c r="AR95" s="40"/>
      <c r="AS95" s="40"/>
      <c r="AT95" s="40"/>
      <c r="AU95" s="40"/>
      <c r="AV95" s="40"/>
      <c r="AW95" s="40"/>
      <c r="AX95" s="40"/>
      <c r="AY95" s="40"/>
      <c r="AZ95" s="40"/>
      <c r="BA95" s="40"/>
      <c r="BB95" s="40"/>
      <c r="BC95" s="40"/>
      <c r="BD95" s="40"/>
      <c r="BE95" s="40"/>
      <c r="BF95" s="40"/>
      <c r="BG95" s="40"/>
      <c r="BH95" s="40"/>
      <c r="BI95" s="40"/>
      <c r="BJ95" s="40"/>
      <c r="BK95" s="40"/>
      <c r="BL95" s="40"/>
      <c r="BM95" s="40"/>
      <c r="BN95" s="40"/>
      <c r="BO95" s="40"/>
      <c r="BP95" s="40"/>
      <c r="BQ95" s="40"/>
      <c r="BR95" s="40"/>
      <c r="BS95" s="40"/>
      <c r="BT95" s="40"/>
      <c r="BU95" s="40"/>
      <c r="BV95" s="40"/>
      <c r="BW95" s="40"/>
      <c r="BX95" s="40"/>
      <c r="BY95" s="40"/>
      <c r="BZ95" s="40"/>
      <c r="CA95" s="40"/>
      <c r="CB95" s="40"/>
      <c r="CC95" s="40"/>
      <c r="CD95" s="40"/>
      <c r="CE95" s="40"/>
      <c r="CF95" s="40"/>
      <c r="CG95" s="40"/>
      <c r="CH95" s="40"/>
      <c r="CI95" s="40"/>
      <c r="CJ95" s="40"/>
      <c r="CK95" s="40"/>
      <c r="CL95" s="40"/>
    </row>
    <row r="96" spans="1:90" x14ac:dyDescent="0.25">
      <c r="A96" s="40"/>
      <c r="B96" s="40"/>
      <c r="C96" s="40"/>
      <c r="D96" s="40"/>
      <c r="E96" s="40"/>
      <c r="F96" s="40"/>
      <c r="G96" s="40"/>
      <c r="H96" s="40"/>
      <c r="I96" s="40"/>
      <c r="J96" s="40"/>
      <c r="K96" s="40"/>
      <c r="L96" s="40"/>
      <c r="M96" s="40"/>
      <c r="N96" s="40"/>
      <c r="O96" s="40"/>
      <c r="P96" s="40"/>
      <c r="Q96" s="40"/>
      <c r="R96" s="40"/>
      <c r="S96" s="40"/>
      <c r="T96" s="40"/>
      <c r="U96" s="40"/>
      <c r="V96" s="40"/>
      <c r="W96" s="40"/>
      <c r="X96" s="40"/>
      <c r="Y96" s="40"/>
      <c r="Z96" s="40"/>
      <c r="AA96" s="40"/>
      <c r="AB96" s="40"/>
      <c r="AC96" s="40"/>
      <c r="AD96" s="40"/>
      <c r="AE96" s="40"/>
      <c r="AF96" s="40"/>
      <c r="AG96" s="40"/>
      <c r="AH96" s="40"/>
      <c r="AI96" s="40"/>
      <c r="AJ96" s="40"/>
      <c r="AK96" s="40"/>
      <c r="AL96" s="40"/>
      <c r="AM96" s="40"/>
      <c r="AN96" s="40"/>
      <c r="AO96" s="40"/>
      <c r="AP96" s="40"/>
      <c r="AQ96" s="40"/>
      <c r="AR96" s="40"/>
      <c r="AS96" s="40"/>
      <c r="AT96" s="40"/>
      <c r="AU96" s="40"/>
      <c r="AV96" s="40"/>
      <c r="AW96" s="40"/>
      <c r="AX96" s="40"/>
      <c r="AY96" s="40"/>
      <c r="AZ96" s="40"/>
      <c r="BA96" s="40"/>
      <c r="BB96" s="40"/>
      <c r="BC96" s="40"/>
      <c r="BD96" s="40"/>
      <c r="BE96" s="40"/>
      <c r="BF96" s="40"/>
      <c r="BG96" s="40"/>
      <c r="BH96" s="40"/>
      <c r="BI96" s="40"/>
      <c r="BJ96" s="40"/>
      <c r="BK96" s="40"/>
      <c r="BL96" s="40"/>
      <c r="BM96" s="40"/>
      <c r="BN96" s="40"/>
      <c r="BO96" s="40"/>
      <c r="BP96" s="40"/>
      <c r="BQ96" s="40"/>
      <c r="BR96" s="40"/>
      <c r="BS96" s="40"/>
      <c r="BT96" s="40"/>
      <c r="BU96" s="40"/>
      <c r="BV96" s="40"/>
      <c r="BW96" s="40"/>
      <c r="BX96" s="40"/>
      <c r="BY96" s="40"/>
      <c r="BZ96" s="40"/>
      <c r="CA96" s="40"/>
      <c r="CB96" s="40"/>
      <c r="CC96" s="40"/>
      <c r="CD96" s="40"/>
      <c r="CE96" s="40"/>
      <c r="CF96" s="40"/>
      <c r="CG96" s="40"/>
      <c r="CH96" s="40"/>
      <c r="CI96" s="40"/>
      <c r="CJ96" s="40"/>
      <c r="CK96" s="40"/>
      <c r="CL96" s="40"/>
    </row>
    <row r="97" spans="1:90" x14ac:dyDescent="0.25">
      <c r="A97" s="40"/>
      <c r="B97" s="40"/>
      <c r="C97" s="40"/>
      <c r="D97" s="40"/>
      <c r="E97" s="40"/>
      <c r="F97" s="40"/>
      <c r="G97" s="40"/>
      <c r="H97" s="40"/>
      <c r="I97" s="40"/>
      <c r="J97" s="40"/>
      <c r="K97" s="40"/>
      <c r="L97" s="40"/>
      <c r="M97" s="40"/>
      <c r="N97" s="40"/>
      <c r="O97" s="40"/>
      <c r="P97" s="40"/>
      <c r="Q97" s="40"/>
      <c r="R97" s="40"/>
      <c r="S97" s="40"/>
      <c r="T97" s="40"/>
      <c r="U97" s="40"/>
      <c r="V97" s="40"/>
      <c r="W97" s="40"/>
      <c r="X97" s="40"/>
      <c r="Y97" s="40"/>
      <c r="Z97" s="40"/>
      <c r="AA97" s="40"/>
      <c r="AB97" s="40"/>
      <c r="AC97" s="40"/>
      <c r="AD97" s="40"/>
      <c r="AE97" s="40"/>
      <c r="AF97" s="40"/>
      <c r="AG97" s="40"/>
      <c r="AH97" s="40"/>
      <c r="AI97" s="40"/>
      <c r="AJ97" s="40"/>
      <c r="AK97" s="40"/>
      <c r="AL97" s="40"/>
      <c r="AM97" s="40"/>
      <c r="AN97" s="40"/>
      <c r="AO97" s="40"/>
      <c r="AP97" s="40"/>
      <c r="AQ97" s="40"/>
      <c r="AR97" s="40"/>
      <c r="AS97" s="40"/>
      <c r="AT97" s="40"/>
      <c r="AU97" s="40"/>
      <c r="AV97" s="40"/>
      <c r="AW97" s="40"/>
      <c r="AX97" s="40"/>
      <c r="AY97" s="40"/>
      <c r="AZ97" s="40"/>
      <c r="BA97" s="40"/>
      <c r="BB97" s="40"/>
      <c r="BC97" s="40"/>
      <c r="BD97" s="40"/>
      <c r="BE97" s="40"/>
      <c r="BF97" s="40"/>
      <c r="BG97" s="40"/>
      <c r="BH97" s="40"/>
      <c r="BI97" s="40"/>
      <c r="BJ97" s="40"/>
      <c r="BK97" s="40"/>
      <c r="BL97" s="40"/>
      <c r="BM97" s="40"/>
      <c r="BN97" s="40"/>
      <c r="BO97" s="40"/>
      <c r="BP97" s="40"/>
      <c r="BQ97" s="40"/>
      <c r="BR97" s="40"/>
      <c r="BS97" s="40"/>
      <c r="BT97" s="40"/>
      <c r="BU97" s="40"/>
      <c r="BV97" s="40"/>
      <c r="BW97" s="40"/>
      <c r="BX97" s="40"/>
      <c r="BY97" s="40"/>
      <c r="BZ97" s="40"/>
      <c r="CA97" s="40"/>
      <c r="CB97" s="40"/>
      <c r="CC97" s="40"/>
      <c r="CD97" s="40"/>
      <c r="CE97" s="40"/>
      <c r="CF97" s="40"/>
      <c r="CG97" s="40"/>
      <c r="CH97" s="40"/>
      <c r="CI97" s="40"/>
      <c r="CJ97" s="40"/>
      <c r="CK97" s="40"/>
      <c r="CL97" s="40"/>
    </row>
    <row r="98" spans="1:90" x14ac:dyDescent="0.25">
      <c r="A98" s="40"/>
      <c r="B98" s="40"/>
      <c r="C98" s="40"/>
      <c r="D98" s="40"/>
      <c r="E98" s="40"/>
      <c r="F98" s="40"/>
      <c r="G98" s="40"/>
      <c r="H98" s="40"/>
      <c r="I98" s="40"/>
      <c r="J98" s="40"/>
      <c r="K98" s="40"/>
      <c r="L98" s="40"/>
      <c r="M98" s="40"/>
      <c r="N98" s="40"/>
      <c r="O98" s="40"/>
      <c r="P98" s="40"/>
      <c r="Q98" s="40"/>
      <c r="R98" s="40"/>
      <c r="S98" s="40"/>
      <c r="T98" s="40"/>
      <c r="U98" s="40"/>
      <c r="V98" s="40"/>
      <c r="W98" s="40"/>
      <c r="X98" s="40"/>
      <c r="Y98" s="40"/>
      <c r="Z98" s="40"/>
      <c r="AA98" s="40"/>
      <c r="AB98" s="40"/>
      <c r="AC98" s="40"/>
      <c r="AD98" s="40"/>
      <c r="AE98" s="40"/>
      <c r="AF98" s="40"/>
      <c r="AG98" s="40"/>
      <c r="AH98" s="40"/>
      <c r="AI98" s="40"/>
      <c r="AJ98" s="40"/>
      <c r="AK98" s="40"/>
      <c r="AL98" s="40"/>
      <c r="AM98" s="40"/>
      <c r="AN98" s="40"/>
      <c r="AO98" s="40"/>
      <c r="AP98" s="40"/>
      <c r="AQ98" s="40"/>
      <c r="AR98" s="40"/>
      <c r="AS98" s="40"/>
      <c r="AT98" s="40"/>
      <c r="AU98" s="40"/>
      <c r="AV98" s="40"/>
      <c r="AW98" s="40"/>
      <c r="AX98" s="40"/>
      <c r="AY98" s="40"/>
      <c r="AZ98" s="40"/>
      <c r="BA98" s="40"/>
      <c r="BB98" s="40"/>
      <c r="BC98" s="40"/>
      <c r="BD98" s="40"/>
      <c r="BE98" s="40"/>
      <c r="BF98" s="40"/>
      <c r="BG98" s="40"/>
      <c r="BH98" s="40"/>
      <c r="BI98" s="40"/>
      <c r="BJ98" s="40"/>
      <c r="BK98" s="40"/>
      <c r="BL98" s="40"/>
      <c r="BM98" s="40"/>
      <c r="BN98" s="40"/>
      <c r="BO98" s="40"/>
      <c r="BP98" s="40"/>
      <c r="BQ98" s="40"/>
      <c r="BR98" s="40"/>
      <c r="BS98" s="40"/>
      <c r="BT98" s="40"/>
      <c r="BU98" s="40"/>
      <c r="BV98" s="40"/>
      <c r="BW98" s="40"/>
      <c r="BX98" s="40"/>
      <c r="BY98" s="40"/>
      <c r="BZ98" s="40"/>
      <c r="CA98" s="40"/>
      <c r="CB98" s="40"/>
      <c r="CC98" s="40"/>
      <c r="CD98" s="40"/>
      <c r="CE98" s="40"/>
      <c r="CF98" s="40"/>
      <c r="CG98" s="40"/>
      <c r="CH98" s="40"/>
      <c r="CI98" s="40"/>
      <c r="CJ98" s="40"/>
      <c r="CK98" s="40"/>
      <c r="CL98" s="40"/>
    </row>
    <row r="99" spans="1:90" x14ac:dyDescent="0.25">
      <c r="A99" s="40"/>
      <c r="B99" s="40"/>
      <c r="C99" s="40"/>
      <c r="D99" s="40"/>
      <c r="E99" s="40"/>
      <c r="F99" s="40"/>
      <c r="G99" s="40"/>
      <c r="H99" s="40"/>
      <c r="I99" s="40"/>
      <c r="J99" s="40"/>
      <c r="K99" s="40"/>
      <c r="L99" s="40"/>
      <c r="M99" s="40"/>
      <c r="N99" s="40"/>
      <c r="O99" s="40"/>
      <c r="P99" s="40"/>
      <c r="Q99" s="40"/>
      <c r="R99" s="40"/>
      <c r="S99" s="40"/>
      <c r="T99" s="40"/>
      <c r="U99" s="40"/>
      <c r="V99" s="40"/>
      <c r="W99" s="40"/>
      <c r="X99" s="40"/>
      <c r="Y99" s="40"/>
      <c r="Z99" s="40"/>
      <c r="AA99" s="40"/>
      <c r="AB99" s="40"/>
      <c r="AC99" s="40"/>
      <c r="AD99" s="40"/>
      <c r="AE99" s="40"/>
      <c r="AF99" s="40"/>
      <c r="AG99" s="40"/>
      <c r="AH99" s="40"/>
      <c r="AI99" s="40"/>
      <c r="AJ99" s="40"/>
      <c r="AK99" s="40"/>
      <c r="AL99" s="40"/>
      <c r="AM99" s="40"/>
      <c r="AN99" s="40"/>
      <c r="AO99" s="40"/>
      <c r="AP99" s="40"/>
      <c r="AQ99" s="40"/>
      <c r="AR99" s="40"/>
      <c r="AS99" s="40"/>
      <c r="AT99" s="40"/>
      <c r="AU99" s="40"/>
      <c r="AV99" s="40"/>
      <c r="AW99" s="40"/>
      <c r="AX99" s="40"/>
      <c r="AY99" s="40"/>
      <c r="AZ99" s="40"/>
      <c r="BA99" s="40"/>
      <c r="BB99" s="40"/>
      <c r="BC99" s="40"/>
      <c r="BD99" s="40"/>
      <c r="BE99" s="40"/>
      <c r="BF99" s="40"/>
      <c r="BG99" s="40"/>
      <c r="BH99" s="40"/>
      <c r="BI99" s="40"/>
      <c r="BJ99" s="40"/>
      <c r="BK99" s="40"/>
      <c r="BL99" s="40"/>
      <c r="BM99" s="40"/>
      <c r="BN99" s="40"/>
      <c r="BO99" s="40"/>
      <c r="BP99" s="40"/>
      <c r="BQ99" s="40"/>
      <c r="BR99" s="40"/>
      <c r="BS99" s="40"/>
      <c r="BT99" s="40"/>
      <c r="BU99" s="40"/>
      <c r="BV99" s="40"/>
      <c r="BW99" s="40"/>
      <c r="BX99" s="40"/>
      <c r="BY99" s="40"/>
      <c r="BZ99" s="40"/>
      <c r="CA99" s="40"/>
      <c r="CB99" s="40"/>
      <c r="CC99" s="40"/>
      <c r="CD99" s="40"/>
      <c r="CE99" s="40"/>
      <c r="CF99" s="40"/>
      <c r="CG99" s="40"/>
      <c r="CH99" s="40"/>
      <c r="CI99" s="40"/>
      <c r="CJ99" s="40"/>
      <c r="CK99" s="40"/>
      <c r="CL99" s="40"/>
    </row>
    <row r="100" spans="1:90" x14ac:dyDescent="0.25">
      <c r="A100" s="40"/>
      <c r="B100" s="40"/>
      <c r="C100" s="40"/>
      <c r="D100" s="40"/>
      <c r="E100" s="40"/>
      <c r="F100" s="40"/>
      <c r="G100" s="40"/>
      <c r="H100" s="40"/>
      <c r="I100" s="40"/>
      <c r="J100" s="40"/>
      <c r="K100" s="40"/>
      <c r="L100" s="40"/>
      <c r="M100" s="40"/>
      <c r="N100" s="40"/>
      <c r="O100" s="40"/>
      <c r="P100" s="40"/>
      <c r="Q100" s="40"/>
      <c r="R100" s="40"/>
      <c r="S100" s="40"/>
      <c r="T100" s="40"/>
      <c r="U100" s="40"/>
      <c r="V100" s="40"/>
      <c r="W100" s="40"/>
      <c r="X100" s="40"/>
      <c r="Y100" s="40"/>
      <c r="Z100" s="40"/>
      <c r="AA100" s="40"/>
      <c r="AB100" s="40"/>
      <c r="AC100" s="40"/>
      <c r="AD100" s="40"/>
      <c r="AE100" s="40"/>
      <c r="AF100" s="40"/>
      <c r="AG100" s="40"/>
      <c r="AH100" s="40"/>
      <c r="AI100" s="40"/>
      <c r="AJ100" s="40"/>
      <c r="AK100" s="40"/>
      <c r="AL100" s="40"/>
      <c r="AM100" s="40"/>
      <c r="AN100" s="40"/>
      <c r="AO100" s="40"/>
      <c r="AP100" s="40"/>
      <c r="AQ100" s="40"/>
      <c r="AR100" s="40"/>
      <c r="AS100" s="40"/>
      <c r="AT100" s="40"/>
      <c r="AU100" s="40"/>
      <c r="AV100" s="40"/>
      <c r="AW100" s="40"/>
      <c r="AX100" s="40"/>
      <c r="AY100" s="40"/>
      <c r="AZ100" s="40"/>
      <c r="BA100" s="40"/>
      <c r="BB100" s="40"/>
      <c r="BC100" s="40"/>
      <c r="BD100" s="40"/>
      <c r="BE100" s="40"/>
      <c r="BF100" s="40"/>
      <c r="BG100" s="40"/>
      <c r="BH100" s="40"/>
      <c r="BI100" s="40"/>
      <c r="BJ100" s="40"/>
      <c r="BK100" s="40"/>
      <c r="BL100" s="40"/>
      <c r="BM100" s="40"/>
      <c r="BN100" s="40"/>
      <c r="BO100" s="40"/>
      <c r="BP100" s="40"/>
      <c r="BQ100" s="40"/>
      <c r="BR100" s="40"/>
      <c r="BS100" s="40"/>
      <c r="BT100" s="40"/>
      <c r="BU100" s="40"/>
      <c r="BV100" s="40"/>
      <c r="BW100" s="40"/>
      <c r="BX100" s="40"/>
      <c r="BY100" s="40"/>
      <c r="BZ100" s="40"/>
      <c r="CA100" s="40"/>
      <c r="CB100" s="40"/>
      <c r="CC100" s="40"/>
      <c r="CD100" s="40"/>
      <c r="CE100" s="40"/>
      <c r="CF100" s="40"/>
      <c r="CG100" s="40"/>
      <c r="CH100" s="40"/>
      <c r="CI100" s="40"/>
      <c r="CJ100" s="40"/>
      <c r="CK100" s="40"/>
      <c r="CL100" s="40"/>
    </row>
    <row r="101" spans="1:90" x14ac:dyDescent="0.25">
      <c r="A101" s="40"/>
      <c r="B101" s="40"/>
      <c r="C101" s="40"/>
      <c r="D101" s="40"/>
      <c r="E101" s="40"/>
      <c r="F101" s="40"/>
      <c r="G101" s="40"/>
      <c r="H101" s="40"/>
      <c r="I101" s="40"/>
      <c r="J101" s="40"/>
      <c r="K101" s="40"/>
      <c r="L101" s="40"/>
      <c r="M101" s="40"/>
      <c r="N101" s="40"/>
      <c r="O101" s="40"/>
      <c r="P101" s="40"/>
      <c r="Q101" s="40"/>
      <c r="R101" s="40"/>
      <c r="S101" s="40"/>
      <c r="T101" s="40"/>
      <c r="U101" s="40"/>
      <c r="V101" s="40"/>
      <c r="W101" s="40"/>
      <c r="X101" s="40"/>
      <c r="Y101" s="40"/>
      <c r="Z101" s="40"/>
      <c r="AA101" s="40"/>
      <c r="AB101" s="40"/>
      <c r="AC101" s="40"/>
      <c r="AD101" s="40"/>
      <c r="AE101" s="40"/>
      <c r="AF101" s="40"/>
      <c r="AG101" s="40"/>
      <c r="AH101" s="40"/>
      <c r="AI101" s="40"/>
      <c r="AJ101" s="40"/>
      <c r="AK101" s="40"/>
      <c r="AL101" s="40"/>
      <c r="AM101" s="40"/>
      <c r="AN101" s="40"/>
      <c r="AO101" s="40"/>
      <c r="AP101" s="40"/>
      <c r="AQ101" s="40"/>
      <c r="AR101" s="40"/>
      <c r="AS101" s="40"/>
      <c r="AT101" s="40"/>
      <c r="AU101" s="40"/>
      <c r="AV101" s="40"/>
      <c r="AW101" s="40"/>
      <c r="AX101" s="40"/>
      <c r="AY101" s="40"/>
      <c r="AZ101" s="40"/>
      <c r="BA101" s="40"/>
      <c r="BB101" s="40"/>
      <c r="BC101" s="40"/>
      <c r="BD101" s="40"/>
      <c r="BE101" s="40"/>
      <c r="BF101" s="40"/>
      <c r="BG101" s="40"/>
      <c r="BH101" s="40"/>
      <c r="BI101" s="40"/>
      <c r="BJ101" s="40"/>
      <c r="BK101" s="40"/>
      <c r="BL101" s="40"/>
      <c r="BM101" s="40"/>
      <c r="BN101" s="40"/>
      <c r="BO101" s="40"/>
      <c r="BP101" s="40"/>
      <c r="BQ101" s="40"/>
      <c r="BR101" s="40"/>
      <c r="BS101" s="40"/>
      <c r="BT101" s="40"/>
      <c r="BU101" s="40"/>
      <c r="BV101" s="40"/>
      <c r="BW101" s="40"/>
      <c r="BX101" s="40"/>
      <c r="BY101" s="40"/>
      <c r="BZ101" s="40"/>
      <c r="CA101" s="40"/>
      <c r="CB101" s="40"/>
      <c r="CC101" s="40"/>
      <c r="CD101" s="40"/>
      <c r="CE101" s="40"/>
      <c r="CF101" s="40"/>
      <c r="CG101" s="40"/>
      <c r="CH101" s="40"/>
      <c r="CI101" s="40"/>
      <c r="CJ101" s="40"/>
      <c r="CK101" s="40"/>
      <c r="CL101" s="40"/>
    </row>
    <row r="102" spans="1:90" x14ac:dyDescent="0.25">
      <c r="A102" s="40"/>
      <c r="B102" s="40"/>
      <c r="C102" s="40"/>
      <c r="D102" s="40"/>
      <c r="E102" s="40"/>
      <c r="F102" s="40"/>
      <c r="G102" s="40"/>
      <c r="H102" s="40"/>
      <c r="I102" s="40"/>
      <c r="J102" s="40"/>
      <c r="K102" s="40"/>
      <c r="L102" s="40"/>
      <c r="M102" s="40"/>
      <c r="N102" s="40"/>
      <c r="O102" s="40"/>
      <c r="P102" s="40"/>
      <c r="Q102" s="40"/>
      <c r="R102" s="40"/>
      <c r="S102" s="40"/>
      <c r="T102" s="40"/>
      <c r="U102" s="40"/>
      <c r="V102" s="40"/>
      <c r="W102" s="40"/>
      <c r="X102" s="40"/>
      <c r="Y102" s="40"/>
      <c r="Z102" s="40"/>
      <c r="AA102" s="40"/>
      <c r="AB102" s="40"/>
      <c r="AC102" s="40"/>
      <c r="AD102" s="40"/>
      <c r="AE102" s="40"/>
      <c r="AF102" s="40"/>
      <c r="AG102" s="40"/>
      <c r="AH102" s="40"/>
      <c r="AI102" s="40"/>
      <c r="AJ102" s="40"/>
      <c r="AK102" s="40"/>
      <c r="AL102" s="40"/>
      <c r="AM102" s="40"/>
      <c r="AN102" s="40"/>
      <c r="AO102" s="40"/>
      <c r="AP102" s="40"/>
      <c r="AQ102" s="40"/>
      <c r="AR102" s="40"/>
      <c r="AS102" s="40"/>
      <c r="AT102" s="40"/>
      <c r="AU102" s="40"/>
      <c r="AV102" s="40"/>
      <c r="AW102" s="40"/>
      <c r="AX102" s="40"/>
      <c r="AY102" s="40"/>
      <c r="AZ102" s="40"/>
      <c r="BA102" s="40"/>
      <c r="BB102" s="40"/>
      <c r="BC102" s="40"/>
      <c r="BD102" s="40"/>
      <c r="BE102" s="40"/>
      <c r="BF102" s="40"/>
      <c r="BG102" s="40"/>
      <c r="BH102" s="40"/>
      <c r="BI102" s="40"/>
      <c r="BJ102" s="40"/>
      <c r="BK102" s="40"/>
      <c r="BL102" s="40"/>
      <c r="BM102" s="40"/>
      <c r="BN102" s="40"/>
      <c r="BO102" s="40"/>
      <c r="BP102" s="40"/>
      <c r="BQ102" s="40"/>
      <c r="BR102" s="40"/>
      <c r="BS102" s="40"/>
      <c r="BT102" s="40"/>
      <c r="BU102" s="40"/>
      <c r="BV102" s="40"/>
      <c r="BW102" s="40"/>
      <c r="BX102" s="40"/>
      <c r="BY102" s="40"/>
      <c r="BZ102" s="40"/>
      <c r="CA102" s="40"/>
      <c r="CB102" s="40"/>
      <c r="CC102" s="40"/>
      <c r="CD102" s="40"/>
      <c r="CE102" s="40"/>
      <c r="CF102" s="40"/>
      <c r="CG102" s="40"/>
      <c r="CH102" s="40"/>
      <c r="CI102" s="40"/>
      <c r="CJ102" s="40"/>
      <c r="CK102" s="40"/>
      <c r="CL102" s="40"/>
    </row>
    <row r="103" spans="1:90" x14ac:dyDescent="0.25">
      <c r="A103" s="40"/>
      <c r="B103" s="40"/>
      <c r="C103" s="40"/>
      <c r="D103" s="40"/>
      <c r="E103" s="40"/>
      <c r="F103" s="40"/>
      <c r="G103" s="40"/>
      <c r="H103" s="40"/>
      <c r="I103" s="40"/>
      <c r="J103" s="40"/>
      <c r="K103" s="40"/>
      <c r="L103" s="40"/>
      <c r="M103" s="40"/>
      <c r="N103" s="40"/>
      <c r="O103" s="40"/>
      <c r="P103" s="40"/>
      <c r="Q103" s="40"/>
      <c r="R103" s="40"/>
      <c r="S103" s="40"/>
      <c r="T103" s="40"/>
      <c r="U103" s="40"/>
      <c r="V103" s="40"/>
      <c r="W103" s="40"/>
      <c r="X103" s="40"/>
      <c r="Y103" s="40"/>
      <c r="Z103" s="40"/>
      <c r="AA103" s="40"/>
      <c r="AB103" s="40"/>
      <c r="AC103" s="40"/>
      <c r="AD103" s="40"/>
      <c r="AE103" s="40"/>
      <c r="AF103" s="40"/>
      <c r="AG103" s="40"/>
      <c r="AH103" s="40"/>
      <c r="AI103" s="40"/>
      <c r="AJ103" s="40"/>
      <c r="AK103" s="40"/>
      <c r="AL103" s="40"/>
      <c r="AM103" s="40"/>
      <c r="AN103" s="40"/>
      <c r="AO103" s="40"/>
      <c r="AP103" s="40"/>
      <c r="AQ103" s="40"/>
      <c r="AR103" s="40"/>
      <c r="AS103" s="40"/>
      <c r="AT103" s="40"/>
      <c r="AU103" s="40"/>
      <c r="AV103" s="40"/>
      <c r="AW103" s="40"/>
      <c r="AX103" s="40"/>
      <c r="AY103" s="40"/>
      <c r="AZ103" s="40"/>
      <c r="BA103" s="40"/>
      <c r="BB103" s="40"/>
      <c r="BC103" s="40"/>
      <c r="BD103" s="40"/>
      <c r="BE103" s="40"/>
      <c r="BF103" s="40"/>
      <c r="BG103" s="40"/>
      <c r="BH103" s="40"/>
      <c r="BI103" s="40"/>
      <c r="BJ103" s="40"/>
      <c r="BK103" s="40"/>
      <c r="BL103" s="40"/>
      <c r="BM103" s="40"/>
      <c r="BN103" s="40"/>
      <c r="BO103" s="40"/>
      <c r="BP103" s="40"/>
      <c r="BQ103" s="40"/>
      <c r="BR103" s="40"/>
      <c r="BS103" s="40"/>
      <c r="BT103" s="40"/>
      <c r="BU103" s="40"/>
      <c r="BV103" s="40"/>
      <c r="BW103" s="40"/>
      <c r="BX103" s="40"/>
      <c r="BY103" s="40"/>
      <c r="BZ103" s="40"/>
      <c r="CA103" s="40"/>
      <c r="CB103" s="40"/>
      <c r="CC103" s="40"/>
      <c r="CD103" s="40"/>
      <c r="CE103" s="40"/>
      <c r="CF103" s="40"/>
      <c r="CG103" s="40"/>
      <c r="CH103" s="40"/>
      <c r="CI103" s="40"/>
      <c r="CJ103" s="40"/>
      <c r="CK103" s="40"/>
      <c r="CL103" s="40"/>
    </row>
    <row r="104" spans="1:90" x14ac:dyDescent="0.25">
      <c r="A104" s="40"/>
      <c r="B104" s="40"/>
      <c r="C104" s="40"/>
      <c r="D104" s="40"/>
      <c r="E104" s="40"/>
      <c r="F104" s="40"/>
      <c r="G104" s="40"/>
      <c r="H104" s="40"/>
      <c r="I104" s="40"/>
      <c r="J104" s="40"/>
      <c r="K104" s="40"/>
      <c r="L104" s="40"/>
      <c r="M104" s="40"/>
      <c r="N104" s="40"/>
      <c r="O104" s="40"/>
      <c r="P104" s="40"/>
      <c r="Q104" s="40"/>
      <c r="R104" s="40"/>
      <c r="S104" s="40"/>
      <c r="T104" s="40"/>
      <c r="U104" s="40"/>
      <c r="V104" s="40"/>
      <c r="W104" s="40"/>
      <c r="X104" s="40"/>
      <c r="Y104" s="40"/>
      <c r="Z104" s="40"/>
      <c r="AA104" s="40"/>
      <c r="AB104" s="40"/>
      <c r="AC104" s="40"/>
      <c r="AD104" s="40"/>
      <c r="AE104" s="40"/>
      <c r="AF104" s="40"/>
      <c r="AG104" s="40"/>
      <c r="AH104" s="40"/>
      <c r="AI104" s="40"/>
      <c r="AJ104" s="40"/>
      <c r="AK104" s="40"/>
      <c r="AL104" s="40"/>
      <c r="AM104" s="40"/>
      <c r="AN104" s="40"/>
      <c r="AO104" s="40"/>
      <c r="AP104" s="40"/>
      <c r="AQ104" s="40"/>
      <c r="AR104" s="40"/>
      <c r="AS104" s="40"/>
      <c r="AT104" s="40"/>
      <c r="AU104" s="40"/>
      <c r="AV104" s="40"/>
      <c r="AW104" s="40"/>
      <c r="AX104" s="40"/>
      <c r="AY104" s="40"/>
      <c r="AZ104" s="40"/>
      <c r="BA104" s="40"/>
      <c r="BB104" s="40"/>
      <c r="BC104" s="40"/>
      <c r="BD104" s="40"/>
      <c r="BE104" s="40"/>
      <c r="BF104" s="40"/>
      <c r="BG104" s="40"/>
      <c r="BH104" s="40"/>
      <c r="BI104" s="40"/>
      <c r="BJ104" s="40"/>
      <c r="BK104" s="40"/>
      <c r="BL104" s="40"/>
      <c r="BM104" s="40"/>
      <c r="BN104" s="40"/>
      <c r="BO104" s="40"/>
      <c r="BP104" s="40"/>
      <c r="BQ104" s="40"/>
      <c r="BR104" s="40"/>
      <c r="BS104" s="40"/>
      <c r="BT104" s="40"/>
      <c r="BU104" s="40"/>
      <c r="BV104" s="40"/>
      <c r="BW104" s="40"/>
      <c r="BX104" s="40"/>
      <c r="BY104" s="40"/>
      <c r="BZ104" s="40"/>
      <c r="CA104" s="40"/>
      <c r="CB104" s="40"/>
      <c r="CC104" s="40"/>
      <c r="CD104" s="40"/>
      <c r="CE104" s="40"/>
      <c r="CF104" s="40"/>
      <c r="CG104" s="40"/>
      <c r="CH104" s="40"/>
      <c r="CI104" s="40"/>
      <c r="CJ104" s="40"/>
      <c r="CK104" s="40"/>
      <c r="CL104" s="40"/>
    </row>
    <row r="105" spans="1:90" x14ac:dyDescent="0.25">
      <c r="A105" s="40"/>
      <c r="B105" s="40"/>
      <c r="C105" s="40"/>
      <c r="D105" s="40"/>
      <c r="E105" s="40"/>
      <c r="F105" s="40"/>
      <c r="G105" s="40"/>
      <c r="H105" s="40"/>
      <c r="I105" s="40"/>
      <c r="J105" s="40"/>
      <c r="K105" s="40"/>
      <c r="L105" s="40"/>
      <c r="M105" s="40"/>
      <c r="N105" s="40"/>
      <c r="O105" s="40"/>
      <c r="P105" s="40"/>
      <c r="Q105" s="40"/>
      <c r="R105" s="40"/>
      <c r="S105" s="40"/>
      <c r="T105" s="40"/>
      <c r="U105" s="40"/>
      <c r="V105" s="40"/>
      <c r="W105" s="40"/>
      <c r="X105" s="40"/>
      <c r="Y105" s="40"/>
      <c r="Z105" s="40"/>
      <c r="AA105" s="40"/>
      <c r="AB105" s="40"/>
      <c r="AC105" s="40"/>
      <c r="AD105" s="40"/>
      <c r="AE105" s="40"/>
      <c r="AF105" s="40"/>
      <c r="AG105" s="40"/>
      <c r="AH105" s="40"/>
      <c r="AI105" s="40"/>
      <c r="AJ105" s="40"/>
      <c r="AK105" s="40"/>
      <c r="AL105" s="40"/>
      <c r="AM105" s="40"/>
      <c r="AN105" s="40"/>
      <c r="AO105" s="40"/>
      <c r="AP105" s="40"/>
      <c r="AQ105" s="40"/>
      <c r="AR105" s="40"/>
      <c r="AS105" s="40"/>
      <c r="AT105" s="40"/>
      <c r="AU105" s="40"/>
      <c r="AV105" s="40"/>
      <c r="AW105" s="40"/>
      <c r="AX105" s="40"/>
      <c r="AY105" s="40"/>
      <c r="AZ105" s="40"/>
      <c r="BA105" s="40"/>
      <c r="BB105" s="40"/>
      <c r="BC105" s="40"/>
      <c r="BD105" s="40"/>
      <c r="BE105" s="40"/>
      <c r="BF105" s="40"/>
      <c r="BG105" s="40"/>
      <c r="BH105" s="40"/>
      <c r="BI105" s="40"/>
      <c r="BJ105" s="40"/>
      <c r="BK105" s="40"/>
      <c r="BL105" s="40"/>
      <c r="BM105" s="40"/>
      <c r="BN105" s="40"/>
      <c r="BO105" s="40"/>
      <c r="BP105" s="40"/>
      <c r="BQ105" s="40"/>
      <c r="BR105" s="40"/>
      <c r="BS105" s="40"/>
      <c r="BT105" s="40"/>
      <c r="BU105" s="40"/>
      <c r="BV105" s="40"/>
      <c r="BW105" s="40"/>
      <c r="BX105" s="40"/>
      <c r="BY105" s="40"/>
      <c r="BZ105" s="40"/>
      <c r="CA105" s="40"/>
      <c r="CB105" s="40"/>
      <c r="CC105" s="40"/>
      <c r="CD105" s="40"/>
      <c r="CE105" s="40"/>
      <c r="CF105" s="40"/>
      <c r="CG105" s="40"/>
      <c r="CH105" s="40"/>
      <c r="CI105" s="40"/>
      <c r="CJ105" s="40"/>
      <c r="CK105" s="40"/>
      <c r="CL105" s="40"/>
    </row>
    <row r="106" spans="1:90" x14ac:dyDescent="0.25">
      <c r="A106" s="40"/>
      <c r="B106" s="40"/>
      <c r="C106" s="40"/>
      <c r="D106" s="40"/>
      <c r="E106" s="40"/>
      <c r="F106" s="40"/>
      <c r="G106" s="40"/>
      <c r="H106" s="40"/>
      <c r="I106" s="40"/>
      <c r="J106" s="40"/>
      <c r="K106" s="40"/>
      <c r="L106" s="40"/>
      <c r="M106" s="40"/>
      <c r="N106" s="40"/>
      <c r="O106" s="40"/>
      <c r="P106" s="40"/>
      <c r="Q106" s="40"/>
      <c r="R106" s="40"/>
      <c r="S106" s="40"/>
      <c r="T106" s="40"/>
      <c r="U106" s="40"/>
      <c r="V106" s="40"/>
      <c r="W106" s="40"/>
      <c r="X106" s="40"/>
      <c r="Y106" s="40"/>
      <c r="Z106" s="40"/>
      <c r="AA106" s="40"/>
      <c r="AB106" s="40"/>
      <c r="AC106" s="40"/>
      <c r="AD106" s="40"/>
      <c r="AE106" s="40"/>
      <c r="AF106" s="40"/>
      <c r="AG106" s="40"/>
      <c r="AH106" s="40"/>
      <c r="AI106" s="40"/>
      <c r="AJ106" s="40"/>
      <c r="AK106" s="40"/>
      <c r="AL106" s="40"/>
      <c r="AM106" s="40"/>
      <c r="AN106" s="40"/>
      <c r="AO106" s="40"/>
      <c r="AP106" s="40"/>
      <c r="AQ106" s="40"/>
      <c r="AR106" s="40"/>
      <c r="AS106" s="40"/>
      <c r="AT106" s="40"/>
      <c r="AU106" s="40"/>
      <c r="AV106" s="40"/>
      <c r="AW106" s="40"/>
      <c r="AX106" s="40"/>
      <c r="AY106" s="40"/>
      <c r="AZ106" s="40"/>
      <c r="BA106" s="40"/>
      <c r="BB106" s="40"/>
      <c r="BC106" s="40"/>
      <c r="BD106" s="40"/>
      <c r="BE106" s="40"/>
      <c r="BF106" s="40"/>
      <c r="BG106" s="40"/>
      <c r="BH106" s="40"/>
      <c r="BI106" s="40"/>
      <c r="BJ106" s="40"/>
      <c r="BK106" s="40"/>
      <c r="BL106" s="40"/>
      <c r="BM106" s="40"/>
      <c r="BN106" s="40"/>
      <c r="BO106" s="40"/>
      <c r="BP106" s="40"/>
      <c r="BQ106" s="40"/>
      <c r="BR106" s="40"/>
      <c r="BS106" s="40"/>
      <c r="BT106" s="40"/>
      <c r="BU106" s="40"/>
      <c r="BV106" s="40"/>
      <c r="BW106" s="40"/>
      <c r="BX106" s="40"/>
      <c r="BY106" s="40"/>
      <c r="BZ106" s="40"/>
      <c r="CA106" s="40"/>
      <c r="CB106" s="40"/>
      <c r="CC106" s="40"/>
      <c r="CD106" s="40"/>
      <c r="CE106" s="40"/>
      <c r="CF106" s="40"/>
      <c r="CG106" s="40"/>
      <c r="CH106" s="40"/>
      <c r="CI106" s="40"/>
      <c r="CJ106" s="40"/>
      <c r="CK106" s="40"/>
      <c r="CL106" s="40"/>
    </row>
    <row r="107" spans="1:90" x14ac:dyDescent="0.25">
      <c r="A107" s="40"/>
      <c r="B107" s="40"/>
      <c r="C107" s="40"/>
      <c r="D107" s="40"/>
      <c r="E107" s="40"/>
      <c r="F107" s="40"/>
      <c r="G107" s="40"/>
      <c r="H107" s="40"/>
      <c r="I107" s="40"/>
      <c r="J107" s="40"/>
      <c r="K107" s="40"/>
      <c r="L107" s="40"/>
      <c r="M107" s="40"/>
      <c r="N107" s="40"/>
      <c r="O107" s="40"/>
      <c r="P107" s="40"/>
      <c r="Q107" s="40"/>
      <c r="R107" s="40"/>
      <c r="S107" s="40"/>
      <c r="T107" s="40"/>
      <c r="U107" s="40"/>
      <c r="V107" s="40"/>
      <c r="W107" s="40"/>
      <c r="X107" s="40"/>
      <c r="Y107" s="40"/>
      <c r="Z107" s="40"/>
      <c r="AA107" s="40"/>
      <c r="AB107" s="40"/>
      <c r="AC107" s="40"/>
      <c r="AD107" s="40"/>
      <c r="AE107" s="40"/>
      <c r="AF107" s="40"/>
      <c r="AG107" s="40"/>
      <c r="AH107" s="40"/>
      <c r="AI107" s="40"/>
      <c r="AJ107" s="40"/>
      <c r="AK107" s="40"/>
      <c r="AL107" s="40"/>
      <c r="AM107" s="40"/>
      <c r="AN107" s="40"/>
      <c r="AO107" s="40"/>
      <c r="AP107" s="40"/>
      <c r="AQ107" s="40"/>
      <c r="AR107" s="40"/>
      <c r="AS107" s="40"/>
      <c r="AT107" s="40"/>
      <c r="AU107" s="40"/>
      <c r="AV107" s="40"/>
      <c r="AW107" s="40"/>
      <c r="AX107" s="40"/>
      <c r="AY107" s="40"/>
      <c r="AZ107" s="40"/>
      <c r="BA107" s="40"/>
      <c r="BB107" s="40"/>
      <c r="BC107" s="40"/>
      <c r="BD107" s="40"/>
      <c r="BE107" s="40"/>
      <c r="BF107" s="40"/>
      <c r="BG107" s="40"/>
      <c r="BH107" s="40"/>
      <c r="BI107" s="40"/>
      <c r="BJ107" s="40"/>
      <c r="BK107" s="40"/>
      <c r="BL107" s="40"/>
      <c r="BM107" s="40"/>
      <c r="BN107" s="40"/>
      <c r="BO107" s="40"/>
      <c r="BP107" s="40"/>
      <c r="BQ107" s="40"/>
      <c r="BR107" s="40"/>
      <c r="BS107" s="40"/>
      <c r="BT107" s="40"/>
      <c r="BU107" s="40"/>
      <c r="BV107" s="40"/>
      <c r="BW107" s="40"/>
      <c r="BX107" s="40"/>
      <c r="BY107" s="40"/>
      <c r="BZ107" s="40"/>
      <c r="CA107" s="40"/>
      <c r="CB107" s="40"/>
      <c r="CC107" s="40"/>
      <c r="CD107" s="40"/>
      <c r="CE107" s="40"/>
      <c r="CF107" s="40"/>
      <c r="CG107" s="40"/>
      <c r="CH107" s="40"/>
      <c r="CI107" s="40"/>
      <c r="CJ107" s="40"/>
      <c r="CK107" s="40"/>
      <c r="CL107" s="40"/>
    </row>
    <row r="108" spans="1:90" x14ac:dyDescent="0.25">
      <c r="A108" s="40"/>
      <c r="B108" s="40"/>
      <c r="C108" s="40"/>
      <c r="D108" s="40"/>
      <c r="E108" s="40"/>
      <c r="F108" s="40"/>
      <c r="G108" s="40"/>
      <c r="H108" s="40"/>
      <c r="I108" s="40"/>
      <c r="J108" s="40"/>
      <c r="K108" s="40"/>
      <c r="L108" s="40"/>
      <c r="M108" s="40"/>
      <c r="N108" s="40"/>
      <c r="O108" s="40"/>
      <c r="P108" s="40"/>
      <c r="Q108" s="40"/>
      <c r="R108" s="40"/>
      <c r="S108" s="40"/>
      <c r="T108" s="40"/>
      <c r="U108" s="40"/>
      <c r="V108" s="40"/>
      <c r="W108" s="40"/>
      <c r="X108" s="40"/>
      <c r="Y108" s="40"/>
      <c r="Z108" s="40"/>
      <c r="AA108" s="40"/>
      <c r="AB108" s="40"/>
      <c r="AC108" s="40"/>
      <c r="AD108" s="40"/>
      <c r="AE108" s="40"/>
      <c r="AF108" s="40"/>
      <c r="AG108" s="40"/>
      <c r="AH108" s="40"/>
      <c r="AI108" s="40"/>
      <c r="AJ108" s="40"/>
      <c r="AK108" s="40"/>
      <c r="AL108" s="40"/>
      <c r="AM108" s="40"/>
      <c r="AN108" s="40"/>
      <c r="AO108" s="40"/>
      <c r="AP108" s="40"/>
      <c r="AQ108" s="40"/>
      <c r="AR108" s="40"/>
      <c r="AS108" s="40"/>
      <c r="AT108" s="40"/>
      <c r="AU108" s="40"/>
      <c r="AV108" s="40"/>
      <c r="AW108" s="40"/>
      <c r="AX108" s="40"/>
      <c r="AY108" s="40"/>
      <c r="AZ108" s="40"/>
      <c r="BA108" s="40"/>
      <c r="BB108" s="40"/>
      <c r="BC108" s="40"/>
      <c r="BD108" s="40"/>
      <c r="BE108" s="40"/>
      <c r="BF108" s="40"/>
      <c r="BG108" s="40"/>
      <c r="BH108" s="40"/>
      <c r="BI108" s="40"/>
      <c r="BJ108" s="40"/>
      <c r="BK108" s="40"/>
      <c r="BL108" s="40"/>
      <c r="BM108" s="40"/>
      <c r="BN108" s="40"/>
      <c r="BO108" s="40"/>
      <c r="BP108" s="40"/>
      <c r="BQ108" s="40"/>
      <c r="BR108" s="40"/>
      <c r="BS108" s="40"/>
      <c r="BT108" s="40"/>
      <c r="BU108" s="40"/>
      <c r="BV108" s="40"/>
      <c r="BW108" s="40"/>
      <c r="BX108" s="40"/>
      <c r="BY108" s="40"/>
      <c r="BZ108" s="40"/>
      <c r="CA108" s="40"/>
      <c r="CB108" s="40"/>
      <c r="CC108" s="40"/>
      <c r="CD108" s="40"/>
      <c r="CE108" s="40"/>
      <c r="CF108" s="40"/>
      <c r="CG108" s="40"/>
      <c r="CH108" s="40"/>
      <c r="CI108" s="40"/>
      <c r="CJ108" s="40"/>
      <c r="CK108" s="40"/>
      <c r="CL108" s="40"/>
    </row>
    <row r="109" spans="1:90" x14ac:dyDescent="0.25">
      <c r="A109" s="40"/>
      <c r="B109" s="40"/>
      <c r="C109" s="40"/>
      <c r="D109" s="40"/>
      <c r="E109" s="40"/>
      <c r="F109" s="40"/>
      <c r="G109" s="40"/>
      <c r="H109" s="40"/>
      <c r="I109" s="40"/>
      <c r="J109" s="40"/>
      <c r="K109" s="40"/>
      <c r="L109" s="40"/>
      <c r="M109" s="40"/>
      <c r="N109" s="40"/>
      <c r="O109" s="40"/>
      <c r="P109" s="40"/>
      <c r="Q109" s="40"/>
      <c r="R109" s="40"/>
      <c r="S109" s="40"/>
      <c r="T109" s="40"/>
      <c r="U109" s="40"/>
      <c r="V109" s="40"/>
      <c r="W109" s="40"/>
      <c r="X109" s="40"/>
      <c r="Y109" s="40"/>
      <c r="Z109" s="40"/>
      <c r="AA109" s="40"/>
      <c r="AB109" s="40"/>
      <c r="AC109" s="40"/>
      <c r="AD109" s="40"/>
      <c r="AE109" s="40"/>
      <c r="AF109" s="40"/>
      <c r="AG109" s="40"/>
      <c r="AH109" s="40"/>
      <c r="AI109" s="40"/>
      <c r="AJ109" s="40"/>
      <c r="AK109" s="40"/>
      <c r="AL109" s="40"/>
      <c r="AM109" s="40"/>
      <c r="AN109" s="40"/>
      <c r="AO109" s="40"/>
      <c r="AP109" s="40"/>
      <c r="AQ109" s="40"/>
      <c r="AR109" s="40"/>
      <c r="AS109" s="40"/>
      <c r="AT109" s="40"/>
      <c r="AU109" s="40"/>
      <c r="AV109" s="40"/>
      <c r="AW109" s="40"/>
      <c r="AX109" s="40"/>
      <c r="AY109" s="40"/>
      <c r="AZ109" s="40"/>
      <c r="BA109" s="40"/>
      <c r="BB109" s="40"/>
      <c r="BC109" s="40"/>
      <c r="BD109" s="40"/>
      <c r="BE109" s="40"/>
      <c r="BF109" s="40"/>
      <c r="BG109" s="40"/>
      <c r="BH109" s="40"/>
      <c r="BI109" s="40"/>
      <c r="BJ109" s="40"/>
      <c r="BK109" s="40"/>
      <c r="BL109" s="40"/>
      <c r="BM109" s="40"/>
      <c r="BN109" s="40"/>
      <c r="BO109" s="40"/>
      <c r="BP109" s="40"/>
      <c r="BQ109" s="40"/>
      <c r="BR109" s="40"/>
      <c r="BS109" s="40"/>
      <c r="BT109" s="40"/>
      <c r="BU109" s="40"/>
      <c r="BV109" s="40"/>
      <c r="BW109" s="40"/>
      <c r="BX109" s="40"/>
      <c r="BY109" s="40"/>
      <c r="BZ109" s="40"/>
      <c r="CA109" s="40"/>
      <c r="CB109" s="40"/>
      <c r="CC109" s="40"/>
      <c r="CD109" s="40"/>
      <c r="CE109" s="40"/>
      <c r="CF109" s="40"/>
      <c r="CG109" s="40"/>
      <c r="CH109" s="40"/>
      <c r="CI109" s="40"/>
      <c r="CJ109" s="40"/>
      <c r="CK109" s="40"/>
      <c r="CL109" s="40"/>
    </row>
    <row r="110" spans="1:90" x14ac:dyDescent="0.25">
      <c r="A110" s="40"/>
      <c r="B110" s="40"/>
      <c r="C110" s="40"/>
      <c r="D110" s="40"/>
      <c r="E110" s="40"/>
      <c r="F110" s="40"/>
      <c r="G110" s="40"/>
      <c r="H110" s="40"/>
      <c r="I110" s="40"/>
      <c r="J110" s="40"/>
      <c r="K110" s="40"/>
      <c r="L110" s="40"/>
      <c r="M110" s="40"/>
      <c r="N110" s="40"/>
      <c r="O110" s="40"/>
      <c r="P110" s="40"/>
      <c r="Q110" s="40"/>
      <c r="R110" s="40"/>
      <c r="S110" s="40"/>
      <c r="T110" s="40"/>
      <c r="U110" s="40"/>
      <c r="V110" s="40"/>
      <c r="W110" s="40"/>
      <c r="X110" s="40"/>
      <c r="Y110" s="40"/>
      <c r="Z110" s="40"/>
      <c r="AA110" s="40"/>
      <c r="AB110" s="40"/>
      <c r="AC110" s="40"/>
      <c r="AD110" s="40"/>
      <c r="AE110" s="40"/>
      <c r="AF110" s="40"/>
      <c r="AG110" s="40"/>
      <c r="AH110" s="40"/>
      <c r="AI110" s="40"/>
      <c r="AJ110" s="40"/>
      <c r="AK110" s="40"/>
      <c r="AL110" s="40"/>
      <c r="AM110" s="40"/>
      <c r="AN110" s="40"/>
      <c r="AO110" s="40"/>
      <c r="AP110" s="40"/>
      <c r="AQ110" s="40"/>
      <c r="AR110" s="40"/>
      <c r="AS110" s="40"/>
      <c r="AT110" s="40"/>
      <c r="AU110" s="40"/>
      <c r="AV110" s="40"/>
      <c r="AW110" s="40"/>
      <c r="AX110" s="40"/>
      <c r="AY110" s="40"/>
      <c r="AZ110" s="40"/>
      <c r="BA110" s="40"/>
      <c r="BB110" s="40"/>
      <c r="BC110" s="40"/>
      <c r="BD110" s="40"/>
      <c r="BE110" s="40"/>
      <c r="BF110" s="40"/>
      <c r="BG110" s="40"/>
      <c r="BH110" s="40"/>
      <c r="BI110" s="40"/>
      <c r="BJ110" s="40"/>
      <c r="BK110" s="40"/>
      <c r="BL110" s="40"/>
      <c r="BM110" s="40"/>
      <c r="BN110" s="40"/>
      <c r="BO110" s="40"/>
      <c r="BP110" s="40"/>
      <c r="BQ110" s="40"/>
      <c r="BR110" s="40"/>
      <c r="BS110" s="40"/>
      <c r="BT110" s="40"/>
      <c r="BU110" s="40"/>
      <c r="BV110" s="40"/>
      <c r="BW110" s="40"/>
      <c r="BX110" s="40"/>
      <c r="BY110" s="40"/>
      <c r="BZ110" s="40"/>
      <c r="CA110" s="40"/>
      <c r="CB110" s="40"/>
      <c r="CC110" s="40"/>
      <c r="CD110" s="40"/>
      <c r="CE110" s="40"/>
      <c r="CF110" s="40"/>
      <c r="CG110" s="40"/>
      <c r="CH110" s="40"/>
      <c r="CI110" s="40"/>
      <c r="CJ110" s="40"/>
      <c r="CK110" s="40"/>
      <c r="CL110" s="40"/>
    </row>
    <row r="111" spans="1:90" x14ac:dyDescent="0.25">
      <c r="A111" s="40"/>
      <c r="B111" s="40"/>
      <c r="C111" s="40"/>
      <c r="D111" s="40"/>
      <c r="E111" s="40"/>
      <c r="F111" s="40"/>
      <c r="G111" s="40"/>
      <c r="H111" s="40"/>
      <c r="I111" s="40"/>
      <c r="J111" s="40"/>
      <c r="K111" s="40"/>
      <c r="L111" s="40"/>
      <c r="M111" s="40"/>
      <c r="N111" s="40"/>
      <c r="O111" s="40"/>
      <c r="P111" s="40"/>
      <c r="Q111" s="40"/>
      <c r="R111" s="40"/>
      <c r="S111" s="40"/>
      <c r="T111" s="40"/>
      <c r="U111" s="40"/>
      <c r="V111" s="40"/>
      <c r="W111" s="40"/>
      <c r="X111" s="40"/>
      <c r="Y111" s="40"/>
      <c r="Z111" s="40"/>
      <c r="AA111" s="40"/>
      <c r="AB111" s="40"/>
      <c r="AC111" s="40"/>
      <c r="AD111" s="40"/>
      <c r="AE111" s="40"/>
      <c r="AF111" s="40"/>
      <c r="AG111" s="40"/>
      <c r="AH111" s="40"/>
      <c r="AI111" s="40"/>
      <c r="AJ111" s="40"/>
      <c r="AK111" s="40"/>
      <c r="AL111" s="40"/>
      <c r="AM111" s="40"/>
      <c r="AN111" s="40"/>
      <c r="AO111" s="40"/>
      <c r="AP111" s="40"/>
      <c r="AQ111" s="40"/>
      <c r="AR111" s="40"/>
      <c r="AS111" s="40"/>
      <c r="AT111" s="40"/>
      <c r="AU111" s="40"/>
      <c r="AV111" s="40"/>
      <c r="AW111" s="40"/>
      <c r="AX111" s="40"/>
      <c r="AY111" s="40"/>
      <c r="AZ111" s="40"/>
      <c r="BA111" s="40"/>
      <c r="BB111" s="40"/>
      <c r="BC111" s="40"/>
      <c r="BD111" s="40"/>
      <c r="BE111" s="40"/>
      <c r="BF111" s="40"/>
      <c r="BG111" s="40"/>
      <c r="BH111" s="40"/>
      <c r="BI111" s="40"/>
      <c r="BJ111" s="40"/>
      <c r="BK111" s="40"/>
      <c r="BL111" s="40"/>
      <c r="BM111" s="40"/>
      <c r="BN111" s="40"/>
      <c r="BO111" s="40"/>
      <c r="BP111" s="40"/>
      <c r="BQ111" s="40"/>
      <c r="BR111" s="40"/>
      <c r="BS111" s="40"/>
      <c r="BT111" s="40"/>
      <c r="BU111" s="40"/>
      <c r="BV111" s="40"/>
      <c r="BW111" s="40"/>
      <c r="BX111" s="40"/>
      <c r="BY111" s="40"/>
      <c r="BZ111" s="40"/>
      <c r="CA111" s="40"/>
      <c r="CB111" s="40"/>
      <c r="CC111" s="40"/>
      <c r="CD111" s="40"/>
      <c r="CE111" s="40"/>
      <c r="CF111" s="40"/>
      <c r="CG111" s="40"/>
      <c r="CH111" s="40"/>
      <c r="CI111" s="40"/>
      <c r="CJ111" s="40"/>
      <c r="CK111" s="40"/>
      <c r="CL111" s="40"/>
    </row>
    <row r="112" spans="1:90" x14ac:dyDescent="0.25">
      <c r="A112" s="40"/>
      <c r="B112" s="40"/>
      <c r="C112" s="40"/>
      <c r="D112" s="40"/>
      <c r="E112" s="40"/>
      <c r="F112" s="40"/>
      <c r="G112" s="40"/>
      <c r="H112" s="40"/>
      <c r="I112" s="40"/>
      <c r="J112" s="40"/>
      <c r="K112" s="40"/>
      <c r="L112" s="40"/>
      <c r="M112" s="40"/>
      <c r="N112" s="40"/>
      <c r="O112" s="40"/>
      <c r="P112" s="40"/>
      <c r="Q112" s="40"/>
      <c r="R112" s="40"/>
      <c r="S112" s="40"/>
      <c r="T112" s="40"/>
      <c r="U112" s="40"/>
      <c r="V112" s="40"/>
      <c r="W112" s="40"/>
      <c r="X112" s="40"/>
      <c r="Y112" s="40"/>
      <c r="Z112" s="40"/>
      <c r="AA112" s="40"/>
      <c r="AB112" s="40"/>
      <c r="AC112" s="40"/>
      <c r="AD112" s="40"/>
      <c r="AE112" s="40"/>
      <c r="AF112" s="40"/>
      <c r="AG112" s="40"/>
      <c r="AH112" s="40"/>
      <c r="AI112" s="40"/>
      <c r="AJ112" s="40"/>
      <c r="AK112" s="40"/>
      <c r="AL112" s="40"/>
      <c r="AM112" s="40"/>
      <c r="AN112" s="40"/>
      <c r="AO112" s="40"/>
      <c r="AP112" s="40"/>
      <c r="AQ112" s="40"/>
      <c r="AR112" s="40"/>
      <c r="AS112" s="40"/>
      <c r="AT112" s="40"/>
      <c r="AU112" s="40"/>
      <c r="AV112" s="40"/>
      <c r="AW112" s="40"/>
      <c r="AX112" s="40"/>
      <c r="AY112" s="40"/>
      <c r="AZ112" s="40"/>
      <c r="BA112" s="40"/>
      <c r="BB112" s="40"/>
      <c r="BC112" s="40"/>
      <c r="BD112" s="40"/>
      <c r="BE112" s="40"/>
      <c r="BF112" s="40"/>
      <c r="BG112" s="40"/>
      <c r="BH112" s="40"/>
      <c r="BI112" s="40"/>
      <c r="BJ112" s="40"/>
      <c r="BK112" s="40"/>
      <c r="BL112" s="40"/>
      <c r="BM112" s="40"/>
      <c r="BN112" s="40"/>
      <c r="BO112" s="40"/>
      <c r="BP112" s="40"/>
      <c r="BQ112" s="40"/>
      <c r="BR112" s="40"/>
      <c r="BS112" s="40"/>
      <c r="BT112" s="40"/>
      <c r="BU112" s="40"/>
      <c r="BV112" s="40"/>
      <c r="BW112" s="40"/>
      <c r="BX112" s="40"/>
      <c r="BY112" s="40"/>
      <c r="BZ112" s="40"/>
      <c r="CA112" s="40"/>
      <c r="CB112" s="40"/>
      <c r="CC112" s="40"/>
      <c r="CD112" s="40"/>
      <c r="CE112" s="40"/>
      <c r="CF112" s="40"/>
      <c r="CG112" s="40"/>
      <c r="CH112" s="40"/>
      <c r="CI112" s="40"/>
      <c r="CJ112" s="40"/>
      <c r="CK112" s="40"/>
      <c r="CL112" s="40"/>
    </row>
    <row r="113" spans="1:90" x14ac:dyDescent="0.25">
      <c r="A113" s="40"/>
      <c r="B113" s="40"/>
      <c r="C113" s="40"/>
      <c r="D113" s="40"/>
      <c r="E113" s="40"/>
      <c r="F113" s="40"/>
      <c r="G113" s="40"/>
      <c r="H113" s="40"/>
      <c r="I113" s="40"/>
      <c r="J113" s="40"/>
      <c r="K113" s="40"/>
      <c r="L113" s="40"/>
      <c r="M113" s="40"/>
      <c r="N113" s="40"/>
      <c r="O113" s="40"/>
      <c r="P113" s="40"/>
      <c r="Q113" s="40"/>
      <c r="R113" s="40"/>
      <c r="S113" s="40"/>
      <c r="T113" s="40"/>
      <c r="U113" s="40"/>
      <c r="V113" s="40"/>
      <c r="W113" s="40"/>
      <c r="X113" s="40"/>
      <c r="Y113" s="40"/>
      <c r="Z113" s="40"/>
      <c r="AA113" s="40"/>
      <c r="AB113" s="40"/>
      <c r="AC113" s="40"/>
      <c r="AD113" s="40"/>
      <c r="AE113" s="40"/>
      <c r="AF113" s="40"/>
      <c r="AG113" s="40"/>
      <c r="AH113" s="40"/>
      <c r="AI113" s="40"/>
      <c r="AJ113" s="40"/>
      <c r="AK113" s="40"/>
      <c r="AL113" s="40"/>
      <c r="AM113" s="40"/>
      <c r="AN113" s="40"/>
      <c r="AO113" s="40"/>
      <c r="AP113" s="40"/>
      <c r="AQ113" s="40"/>
      <c r="AR113" s="40"/>
      <c r="AS113" s="40"/>
      <c r="AT113" s="40"/>
      <c r="AU113" s="40"/>
      <c r="AV113" s="40"/>
      <c r="AW113" s="40"/>
      <c r="AX113" s="40"/>
      <c r="AY113" s="40"/>
      <c r="AZ113" s="40"/>
      <c r="BA113" s="40"/>
      <c r="BB113" s="40"/>
      <c r="BC113" s="40"/>
      <c r="BD113" s="40"/>
      <c r="BE113" s="40"/>
      <c r="BF113" s="40"/>
      <c r="BG113" s="40"/>
      <c r="BH113" s="40"/>
      <c r="BI113" s="40"/>
      <c r="BJ113" s="40"/>
      <c r="BK113" s="40"/>
      <c r="BL113" s="40"/>
      <c r="BM113" s="40"/>
      <c r="BN113" s="40"/>
      <c r="BO113" s="40"/>
      <c r="BP113" s="40"/>
      <c r="BQ113" s="40"/>
      <c r="BR113" s="40"/>
      <c r="BS113" s="40"/>
      <c r="BT113" s="40"/>
      <c r="BU113" s="40"/>
      <c r="BV113" s="40"/>
      <c r="BW113" s="40"/>
      <c r="BX113" s="40"/>
      <c r="BY113" s="40"/>
      <c r="BZ113" s="40"/>
      <c r="CA113" s="40"/>
      <c r="CB113" s="40"/>
      <c r="CC113" s="40"/>
      <c r="CD113" s="40"/>
      <c r="CE113" s="40"/>
      <c r="CF113" s="40"/>
      <c r="CG113" s="40"/>
      <c r="CH113" s="40"/>
      <c r="CI113" s="40"/>
      <c r="CJ113" s="40"/>
      <c r="CK113" s="40"/>
      <c r="CL113" s="40"/>
    </row>
    <row r="114" spans="1:90" x14ac:dyDescent="0.25">
      <c r="A114" s="40"/>
      <c r="B114" s="40"/>
      <c r="C114" s="40"/>
      <c r="D114" s="40"/>
      <c r="E114" s="40"/>
      <c r="F114" s="40"/>
      <c r="G114" s="40"/>
      <c r="H114" s="40"/>
      <c r="I114" s="40"/>
      <c r="J114" s="40"/>
      <c r="K114" s="40"/>
      <c r="L114" s="40"/>
      <c r="M114" s="40"/>
      <c r="N114" s="40"/>
      <c r="O114" s="40"/>
      <c r="P114" s="40"/>
      <c r="Q114" s="40"/>
      <c r="R114" s="40"/>
      <c r="S114" s="40"/>
      <c r="T114" s="40"/>
      <c r="U114" s="40"/>
      <c r="V114" s="40"/>
      <c r="W114" s="40"/>
      <c r="X114" s="40"/>
      <c r="Y114" s="40"/>
      <c r="Z114" s="40"/>
      <c r="AA114" s="40"/>
      <c r="AB114" s="40"/>
      <c r="AC114" s="40"/>
      <c r="AD114" s="40"/>
      <c r="AE114" s="40"/>
      <c r="AF114" s="40"/>
      <c r="AG114" s="40"/>
      <c r="AH114" s="40"/>
      <c r="AI114" s="40"/>
      <c r="AJ114" s="40"/>
      <c r="AK114" s="40"/>
      <c r="AL114" s="40"/>
      <c r="AM114" s="40"/>
      <c r="AN114" s="40"/>
      <c r="AO114" s="40"/>
      <c r="AP114" s="40"/>
      <c r="AQ114" s="40"/>
      <c r="AR114" s="40"/>
      <c r="AS114" s="40"/>
      <c r="AT114" s="40"/>
      <c r="AU114" s="40"/>
      <c r="AV114" s="40"/>
      <c r="AW114" s="40"/>
      <c r="AX114" s="40"/>
      <c r="AY114" s="40"/>
      <c r="AZ114" s="40"/>
      <c r="BA114" s="40"/>
      <c r="BB114" s="40"/>
      <c r="BC114" s="40"/>
      <c r="BD114" s="40"/>
      <c r="BE114" s="40"/>
      <c r="BF114" s="40"/>
      <c r="BG114" s="40"/>
      <c r="BH114" s="40"/>
      <c r="BI114" s="40"/>
      <c r="BJ114" s="40"/>
      <c r="BK114" s="40"/>
      <c r="BL114" s="40"/>
      <c r="BM114" s="40"/>
      <c r="BN114" s="40"/>
      <c r="BO114" s="40"/>
      <c r="BP114" s="40"/>
      <c r="BQ114" s="40"/>
      <c r="BR114" s="40"/>
      <c r="BS114" s="40"/>
      <c r="BT114" s="40"/>
      <c r="BU114" s="40"/>
      <c r="BV114" s="40"/>
      <c r="BW114" s="40"/>
      <c r="BX114" s="40"/>
      <c r="BY114" s="40"/>
      <c r="BZ114" s="40"/>
      <c r="CA114" s="40"/>
      <c r="CB114" s="40"/>
      <c r="CC114" s="40"/>
      <c r="CD114" s="40"/>
      <c r="CE114" s="40"/>
      <c r="CF114" s="40"/>
      <c r="CG114" s="40"/>
      <c r="CH114" s="40"/>
      <c r="CI114" s="40"/>
      <c r="CJ114" s="40"/>
      <c r="CK114" s="40"/>
      <c r="CL114" s="40"/>
    </row>
    <row r="115" spans="1:90" x14ac:dyDescent="0.25">
      <c r="A115" s="40"/>
      <c r="B115" s="40"/>
      <c r="C115" s="40"/>
      <c r="D115" s="40"/>
      <c r="E115" s="40"/>
      <c r="F115" s="40"/>
      <c r="G115" s="40"/>
      <c r="H115" s="40"/>
      <c r="I115" s="40"/>
      <c r="J115" s="40"/>
      <c r="K115" s="40"/>
      <c r="L115" s="40"/>
      <c r="M115" s="40"/>
      <c r="N115" s="40"/>
      <c r="O115" s="40"/>
      <c r="P115" s="40"/>
      <c r="Q115" s="40"/>
      <c r="R115" s="40"/>
      <c r="S115" s="40"/>
      <c r="T115" s="40"/>
      <c r="U115" s="40"/>
      <c r="V115" s="40"/>
      <c r="W115" s="40"/>
      <c r="X115" s="40"/>
      <c r="Y115" s="40"/>
      <c r="Z115" s="40"/>
      <c r="AA115" s="40"/>
      <c r="AB115" s="40"/>
      <c r="AC115" s="40"/>
      <c r="AD115" s="40"/>
      <c r="AE115" s="40"/>
      <c r="AF115" s="40"/>
      <c r="AG115" s="40"/>
      <c r="AH115" s="40"/>
      <c r="AI115" s="40"/>
      <c r="AJ115" s="40"/>
      <c r="AK115" s="40"/>
      <c r="AL115" s="40"/>
      <c r="AM115" s="40"/>
      <c r="AN115" s="40"/>
      <c r="AO115" s="40"/>
      <c r="AP115" s="40"/>
      <c r="AQ115" s="40"/>
      <c r="AR115" s="40"/>
      <c r="AS115" s="40"/>
      <c r="AT115" s="40"/>
      <c r="AU115" s="40"/>
      <c r="AV115" s="40"/>
      <c r="AW115" s="40"/>
      <c r="AX115" s="40"/>
      <c r="AY115" s="40"/>
      <c r="AZ115" s="40"/>
      <c r="BA115" s="40"/>
      <c r="BB115" s="40"/>
      <c r="BC115" s="40"/>
      <c r="BD115" s="40"/>
      <c r="BE115" s="40"/>
      <c r="BF115" s="40"/>
      <c r="BG115" s="40"/>
      <c r="BH115" s="40"/>
      <c r="BI115" s="40"/>
      <c r="BJ115" s="40"/>
      <c r="BK115" s="40"/>
      <c r="BL115" s="40"/>
      <c r="BM115" s="40"/>
      <c r="BN115" s="40"/>
      <c r="BO115" s="40"/>
      <c r="BP115" s="40"/>
      <c r="BQ115" s="40"/>
      <c r="BR115" s="40"/>
      <c r="BS115" s="40"/>
      <c r="BT115" s="40"/>
      <c r="BU115" s="40"/>
      <c r="BV115" s="40"/>
      <c r="BW115" s="40"/>
      <c r="BX115" s="40"/>
      <c r="BY115" s="40"/>
      <c r="BZ115" s="40"/>
      <c r="CA115" s="40"/>
      <c r="CB115" s="40"/>
      <c r="CC115" s="40"/>
      <c r="CD115" s="40"/>
      <c r="CE115" s="40"/>
      <c r="CF115" s="40"/>
      <c r="CG115" s="40"/>
      <c r="CH115" s="40"/>
      <c r="CI115" s="40"/>
      <c r="CJ115" s="40"/>
      <c r="CK115" s="40"/>
      <c r="CL115" s="40"/>
    </row>
    <row r="116" spans="1:90" x14ac:dyDescent="0.25">
      <c r="A116" s="40"/>
      <c r="B116" s="40"/>
      <c r="C116" s="40"/>
      <c r="D116" s="40"/>
      <c r="E116" s="40"/>
      <c r="F116" s="40"/>
      <c r="G116" s="40"/>
      <c r="H116" s="40"/>
      <c r="I116" s="40"/>
      <c r="J116" s="40"/>
      <c r="K116" s="40"/>
      <c r="L116" s="40"/>
      <c r="M116" s="40"/>
      <c r="N116" s="40"/>
      <c r="O116" s="40"/>
      <c r="P116" s="40"/>
      <c r="Q116" s="40"/>
      <c r="R116" s="40"/>
      <c r="S116" s="40"/>
      <c r="T116" s="40"/>
      <c r="U116" s="40"/>
      <c r="V116" s="40"/>
      <c r="W116" s="40"/>
      <c r="X116" s="40"/>
      <c r="Y116" s="40"/>
      <c r="Z116" s="40"/>
      <c r="AA116" s="40"/>
      <c r="AB116" s="40"/>
      <c r="AC116" s="40"/>
      <c r="AD116" s="40"/>
      <c r="AE116" s="40"/>
      <c r="AF116" s="40"/>
      <c r="AG116" s="40"/>
      <c r="AH116" s="40"/>
      <c r="AI116" s="40"/>
      <c r="AJ116" s="40"/>
      <c r="AK116" s="40"/>
      <c r="AL116" s="40"/>
      <c r="AM116" s="40"/>
      <c r="AN116" s="40"/>
      <c r="AO116" s="40"/>
      <c r="AP116" s="40"/>
      <c r="AQ116" s="40"/>
      <c r="AR116" s="40"/>
      <c r="AS116" s="40"/>
      <c r="AT116" s="40"/>
      <c r="AU116" s="40"/>
      <c r="AV116" s="40"/>
      <c r="AW116" s="40"/>
      <c r="AX116" s="40"/>
      <c r="AY116" s="40"/>
      <c r="AZ116" s="40"/>
      <c r="BA116" s="40"/>
      <c r="BB116" s="40"/>
      <c r="BC116" s="40"/>
      <c r="BD116" s="40"/>
      <c r="BE116" s="40"/>
      <c r="BF116" s="40"/>
      <c r="BG116" s="40"/>
      <c r="BH116" s="40"/>
      <c r="BI116" s="40"/>
      <c r="BJ116" s="40"/>
      <c r="BK116" s="40"/>
      <c r="BL116" s="40"/>
      <c r="BM116" s="40"/>
      <c r="BN116" s="40"/>
      <c r="BO116" s="40"/>
      <c r="BP116" s="40"/>
      <c r="BQ116" s="40"/>
      <c r="BR116" s="40"/>
      <c r="BS116" s="40"/>
      <c r="BT116" s="40"/>
      <c r="BU116" s="40"/>
      <c r="BV116" s="40"/>
      <c r="BW116" s="40"/>
      <c r="BX116" s="40"/>
      <c r="BY116" s="40"/>
      <c r="BZ116" s="40"/>
      <c r="CA116" s="40"/>
      <c r="CB116" s="40"/>
      <c r="CC116" s="40"/>
      <c r="CD116" s="40"/>
      <c r="CE116" s="40"/>
      <c r="CF116" s="40"/>
      <c r="CG116" s="40"/>
      <c r="CH116" s="40"/>
      <c r="CI116" s="40"/>
      <c r="CJ116" s="40"/>
      <c r="CK116" s="40"/>
      <c r="CL116" s="40"/>
    </row>
    <row r="117" spans="1:90" x14ac:dyDescent="0.25">
      <c r="A117" s="40"/>
      <c r="B117" s="40"/>
      <c r="C117" s="40"/>
      <c r="D117" s="40"/>
      <c r="E117" s="40"/>
      <c r="F117" s="40"/>
      <c r="G117" s="40"/>
      <c r="H117" s="40"/>
      <c r="I117" s="40"/>
      <c r="J117" s="40"/>
      <c r="K117" s="40"/>
      <c r="L117" s="40"/>
      <c r="M117" s="40"/>
      <c r="N117" s="40"/>
      <c r="O117" s="40"/>
      <c r="P117" s="40"/>
      <c r="Q117" s="40"/>
      <c r="R117" s="40"/>
      <c r="S117" s="40"/>
      <c r="T117" s="40"/>
      <c r="U117" s="40"/>
      <c r="V117" s="40"/>
      <c r="W117" s="40"/>
      <c r="X117" s="40"/>
      <c r="Y117" s="40"/>
      <c r="Z117" s="40"/>
      <c r="AA117" s="40"/>
      <c r="AB117" s="40"/>
      <c r="AC117" s="40"/>
      <c r="AD117" s="40"/>
      <c r="AE117" s="40"/>
      <c r="AF117" s="40"/>
      <c r="AG117" s="40"/>
      <c r="AH117" s="40"/>
      <c r="AI117" s="40"/>
      <c r="AJ117" s="40"/>
      <c r="AK117" s="40"/>
      <c r="AL117" s="40"/>
      <c r="AM117" s="40"/>
      <c r="AN117" s="40"/>
      <c r="AO117" s="40"/>
      <c r="AP117" s="40"/>
      <c r="AQ117" s="40"/>
      <c r="AR117" s="40"/>
      <c r="AS117" s="40"/>
      <c r="AT117" s="40"/>
      <c r="AU117" s="40"/>
      <c r="AV117" s="40"/>
      <c r="AW117" s="40"/>
      <c r="AX117" s="40"/>
      <c r="AY117" s="40"/>
      <c r="AZ117" s="40"/>
      <c r="BA117" s="40"/>
      <c r="BB117" s="40"/>
      <c r="BC117" s="40"/>
      <c r="BD117" s="40"/>
      <c r="BE117" s="40"/>
      <c r="BF117" s="40"/>
      <c r="BG117" s="40"/>
      <c r="BH117" s="40"/>
      <c r="BI117" s="40"/>
      <c r="BJ117" s="40"/>
      <c r="BK117" s="40"/>
      <c r="BL117" s="40"/>
      <c r="BM117" s="40"/>
      <c r="BN117" s="40"/>
      <c r="BO117" s="40"/>
      <c r="BP117" s="40"/>
      <c r="BQ117" s="40"/>
      <c r="BR117" s="40"/>
      <c r="BS117" s="40"/>
      <c r="BT117" s="40"/>
      <c r="BU117" s="40"/>
      <c r="BV117" s="40"/>
      <c r="BW117" s="40"/>
      <c r="BX117" s="40"/>
      <c r="BY117" s="40"/>
      <c r="BZ117" s="40"/>
      <c r="CA117" s="40"/>
      <c r="CB117" s="40"/>
      <c r="CC117" s="40"/>
      <c r="CD117" s="40"/>
      <c r="CE117" s="40"/>
      <c r="CF117" s="40"/>
      <c r="CG117" s="40"/>
      <c r="CH117" s="40"/>
      <c r="CI117" s="40"/>
      <c r="CJ117" s="40"/>
      <c r="CK117" s="40"/>
      <c r="CL117" s="40"/>
    </row>
    <row r="118" spans="1:90" x14ac:dyDescent="0.25">
      <c r="A118" s="40"/>
      <c r="B118" s="40"/>
      <c r="C118" s="40"/>
      <c r="D118" s="40"/>
      <c r="E118" s="40"/>
      <c r="F118" s="40"/>
      <c r="G118" s="40"/>
      <c r="H118" s="40"/>
      <c r="I118" s="40"/>
      <c r="J118" s="40"/>
      <c r="K118" s="40"/>
      <c r="L118" s="40"/>
      <c r="M118" s="40"/>
      <c r="N118" s="40"/>
      <c r="O118" s="40"/>
      <c r="P118" s="40"/>
      <c r="Q118" s="40"/>
      <c r="R118" s="40"/>
      <c r="S118" s="40"/>
      <c r="T118" s="40"/>
      <c r="U118" s="40"/>
      <c r="V118" s="40"/>
      <c r="W118" s="40"/>
      <c r="X118" s="40"/>
      <c r="Y118" s="40"/>
      <c r="Z118" s="40"/>
      <c r="AA118" s="40"/>
      <c r="AB118" s="40"/>
      <c r="AC118" s="40"/>
      <c r="AD118" s="40"/>
      <c r="AE118" s="40"/>
      <c r="AF118" s="40"/>
      <c r="AG118" s="40"/>
      <c r="AH118" s="40"/>
      <c r="AI118" s="40"/>
      <c r="AJ118" s="40"/>
      <c r="AK118" s="40"/>
      <c r="AL118" s="40"/>
      <c r="AM118" s="40"/>
      <c r="AN118" s="40"/>
      <c r="AO118" s="40"/>
      <c r="AP118" s="40"/>
      <c r="AQ118" s="40"/>
      <c r="AR118" s="40"/>
      <c r="AS118" s="40"/>
      <c r="AT118" s="40"/>
      <c r="AU118" s="40"/>
      <c r="AV118" s="40"/>
      <c r="AW118" s="40"/>
      <c r="AX118" s="40"/>
      <c r="AY118" s="40"/>
      <c r="AZ118" s="40"/>
      <c r="BA118" s="40"/>
      <c r="BB118" s="40"/>
      <c r="BC118" s="40"/>
      <c r="BD118" s="40"/>
      <c r="BE118" s="40"/>
      <c r="BF118" s="40"/>
      <c r="BG118" s="40"/>
      <c r="BH118" s="40"/>
      <c r="BI118" s="40"/>
      <c r="BJ118" s="40"/>
      <c r="BK118" s="40"/>
      <c r="BL118" s="40"/>
      <c r="BM118" s="40"/>
      <c r="BN118" s="40"/>
      <c r="BO118" s="40"/>
      <c r="BP118" s="40"/>
      <c r="BQ118" s="40"/>
      <c r="BR118" s="40"/>
      <c r="BS118" s="40"/>
      <c r="BT118" s="40"/>
      <c r="BU118" s="40"/>
      <c r="BV118" s="40"/>
      <c r="BW118" s="40"/>
      <c r="BX118" s="40"/>
      <c r="BY118" s="40"/>
      <c r="BZ118" s="40"/>
      <c r="CA118" s="40"/>
      <c r="CB118" s="40"/>
      <c r="CC118" s="40"/>
      <c r="CD118" s="40"/>
      <c r="CE118" s="40"/>
      <c r="CF118" s="40"/>
      <c r="CG118" s="40"/>
      <c r="CH118" s="40"/>
      <c r="CI118" s="40"/>
      <c r="CJ118" s="40"/>
      <c r="CK118" s="40"/>
      <c r="CL118" s="40"/>
    </row>
    <row r="119" spans="1:90" x14ac:dyDescent="0.25">
      <c r="A119" s="40"/>
      <c r="B119" s="40"/>
      <c r="C119" s="40"/>
      <c r="D119" s="40"/>
      <c r="E119" s="40"/>
      <c r="F119" s="40"/>
      <c r="G119" s="40"/>
      <c r="H119" s="40"/>
      <c r="I119" s="40"/>
      <c r="J119" s="40"/>
      <c r="K119" s="40"/>
      <c r="L119" s="40"/>
      <c r="M119" s="40"/>
      <c r="N119" s="40"/>
      <c r="O119" s="40"/>
      <c r="P119" s="40"/>
      <c r="Q119" s="40"/>
      <c r="R119" s="40"/>
      <c r="S119" s="40"/>
      <c r="T119" s="40"/>
      <c r="U119" s="40"/>
      <c r="V119" s="40"/>
      <c r="W119" s="40"/>
      <c r="X119" s="40"/>
      <c r="Y119" s="40"/>
      <c r="Z119" s="40"/>
      <c r="AA119" s="40"/>
      <c r="AB119" s="40"/>
      <c r="AC119" s="40"/>
      <c r="AD119" s="40"/>
      <c r="AE119" s="40"/>
      <c r="AF119" s="40"/>
      <c r="AG119" s="40"/>
      <c r="AH119" s="40"/>
      <c r="AI119" s="40"/>
      <c r="AJ119" s="40"/>
      <c r="AK119" s="40"/>
      <c r="AL119" s="40"/>
      <c r="AM119" s="40"/>
      <c r="AN119" s="40"/>
      <c r="AO119" s="40"/>
      <c r="AP119" s="40"/>
      <c r="AQ119" s="40"/>
      <c r="AR119" s="40"/>
      <c r="AS119" s="40"/>
      <c r="AT119" s="40"/>
      <c r="AU119" s="40"/>
      <c r="AV119" s="40"/>
      <c r="AW119" s="40"/>
      <c r="AX119" s="40"/>
      <c r="AY119" s="40"/>
      <c r="AZ119" s="40"/>
      <c r="BA119" s="40"/>
      <c r="BB119" s="40"/>
      <c r="BC119" s="40"/>
      <c r="BD119" s="40"/>
      <c r="BE119" s="40"/>
      <c r="BF119" s="40"/>
      <c r="BG119" s="40"/>
      <c r="BH119" s="40"/>
      <c r="BI119" s="40"/>
      <c r="BJ119" s="40"/>
      <c r="BK119" s="40"/>
      <c r="BL119" s="40"/>
      <c r="BM119" s="40"/>
      <c r="BN119" s="40"/>
      <c r="BO119" s="40"/>
      <c r="BP119" s="40"/>
      <c r="BQ119" s="40"/>
      <c r="BR119" s="40"/>
      <c r="BS119" s="40"/>
      <c r="BT119" s="40"/>
      <c r="BU119" s="40"/>
      <c r="BV119" s="40"/>
      <c r="BW119" s="40"/>
      <c r="BX119" s="40"/>
      <c r="BY119" s="40"/>
      <c r="BZ119" s="40"/>
      <c r="CA119" s="40"/>
      <c r="CB119" s="40"/>
      <c r="CC119" s="40"/>
      <c r="CD119" s="40"/>
      <c r="CE119" s="40"/>
      <c r="CF119" s="40"/>
      <c r="CG119" s="40"/>
      <c r="CH119" s="40"/>
      <c r="CI119" s="40"/>
      <c r="CJ119" s="40"/>
      <c r="CK119" s="40"/>
      <c r="CL119" s="40"/>
    </row>
    <row r="120" spans="1:90" x14ac:dyDescent="0.25">
      <c r="A120" s="40"/>
      <c r="B120" s="40"/>
      <c r="C120" s="40"/>
      <c r="D120" s="40"/>
      <c r="E120" s="40"/>
      <c r="F120" s="40"/>
      <c r="G120" s="40"/>
      <c r="H120" s="40"/>
      <c r="I120" s="40"/>
      <c r="J120" s="40"/>
      <c r="K120" s="40"/>
      <c r="L120" s="40"/>
      <c r="M120" s="40"/>
      <c r="N120" s="40"/>
      <c r="O120" s="40"/>
      <c r="P120" s="40"/>
      <c r="Q120" s="40"/>
      <c r="R120" s="40"/>
      <c r="S120" s="40"/>
      <c r="T120" s="40"/>
      <c r="U120" s="40"/>
      <c r="V120" s="40"/>
      <c r="W120" s="40"/>
      <c r="X120" s="40"/>
      <c r="Y120" s="40"/>
      <c r="Z120" s="40"/>
      <c r="AA120" s="40"/>
      <c r="AB120" s="40"/>
      <c r="AC120" s="40"/>
      <c r="AD120" s="40"/>
      <c r="AE120" s="40"/>
      <c r="AF120" s="40"/>
      <c r="AG120" s="40"/>
      <c r="AH120" s="40"/>
      <c r="AI120" s="40"/>
      <c r="AJ120" s="40"/>
      <c r="AK120" s="40"/>
      <c r="AL120" s="40"/>
      <c r="AM120" s="40"/>
      <c r="AN120" s="40"/>
      <c r="AO120" s="40"/>
      <c r="AP120" s="40"/>
      <c r="AQ120" s="40"/>
      <c r="AR120" s="40"/>
      <c r="AS120" s="40"/>
      <c r="AT120" s="40"/>
      <c r="AU120" s="40"/>
      <c r="AV120" s="40"/>
      <c r="AW120" s="40"/>
      <c r="AX120" s="40"/>
      <c r="AY120" s="40"/>
      <c r="AZ120" s="40"/>
      <c r="BA120" s="40"/>
      <c r="BB120" s="40"/>
      <c r="BC120" s="40"/>
      <c r="BD120" s="40"/>
      <c r="BE120" s="40"/>
      <c r="BF120" s="40"/>
      <c r="BG120" s="40"/>
      <c r="BH120" s="40"/>
      <c r="BI120" s="40"/>
      <c r="BJ120" s="40"/>
      <c r="BK120" s="40"/>
      <c r="BL120" s="40"/>
      <c r="BM120" s="40"/>
      <c r="BN120" s="40"/>
      <c r="BO120" s="40"/>
      <c r="BP120" s="40"/>
      <c r="BQ120" s="40"/>
      <c r="BR120" s="40"/>
      <c r="BS120" s="40"/>
      <c r="BT120" s="40"/>
      <c r="BU120" s="40"/>
      <c r="BV120" s="40"/>
      <c r="BW120" s="40"/>
      <c r="BX120" s="40"/>
      <c r="BY120" s="40"/>
      <c r="BZ120" s="40"/>
      <c r="CA120" s="40"/>
      <c r="CB120" s="40"/>
      <c r="CC120" s="40"/>
      <c r="CD120" s="40"/>
      <c r="CE120" s="40"/>
      <c r="CF120" s="40"/>
      <c r="CG120" s="40"/>
      <c r="CH120" s="40"/>
      <c r="CI120" s="40"/>
      <c r="CJ120" s="40"/>
      <c r="CK120" s="40"/>
      <c r="CL120" s="40"/>
    </row>
    <row r="121" spans="1:90" x14ac:dyDescent="0.25">
      <c r="A121" s="40"/>
      <c r="B121" s="40"/>
      <c r="C121" s="40"/>
      <c r="D121" s="40"/>
      <c r="E121" s="40"/>
      <c r="F121" s="40"/>
      <c r="G121" s="40"/>
      <c r="H121" s="40"/>
      <c r="I121" s="40"/>
      <c r="J121" s="40"/>
      <c r="K121" s="40"/>
      <c r="L121" s="40"/>
      <c r="M121" s="40"/>
      <c r="N121" s="40"/>
      <c r="O121" s="40"/>
      <c r="P121" s="40"/>
      <c r="Q121" s="40"/>
      <c r="R121" s="40"/>
      <c r="S121" s="40"/>
      <c r="T121" s="40"/>
      <c r="U121" s="40"/>
      <c r="V121" s="40"/>
      <c r="W121" s="40"/>
      <c r="X121" s="40"/>
      <c r="Y121" s="40"/>
      <c r="Z121" s="40"/>
      <c r="AA121" s="40"/>
      <c r="AB121" s="40"/>
      <c r="AC121" s="40"/>
      <c r="AD121" s="40"/>
      <c r="AE121" s="40"/>
      <c r="AF121" s="40"/>
      <c r="AG121" s="40"/>
      <c r="AH121" s="40"/>
      <c r="AI121" s="40"/>
      <c r="AJ121" s="40"/>
      <c r="AK121" s="40"/>
      <c r="AL121" s="40"/>
      <c r="AM121" s="40"/>
      <c r="AN121" s="40"/>
      <c r="AO121" s="40"/>
      <c r="AP121" s="40"/>
      <c r="AQ121" s="40"/>
      <c r="AR121" s="40"/>
      <c r="AS121" s="40"/>
      <c r="AT121" s="40"/>
      <c r="AU121" s="40"/>
      <c r="AV121" s="40"/>
      <c r="AW121" s="40"/>
      <c r="AX121" s="40"/>
      <c r="AY121" s="40"/>
      <c r="AZ121" s="40"/>
      <c r="BA121" s="40"/>
      <c r="BB121" s="40"/>
      <c r="BC121" s="40"/>
      <c r="BD121" s="40"/>
      <c r="BE121" s="40"/>
      <c r="BF121" s="40"/>
      <c r="BG121" s="40"/>
      <c r="BH121" s="40"/>
      <c r="BI121" s="40"/>
      <c r="BJ121" s="40"/>
      <c r="BK121" s="40"/>
      <c r="BL121" s="40"/>
      <c r="BM121" s="40"/>
      <c r="BN121" s="40"/>
      <c r="BO121" s="40"/>
      <c r="BP121" s="40"/>
      <c r="BQ121" s="40"/>
      <c r="BR121" s="40"/>
      <c r="BS121" s="40"/>
      <c r="BT121" s="40"/>
      <c r="BU121" s="40"/>
      <c r="BV121" s="40"/>
      <c r="BW121" s="40"/>
      <c r="BX121" s="40"/>
      <c r="BY121" s="40"/>
      <c r="BZ121" s="40"/>
      <c r="CA121" s="40"/>
      <c r="CB121" s="40"/>
      <c r="CC121" s="40"/>
      <c r="CD121" s="40"/>
      <c r="CE121" s="40"/>
      <c r="CF121" s="40"/>
      <c r="CG121" s="40"/>
      <c r="CH121" s="40"/>
      <c r="CI121" s="40"/>
      <c r="CJ121" s="40"/>
      <c r="CK121" s="40"/>
      <c r="CL121" s="40"/>
    </row>
    <row r="122" spans="1:90" x14ac:dyDescent="0.25">
      <c r="A122" s="40"/>
      <c r="B122" s="40"/>
      <c r="C122" s="40"/>
      <c r="D122" s="40"/>
      <c r="E122" s="40"/>
      <c r="F122" s="40"/>
      <c r="G122" s="40"/>
      <c r="H122" s="40"/>
      <c r="I122" s="40"/>
      <c r="J122" s="40"/>
      <c r="K122" s="40"/>
      <c r="L122" s="40"/>
      <c r="M122" s="40"/>
      <c r="N122" s="40"/>
      <c r="O122" s="40"/>
      <c r="P122" s="40"/>
      <c r="Q122" s="40"/>
      <c r="R122" s="40"/>
      <c r="S122" s="40"/>
      <c r="T122" s="40"/>
      <c r="U122" s="40"/>
      <c r="V122" s="40"/>
      <c r="W122" s="40"/>
      <c r="X122" s="40"/>
      <c r="Y122" s="40"/>
      <c r="Z122" s="40"/>
      <c r="AA122" s="40"/>
      <c r="AB122" s="40"/>
      <c r="AC122" s="40"/>
      <c r="AD122" s="40"/>
      <c r="AE122" s="40"/>
      <c r="AF122" s="40"/>
      <c r="AG122" s="40"/>
      <c r="AH122" s="40"/>
      <c r="AI122" s="40"/>
      <c r="AJ122" s="40"/>
      <c r="AK122" s="40"/>
      <c r="AL122" s="40"/>
      <c r="AM122" s="40"/>
      <c r="AN122" s="40"/>
      <c r="AO122" s="40"/>
      <c r="AP122" s="40"/>
      <c r="AQ122" s="40"/>
      <c r="AR122" s="40"/>
      <c r="AS122" s="40"/>
      <c r="AT122" s="40"/>
      <c r="AU122" s="40"/>
      <c r="AV122" s="40"/>
      <c r="AW122" s="40"/>
      <c r="AX122" s="40"/>
      <c r="AY122" s="40"/>
      <c r="AZ122" s="40"/>
      <c r="BA122" s="40"/>
      <c r="BB122" s="40"/>
      <c r="BC122" s="40"/>
      <c r="BD122" s="40"/>
      <c r="BE122" s="40"/>
      <c r="BF122" s="40"/>
      <c r="BG122" s="40"/>
      <c r="BH122" s="40"/>
      <c r="BI122" s="40"/>
      <c r="BJ122" s="40"/>
      <c r="BK122" s="40"/>
      <c r="BL122" s="40"/>
      <c r="BM122" s="40"/>
      <c r="BN122" s="40"/>
      <c r="BO122" s="40"/>
      <c r="BP122" s="40"/>
      <c r="BQ122" s="40"/>
      <c r="BR122" s="40"/>
      <c r="BS122" s="40"/>
      <c r="BT122" s="40"/>
      <c r="BU122" s="40"/>
      <c r="BV122" s="40"/>
      <c r="BW122" s="40"/>
      <c r="BX122" s="40"/>
      <c r="BY122" s="40"/>
      <c r="BZ122" s="40"/>
      <c r="CA122" s="40"/>
      <c r="CB122" s="40"/>
      <c r="CC122" s="40"/>
      <c r="CD122" s="40"/>
      <c r="CE122" s="40"/>
      <c r="CF122" s="40"/>
      <c r="CG122" s="40"/>
      <c r="CH122" s="40"/>
      <c r="CI122" s="40"/>
      <c r="CJ122" s="40"/>
      <c r="CK122" s="40"/>
      <c r="CL122" s="40"/>
    </row>
    <row r="123" spans="1:90" x14ac:dyDescent="0.25">
      <c r="A123" s="40"/>
      <c r="B123" s="40"/>
      <c r="C123" s="40"/>
      <c r="D123" s="40"/>
      <c r="E123" s="40"/>
      <c r="F123" s="40"/>
      <c r="G123" s="40"/>
      <c r="H123" s="40"/>
      <c r="I123" s="40"/>
      <c r="J123" s="40"/>
      <c r="K123" s="40"/>
      <c r="L123" s="40"/>
      <c r="M123" s="40"/>
      <c r="N123" s="40"/>
      <c r="O123" s="40"/>
      <c r="P123" s="40"/>
      <c r="Q123" s="40"/>
      <c r="R123" s="40"/>
      <c r="S123" s="40"/>
      <c r="T123" s="40"/>
      <c r="U123" s="40"/>
      <c r="V123" s="40"/>
      <c r="W123" s="40"/>
      <c r="X123" s="40"/>
      <c r="Y123" s="40"/>
      <c r="Z123" s="40"/>
      <c r="AA123" s="40"/>
      <c r="AB123" s="40"/>
      <c r="AC123" s="40"/>
      <c r="AD123" s="40"/>
      <c r="AE123" s="40"/>
      <c r="AF123" s="40"/>
      <c r="AG123" s="40"/>
      <c r="AH123" s="40"/>
      <c r="AI123" s="40"/>
      <c r="AJ123" s="40"/>
      <c r="AK123" s="40"/>
      <c r="AL123" s="40"/>
      <c r="AM123" s="40"/>
      <c r="AN123" s="40"/>
      <c r="AO123" s="40"/>
      <c r="AP123" s="40"/>
      <c r="AQ123" s="40"/>
      <c r="AR123" s="40"/>
      <c r="AS123" s="40"/>
      <c r="AT123" s="40"/>
      <c r="AU123" s="40"/>
      <c r="AV123" s="40"/>
      <c r="AW123" s="40"/>
      <c r="AX123" s="40"/>
      <c r="AY123" s="40"/>
      <c r="AZ123" s="40"/>
      <c r="BA123" s="40"/>
      <c r="BB123" s="40"/>
      <c r="BC123" s="40"/>
      <c r="BD123" s="40"/>
      <c r="BE123" s="40"/>
      <c r="BF123" s="40"/>
      <c r="BG123" s="40"/>
      <c r="BH123" s="40"/>
      <c r="BI123" s="40"/>
      <c r="BJ123" s="40"/>
      <c r="BK123" s="40"/>
      <c r="BL123" s="40"/>
      <c r="BM123" s="40"/>
      <c r="BN123" s="40"/>
      <c r="BO123" s="40"/>
      <c r="BP123" s="40"/>
      <c r="BQ123" s="40"/>
      <c r="BR123" s="40"/>
      <c r="BS123" s="40"/>
      <c r="BT123" s="40"/>
      <c r="BU123" s="40"/>
      <c r="BV123" s="40"/>
      <c r="BW123" s="40"/>
      <c r="BX123" s="40"/>
      <c r="BY123" s="40"/>
      <c r="BZ123" s="40"/>
      <c r="CA123" s="40"/>
      <c r="CB123" s="40"/>
      <c r="CC123" s="40"/>
      <c r="CD123" s="40"/>
      <c r="CE123" s="40"/>
      <c r="CF123" s="40"/>
      <c r="CG123" s="40"/>
      <c r="CH123" s="40"/>
      <c r="CI123" s="40"/>
      <c r="CJ123" s="40"/>
      <c r="CK123" s="40"/>
      <c r="CL123" s="40"/>
    </row>
    <row r="124" spans="1:90" x14ac:dyDescent="0.25">
      <c r="A124" s="40"/>
      <c r="B124" s="40"/>
      <c r="C124" s="40"/>
      <c r="D124" s="40"/>
      <c r="E124" s="40"/>
      <c r="F124" s="40"/>
      <c r="G124" s="40"/>
      <c r="H124" s="40"/>
      <c r="I124" s="40"/>
      <c r="J124" s="40"/>
      <c r="K124" s="40"/>
      <c r="L124" s="40"/>
      <c r="M124" s="40"/>
      <c r="N124" s="40"/>
      <c r="O124" s="40"/>
      <c r="P124" s="40"/>
      <c r="Q124" s="40"/>
      <c r="R124" s="40"/>
      <c r="S124" s="40"/>
      <c r="T124" s="40"/>
      <c r="U124" s="40"/>
      <c r="V124" s="40"/>
      <c r="W124" s="40"/>
      <c r="X124" s="40"/>
      <c r="Y124" s="40"/>
      <c r="Z124" s="40"/>
      <c r="AA124" s="40"/>
      <c r="AB124" s="40"/>
      <c r="AC124" s="40"/>
      <c r="AD124" s="40"/>
      <c r="AE124" s="40"/>
      <c r="AF124" s="40"/>
      <c r="AG124" s="40"/>
      <c r="AH124" s="40"/>
      <c r="AI124" s="40"/>
      <c r="AJ124" s="40"/>
      <c r="AK124" s="40"/>
      <c r="AL124" s="40"/>
      <c r="AM124" s="40"/>
      <c r="AN124" s="40"/>
      <c r="AO124" s="40"/>
      <c r="AP124" s="40"/>
      <c r="AQ124" s="40"/>
      <c r="AR124" s="40"/>
      <c r="AS124" s="40"/>
      <c r="AT124" s="40"/>
      <c r="AU124" s="40"/>
      <c r="AV124" s="40"/>
      <c r="AW124" s="40"/>
      <c r="AX124" s="40"/>
      <c r="AY124" s="40"/>
      <c r="AZ124" s="40"/>
      <c r="BA124" s="40"/>
      <c r="BB124" s="40"/>
      <c r="BC124" s="40"/>
      <c r="BD124" s="40"/>
      <c r="BE124" s="40"/>
      <c r="BF124" s="40"/>
      <c r="BG124" s="40"/>
      <c r="BH124" s="40"/>
      <c r="BI124" s="40"/>
      <c r="BJ124" s="40"/>
      <c r="BK124" s="40"/>
      <c r="BL124" s="40"/>
      <c r="BM124" s="40"/>
      <c r="BN124" s="40"/>
      <c r="BO124" s="40"/>
      <c r="BP124" s="40"/>
      <c r="BQ124" s="40"/>
      <c r="BR124" s="40"/>
      <c r="BS124" s="40"/>
      <c r="BT124" s="40"/>
      <c r="BU124" s="40"/>
      <c r="BV124" s="40"/>
      <c r="BW124" s="40"/>
      <c r="BX124" s="40"/>
      <c r="BY124" s="40"/>
      <c r="BZ124" s="40"/>
      <c r="CA124" s="40"/>
      <c r="CB124" s="40"/>
      <c r="CC124" s="40"/>
      <c r="CD124" s="40"/>
      <c r="CE124" s="40"/>
      <c r="CF124" s="40"/>
      <c r="CG124" s="40"/>
      <c r="CH124" s="40"/>
      <c r="CI124" s="40"/>
      <c r="CJ124" s="40"/>
      <c r="CK124" s="40"/>
      <c r="CL124" s="40"/>
    </row>
    <row r="125" spans="1:90" x14ac:dyDescent="0.25">
      <c r="A125" s="40"/>
      <c r="B125" s="40"/>
      <c r="C125" s="40"/>
      <c r="D125" s="40"/>
      <c r="E125" s="40"/>
      <c r="F125" s="40"/>
      <c r="G125" s="40"/>
      <c r="H125" s="40"/>
      <c r="I125" s="40"/>
      <c r="J125" s="40"/>
      <c r="K125" s="40"/>
      <c r="L125" s="40"/>
      <c r="M125" s="40"/>
      <c r="N125" s="40"/>
      <c r="O125" s="40"/>
      <c r="P125" s="40"/>
      <c r="Q125" s="40"/>
      <c r="R125" s="40"/>
      <c r="S125" s="40"/>
      <c r="T125" s="40"/>
      <c r="U125" s="40"/>
      <c r="V125" s="40"/>
      <c r="W125" s="40"/>
      <c r="X125" s="40"/>
      <c r="Y125" s="40"/>
      <c r="Z125" s="40"/>
      <c r="AA125" s="40"/>
      <c r="AB125" s="40"/>
      <c r="AC125" s="40"/>
      <c r="AD125" s="40"/>
      <c r="AE125" s="40"/>
      <c r="AF125" s="40"/>
      <c r="AG125" s="40"/>
      <c r="AH125" s="40"/>
      <c r="AI125" s="40"/>
      <c r="AJ125" s="40"/>
      <c r="AK125" s="40"/>
      <c r="AL125" s="40"/>
      <c r="AM125" s="40"/>
      <c r="AN125" s="40"/>
      <c r="AO125" s="40"/>
      <c r="AP125" s="40"/>
      <c r="AQ125" s="40"/>
      <c r="AR125" s="40"/>
      <c r="AS125" s="40"/>
      <c r="AT125" s="40"/>
      <c r="AU125" s="40"/>
      <c r="AV125" s="40"/>
      <c r="AW125" s="40"/>
      <c r="AX125" s="40"/>
      <c r="AY125" s="40"/>
      <c r="AZ125" s="40"/>
      <c r="BA125" s="40"/>
      <c r="BB125" s="40"/>
      <c r="BC125" s="40"/>
      <c r="BD125" s="40"/>
      <c r="BE125" s="40"/>
      <c r="BF125" s="40"/>
      <c r="BG125" s="40"/>
      <c r="BH125" s="40"/>
      <c r="BI125" s="40"/>
      <c r="BJ125" s="40"/>
      <c r="BK125" s="40"/>
      <c r="BL125" s="40"/>
      <c r="BM125" s="40"/>
      <c r="BN125" s="40"/>
      <c r="BO125" s="40"/>
      <c r="BP125" s="40"/>
      <c r="BQ125" s="40"/>
      <c r="BR125" s="40"/>
      <c r="BS125" s="40"/>
      <c r="BT125" s="40"/>
      <c r="BU125" s="40"/>
      <c r="BV125" s="40"/>
      <c r="BW125" s="40"/>
      <c r="BX125" s="40"/>
      <c r="BY125" s="40"/>
      <c r="BZ125" s="40"/>
      <c r="CA125" s="40"/>
      <c r="CB125" s="40"/>
      <c r="CC125" s="40"/>
      <c r="CD125" s="40"/>
      <c r="CE125" s="40"/>
      <c r="CF125" s="40"/>
      <c r="CG125" s="40"/>
      <c r="CH125" s="40"/>
      <c r="CI125" s="40"/>
      <c r="CJ125" s="40"/>
      <c r="CK125" s="40"/>
      <c r="CL125" s="40"/>
    </row>
    <row r="126" spans="1:90" x14ac:dyDescent="0.25">
      <c r="A126" s="40"/>
      <c r="B126" s="40"/>
      <c r="C126" s="40"/>
      <c r="D126" s="40"/>
      <c r="E126" s="40"/>
      <c r="F126" s="40"/>
      <c r="G126" s="40"/>
      <c r="H126" s="40"/>
      <c r="I126" s="40"/>
      <c r="J126" s="40"/>
      <c r="K126" s="40"/>
      <c r="L126" s="40"/>
      <c r="M126" s="40"/>
      <c r="N126" s="40"/>
      <c r="O126" s="40"/>
      <c r="P126" s="40"/>
      <c r="Q126" s="40"/>
      <c r="R126" s="40"/>
      <c r="S126" s="40"/>
      <c r="T126" s="40"/>
      <c r="U126" s="40"/>
      <c r="V126" s="40"/>
      <c r="W126" s="40"/>
      <c r="X126" s="40"/>
      <c r="Y126" s="40"/>
      <c r="Z126" s="40"/>
      <c r="AA126" s="40"/>
      <c r="AB126" s="40"/>
      <c r="AC126" s="40"/>
      <c r="AD126" s="40"/>
      <c r="AE126" s="40"/>
      <c r="AF126" s="40"/>
      <c r="AG126" s="40"/>
      <c r="AH126" s="40"/>
      <c r="AI126" s="40"/>
      <c r="AJ126" s="40"/>
      <c r="AK126" s="40"/>
      <c r="AL126" s="40"/>
      <c r="AM126" s="40"/>
      <c r="AN126" s="40"/>
      <c r="AO126" s="40"/>
      <c r="AP126" s="40"/>
      <c r="AQ126" s="40"/>
      <c r="AR126" s="40"/>
      <c r="AS126" s="40"/>
      <c r="AT126" s="40"/>
      <c r="AU126" s="40"/>
      <c r="AV126" s="40"/>
      <c r="AW126" s="40"/>
      <c r="AX126" s="40"/>
      <c r="AY126" s="40"/>
      <c r="AZ126" s="40"/>
      <c r="BA126" s="40"/>
      <c r="BB126" s="40"/>
      <c r="BC126" s="40"/>
      <c r="BD126" s="40"/>
      <c r="BE126" s="40"/>
      <c r="BF126" s="40"/>
      <c r="BG126" s="40"/>
      <c r="BH126" s="40"/>
      <c r="BI126" s="40"/>
      <c r="BJ126" s="40"/>
      <c r="BK126" s="40"/>
      <c r="BL126" s="40"/>
      <c r="BM126" s="40"/>
      <c r="BN126" s="40"/>
      <c r="BO126" s="40"/>
      <c r="BP126" s="40"/>
      <c r="BQ126" s="40"/>
      <c r="BR126" s="40"/>
      <c r="BS126" s="40"/>
      <c r="BT126" s="40"/>
      <c r="BU126" s="40"/>
      <c r="BV126" s="40"/>
      <c r="BW126" s="40"/>
      <c r="BX126" s="40"/>
      <c r="BY126" s="40"/>
      <c r="BZ126" s="40"/>
      <c r="CA126" s="40"/>
      <c r="CB126" s="40"/>
      <c r="CC126" s="40"/>
      <c r="CD126" s="40"/>
      <c r="CE126" s="40"/>
      <c r="CF126" s="40"/>
      <c r="CG126" s="40"/>
      <c r="CH126" s="40"/>
      <c r="CI126" s="40"/>
      <c r="CJ126" s="40"/>
      <c r="CK126" s="40"/>
      <c r="CL126" s="40"/>
    </row>
    <row r="127" spans="1:90" x14ac:dyDescent="0.25">
      <c r="A127" s="40"/>
      <c r="B127" s="40"/>
      <c r="C127" s="40"/>
      <c r="D127" s="40"/>
      <c r="E127" s="40"/>
      <c r="F127" s="40"/>
      <c r="G127" s="40"/>
      <c r="H127" s="40"/>
      <c r="I127" s="40"/>
      <c r="J127" s="40"/>
      <c r="K127" s="40"/>
      <c r="L127" s="40"/>
      <c r="M127" s="40"/>
      <c r="N127" s="40"/>
      <c r="O127" s="40"/>
      <c r="P127" s="40"/>
      <c r="Q127" s="40"/>
      <c r="R127" s="40"/>
      <c r="S127" s="40"/>
      <c r="T127" s="40"/>
      <c r="U127" s="40"/>
      <c r="V127" s="40"/>
      <c r="W127" s="40"/>
      <c r="X127" s="40"/>
      <c r="Y127" s="40"/>
      <c r="Z127" s="40"/>
      <c r="AA127" s="40"/>
      <c r="AB127" s="40"/>
      <c r="AC127" s="40"/>
      <c r="AD127" s="40"/>
      <c r="AE127" s="40"/>
      <c r="AF127" s="40"/>
      <c r="AG127" s="40"/>
      <c r="AH127" s="40"/>
      <c r="AI127" s="40"/>
      <c r="AJ127" s="40"/>
      <c r="AK127" s="40"/>
      <c r="AL127" s="40"/>
      <c r="AM127" s="40"/>
      <c r="AN127" s="40"/>
      <c r="AO127" s="40"/>
      <c r="AP127" s="40"/>
      <c r="AQ127" s="40"/>
      <c r="AR127" s="40"/>
      <c r="AS127" s="40"/>
      <c r="AT127" s="40"/>
      <c r="AU127" s="40"/>
      <c r="AV127" s="40"/>
      <c r="AW127" s="40"/>
      <c r="AX127" s="40"/>
      <c r="AY127" s="40"/>
      <c r="AZ127" s="40"/>
      <c r="BA127" s="40"/>
      <c r="BB127" s="40"/>
      <c r="BC127" s="40"/>
      <c r="BD127" s="40"/>
      <c r="BE127" s="40"/>
      <c r="BF127" s="40"/>
      <c r="BG127" s="40"/>
      <c r="BH127" s="40"/>
      <c r="BI127" s="40"/>
      <c r="BJ127" s="40"/>
      <c r="BK127" s="40"/>
      <c r="BL127" s="40"/>
      <c r="BM127" s="40"/>
      <c r="BN127" s="40"/>
      <c r="BO127" s="40"/>
      <c r="BP127" s="40"/>
      <c r="BQ127" s="40"/>
      <c r="BR127" s="40"/>
      <c r="BS127" s="40"/>
      <c r="BT127" s="40"/>
      <c r="BU127" s="40"/>
      <c r="BV127" s="40"/>
      <c r="BW127" s="40"/>
      <c r="BX127" s="40"/>
      <c r="BY127" s="40"/>
      <c r="BZ127" s="40"/>
      <c r="CA127" s="40"/>
      <c r="CB127" s="40"/>
      <c r="CC127" s="40"/>
      <c r="CD127" s="40"/>
      <c r="CE127" s="40"/>
      <c r="CF127" s="40"/>
      <c r="CG127" s="40"/>
      <c r="CH127" s="40"/>
      <c r="CI127" s="40"/>
      <c r="CJ127" s="40"/>
      <c r="CK127" s="40"/>
      <c r="CL127" s="40"/>
    </row>
    <row r="128" spans="1:90" x14ac:dyDescent="0.25">
      <c r="A128" s="40"/>
      <c r="B128" s="40"/>
      <c r="C128" s="40"/>
      <c r="D128" s="40"/>
      <c r="E128" s="40"/>
      <c r="F128" s="40"/>
      <c r="G128" s="40"/>
      <c r="H128" s="40"/>
      <c r="I128" s="40"/>
      <c r="J128" s="40"/>
      <c r="K128" s="40"/>
      <c r="L128" s="40"/>
      <c r="M128" s="40"/>
      <c r="N128" s="40"/>
      <c r="O128" s="40"/>
      <c r="P128" s="40"/>
      <c r="Q128" s="40"/>
      <c r="R128" s="40"/>
      <c r="S128" s="40"/>
      <c r="T128" s="40"/>
      <c r="U128" s="40"/>
      <c r="V128" s="40"/>
      <c r="W128" s="40"/>
      <c r="X128" s="40"/>
      <c r="Y128" s="40"/>
      <c r="Z128" s="40"/>
      <c r="AA128" s="40"/>
      <c r="AB128" s="40"/>
      <c r="AC128" s="40"/>
      <c r="AD128" s="40"/>
      <c r="AE128" s="40"/>
      <c r="AF128" s="40"/>
      <c r="AG128" s="40"/>
      <c r="AH128" s="40"/>
      <c r="AI128" s="40"/>
      <c r="AJ128" s="40"/>
      <c r="AK128" s="40"/>
      <c r="AL128" s="40"/>
      <c r="AM128" s="40"/>
      <c r="AN128" s="40"/>
      <c r="AO128" s="40"/>
      <c r="AP128" s="40"/>
      <c r="AQ128" s="40"/>
      <c r="AR128" s="40"/>
      <c r="AS128" s="40"/>
      <c r="AT128" s="40"/>
      <c r="AU128" s="40"/>
      <c r="AV128" s="40"/>
      <c r="AW128" s="40"/>
      <c r="AX128" s="40"/>
      <c r="AY128" s="40"/>
      <c r="AZ128" s="40"/>
      <c r="BA128" s="40"/>
      <c r="BB128" s="40"/>
      <c r="BC128" s="40"/>
      <c r="BD128" s="40"/>
      <c r="BE128" s="40"/>
      <c r="BF128" s="40"/>
      <c r="BG128" s="40"/>
      <c r="BH128" s="40"/>
      <c r="BI128" s="40"/>
      <c r="BJ128" s="40"/>
      <c r="BK128" s="40"/>
      <c r="BL128" s="40"/>
      <c r="BM128" s="40"/>
      <c r="BN128" s="40"/>
      <c r="BO128" s="40"/>
      <c r="BP128" s="40"/>
      <c r="BQ128" s="40"/>
      <c r="BR128" s="40"/>
      <c r="BS128" s="40"/>
      <c r="BT128" s="40"/>
      <c r="BU128" s="40"/>
      <c r="BV128" s="40"/>
      <c r="BW128" s="40"/>
      <c r="BX128" s="40"/>
      <c r="BY128" s="40"/>
      <c r="BZ128" s="40"/>
      <c r="CA128" s="40"/>
      <c r="CB128" s="40"/>
      <c r="CC128" s="40"/>
      <c r="CD128" s="40"/>
      <c r="CE128" s="40"/>
      <c r="CF128" s="40"/>
      <c r="CG128" s="40"/>
      <c r="CH128" s="40"/>
      <c r="CI128" s="40"/>
      <c r="CJ128" s="40"/>
      <c r="CK128" s="40"/>
      <c r="CL128" s="40"/>
    </row>
    <row r="129" spans="1:90" x14ac:dyDescent="0.25">
      <c r="A129" s="40"/>
      <c r="B129" s="40"/>
      <c r="C129" s="40"/>
      <c r="D129" s="40"/>
      <c r="E129" s="40"/>
      <c r="F129" s="40"/>
      <c r="G129" s="40"/>
      <c r="H129" s="40"/>
      <c r="I129" s="40"/>
      <c r="J129" s="40"/>
      <c r="K129" s="40"/>
      <c r="L129" s="40"/>
      <c r="M129" s="40"/>
      <c r="N129" s="40"/>
      <c r="O129" s="40"/>
      <c r="P129" s="40"/>
      <c r="Q129" s="40"/>
      <c r="R129" s="40"/>
      <c r="S129" s="40"/>
      <c r="T129" s="40"/>
      <c r="U129" s="40"/>
      <c r="V129" s="40"/>
      <c r="W129" s="40"/>
      <c r="X129" s="40"/>
      <c r="Y129" s="40"/>
      <c r="Z129" s="40"/>
      <c r="AA129" s="40"/>
      <c r="AB129" s="40"/>
      <c r="AC129" s="40"/>
      <c r="AD129" s="40"/>
      <c r="AE129" s="40"/>
      <c r="AF129" s="40"/>
      <c r="AG129" s="40"/>
      <c r="AH129" s="40"/>
      <c r="AI129" s="40"/>
      <c r="AJ129" s="40"/>
      <c r="AK129" s="40"/>
      <c r="AL129" s="40"/>
      <c r="AM129" s="40"/>
      <c r="AN129" s="40"/>
      <c r="AO129" s="40"/>
      <c r="AP129" s="40"/>
      <c r="AQ129" s="40"/>
      <c r="AR129" s="40"/>
      <c r="AS129" s="40"/>
      <c r="AT129" s="40"/>
      <c r="AU129" s="40"/>
      <c r="AV129" s="40"/>
      <c r="AW129" s="40"/>
      <c r="AX129" s="40"/>
      <c r="AY129" s="40"/>
      <c r="AZ129" s="40"/>
      <c r="BA129" s="40"/>
      <c r="BB129" s="40"/>
      <c r="BC129" s="40"/>
      <c r="BD129" s="40"/>
      <c r="BE129" s="40"/>
      <c r="BF129" s="40"/>
      <c r="BG129" s="40"/>
      <c r="BH129" s="40"/>
      <c r="BI129" s="40"/>
      <c r="BJ129" s="40"/>
      <c r="BK129" s="40"/>
      <c r="BL129" s="40"/>
      <c r="BM129" s="40"/>
      <c r="BN129" s="40"/>
      <c r="BO129" s="40"/>
      <c r="BP129" s="40"/>
      <c r="BQ129" s="40"/>
      <c r="BR129" s="40"/>
      <c r="BS129" s="40"/>
      <c r="BT129" s="40"/>
      <c r="BU129" s="40"/>
      <c r="BV129" s="40"/>
      <c r="BW129" s="40"/>
      <c r="BX129" s="40"/>
      <c r="BY129" s="40"/>
      <c r="BZ129" s="40"/>
      <c r="CA129" s="40"/>
      <c r="CB129" s="40"/>
      <c r="CC129" s="40"/>
      <c r="CD129" s="40"/>
      <c r="CE129" s="40"/>
      <c r="CF129" s="40"/>
      <c r="CG129" s="40"/>
      <c r="CH129" s="40"/>
      <c r="CI129" s="40"/>
      <c r="CJ129" s="40"/>
      <c r="CK129" s="40"/>
      <c r="CL129" s="40"/>
    </row>
    <row r="130" spans="1:90" x14ac:dyDescent="0.25">
      <c r="A130" s="40"/>
      <c r="B130" s="40"/>
      <c r="C130" s="40"/>
      <c r="D130" s="40"/>
      <c r="E130" s="40"/>
      <c r="F130" s="40"/>
      <c r="G130" s="40"/>
      <c r="H130" s="40"/>
      <c r="I130" s="40"/>
      <c r="J130" s="40"/>
      <c r="K130" s="40"/>
      <c r="L130" s="40"/>
      <c r="M130" s="40"/>
      <c r="N130" s="40"/>
      <c r="O130" s="40"/>
      <c r="P130" s="40"/>
      <c r="Q130" s="40"/>
      <c r="R130" s="40"/>
      <c r="S130" s="40"/>
      <c r="T130" s="40"/>
      <c r="U130" s="40"/>
      <c r="V130" s="40"/>
      <c r="W130" s="40"/>
      <c r="X130" s="40"/>
      <c r="Y130" s="40"/>
      <c r="Z130" s="40"/>
      <c r="AA130" s="40"/>
      <c r="AB130" s="40"/>
      <c r="AC130" s="40"/>
      <c r="AD130" s="40"/>
      <c r="AE130" s="40"/>
      <c r="AF130" s="40"/>
      <c r="AG130" s="40"/>
      <c r="AH130" s="40"/>
      <c r="AI130" s="40"/>
      <c r="AJ130" s="40"/>
      <c r="AK130" s="40"/>
      <c r="AL130" s="40"/>
      <c r="AM130" s="40"/>
      <c r="AN130" s="40"/>
      <c r="AO130" s="40"/>
      <c r="AP130" s="40"/>
      <c r="AQ130" s="40"/>
      <c r="AR130" s="40"/>
      <c r="AS130" s="40"/>
      <c r="AT130" s="40"/>
      <c r="AU130" s="40"/>
      <c r="AV130" s="40"/>
      <c r="AW130" s="40"/>
      <c r="AX130" s="40"/>
      <c r="AY130" s="40"/>
      <c r="AZ130" s="40"/>
      <c r="BA130" s="40"/>
      <c r="BB130" s="40"/>
      <c r="BC130" s="40"/>
      <c r="BD130" s="40"/>
      <c r="BE130" s="40"/>
      <c r="BF130" s="40"/>
      <c r="BG130" s="40"/>
      <c r="BH130" s="40"/>
      <c r="BI130" s="40"/>
      <c r="BJ130" s="40"/>
      <c r="BK130" s="40"/>
      <c r="BL130" s="40"/>
      <c r="BM130" s="40"/>
      <c r="BN130" s="40"/>
      <c r="BO130" s="40"/>
      <c r="BP130" s="40"/>
      <c r="BQ130" s="40"/>
      <c r="BR130" s="40"/>
      <c r="BS130" s="40"/>
      <c r="BT130" s="40"/>
      <c r="BU130" s="40"/>
      <c r="BV130" s="40"/>
      <c r="BW130" s="40"/>
      <c r="BX130" s="40"/>
      <c r="BY130" s="40"/>
      <c r="BZ130" s="40"/>
      <c r="CA130" s="40"/>
      <c r="CB130" s="40"/>
      <c r="CC130" s="40"/>
      <c r="CD130" s="40"/>
      <c r="CE130" s="40"/>
      <c r="CF130" s="40"/>
      <c r="CG130" s="40"/>
      <c r="CH130" s="40"/>
      <c r="CI130" s="40"/>
      <c r="CJ130" s="40"/>
      <c r="CK130" s="40"/>
      <c r="CL130" s="40"/>
    </row>
    <row r="131" spans="1:90" x14ac:dyDescent="0.25">
      <c r="A131" s="40"/>
      <c r="B131" s="40"/>
      <c r="C131" s="40"/>
      <c r="D131" s="40"/>
      <c r="E131" s="40"/>
      <c r="F131" s="40"/>
      <c r="G131" s="40"/>
      <c r="H131" s="40"/>
      <c r="I131" s="40"/>
      <c r="J131" s="40"/>
      <c r="K131" s="40"/>
      <c r="L131" s="40"/>
      <c r="M131" s="40"/>
      <c r="N131" s="40"/>
      <c r="O131" s="40"/>
      <c r="P131" s="40"/>
      <c r="Q131" s="40"/>
      <c r="R131" s="40"/>
      <c r="S131" s="40"/>
      <c r="T131" s="40"/>
      <c r="U131" s="40"/>
      <c r="V131" s="40"/>
      <c r="W131" s="40"/>
      <c r="X131" s="40"/>
      <c r="Y131" s="40"/>
      <c r="Z131" s="40"/>
      <c r="AA131" s="40"/>
      <c r="AB131" s="40"/>
      <c r="AC131" s="40"/>
      <c r="AD131" s="40"/>
      <c r="AE131" s="40"/>
      <c r="AF131" s="40"/>
      <c r="AG131" s="40"/>
      <c r="AH131" s="40"/>
      <c r="AI131" s="40"/>
      <c r="AJ131" s="40"/>
      <c r="AK131" s="40"/>
      <c r="AL131" s="40"/>
      <c r="AM131" s="40"/>
      <c r="AN131" s="40"/>
      <c r="AO131" s="40"/>
      <c r="AP131" s="40"/>
      <c r="AQ131" s="40"/>
      <c r="AR131" s="40"/>
      <c r="AS131" s="40"/>
      <c r="AT131" s="40"/>
      <c r="AU131" s="40"/>
      <c r="AV131" s="40"/>
      <c r="AW131" s="40"/>
      <c r="AX131" s="40"/>
      <c r="AY131" s="40"/>
      <c r="AZ131" s="40"/>
      <c r="BA131" s="40"/>
      <c r="BB131" s="40"/>
      <c r="BC131" s="40"/>
      <c r="BD131" s="40"/>
      <c r="BE131" s="40"/>
      <c r="BF131" s="40"/>
      <c r="BG131" s="40"/>
      <c r="BH131" s="40"/>
      <c r="BI131" s="40"/>
      <c r="BJ131" s="40"/>
      <c r="BK131" s="40"/>
      <c r="BL131" s="40"/>
      <c r="BM131" s="40"/>
      <c r="BN131" s="40"/>
      <c r="BO131" s="40"/>
      <c r="BP131" s="40"/>
      <c r="BQ131" s="40"/>
      <c r="BR131" s="40"/>
      <c r="BS131" s="40"/>
      <c r="BT131" s="40"/>
      <c r="BU131" s="40"/>
      <c r="BV131" s="40"/>
      <c r="BW131" s="40"/>
      <c r="BX131" s="40"/>
      <c r="BY131" s="40"/>
      <c r="BZ131" s="40"/>
      <c r="CA131" s="40"/>
      <c r="CB131" s="40"/>
      <c r="CC131" s="40"/>
      <c r="CD131" s="40"/>
      <c r="CE131" s="40"/>
      <c r="CF131" s="40"/>
      <c r="CG131" s="40"/>
      <c r="CH131" s="40"/>
      <c r="CI131" s="40"/>
      <c r="CJ131" s="40"/>
      <c r="CK131" s="40"/>
      <c r="CL131" s="40"/>
    </row>
    <row r="132" spans="1:90" x14ac:dyDescent="0.25">
      <c r="A132" s="40"/>
      <c r="B132" s="40"/>
      <c r="C132" s="40"/>
      <c r="D132" s="40"/>
      <c r="E132" s="40"/>
      <c r="F132" s="40"/>
      <c r="G132" s="40"/>
      <c r="H132" s="40"/>
      <c r="I132" s="40"/>
      <c r="J132" s="40"/>
      <c r="K132" s="40"/>
      <c r="L132" s="40"/>
      <c r="M132" s="40"/>
      <c r="N132" s="40"/>
      <c r="O132" s="40"/>
      <c r="P132" s="40"/>
      <c r="Q132" s="40"/>
      <c r="R132" s="40"/>
      <c r="S132" s="40"/>
      <c r="T132" s="40"/>
      <c r="U132" s="40"/>
      <c r="V132" s="40"/>
      <c r="W132" s="40"/>
      <c r="X132" s="40"/>
      <c r="Y132" s="40"/>
      <c r="Z132" s="40"/>
      <c r="AA132" s="40"/>
      <c r="AB132" s="40"/>
      <c r="AC132" s="40"/>
      <c r="AD132" s="40"/>
      <c r="AE132" s="40"/>
      <c r="AF132" s="40"/>
      <c r="AG132" s="40"/>
      <c r="AH132" s="40"/>
      <c r="AI132" s="40"/>
      <c r="AJ132" s="40"/>
      <c r="AK132" s="40"/>
      <c r="AL132" s="40"/>
      <c r="AM132" s="40"/>
      <c r="AN132" s="40"/>
      <c r="AO132" s="40"/>
      <c r="AP132" s="40"/>
      <c r="AQ132" s="40"/>
      <c r="AR132" s="40"/>
      <c r="AS132" s="40"/>
      <c r="AT132" s="40"/>
      <c r="AU132" s="40"/>
      <c r="AV132" s="40"/>
      <c r="AW132" s="40"/>
      <c r="AX132" s="40"/>
      <c r="AY132" s="40"/>
      <c r="AZ132" s="40"/>
      <c r="BA132" s="40"/>
      <c r="BB132" s="40"/>
      <c r="BC132" s="40"/>
      <c r="BD132" s="40"/>
      <c r="BE132" s="40"/>
      <c r="BF132" s="40"/>
      <c r="BG132" s="40"/>
      <c r="BH132" s="40"/>
      <c r="BI132" s="40"/>
      <c r="BJ132" s="40"/>
      <c r="BK132" s="40"/>
      <c r="BL132" s="40"/>
      <c r="BM132" s="40"/>
      <c r="BN132" s="40"/>
      <c r="BO132" s="40"/>
      <c r="BP132" s="40"/>
      <c r="BQ132" s="40"/>
      <c r="BR132" s="40"/>
      <c r="BS132" s="40"/>
      <c r="BT132" s="40"/>
      <c r="BU132" s="40"/>
      <c r="BV132" s="40"/>
      <c r="BW132" s="40"/>
      <c r="BX132" s="40"/>
      <c r="BY132" s="40"/>
      <c r="BZ132" s="40"/>
      <c r="CA132" s="40"/>
      <c r="CB132" s="40"/>
      <c r="CC132" s="40"/>
      <c r="CD132" s="40"/>
      <c r="CE132" s="40"/>
      <c r="CF132" s="40"/>
      <c r="CG132" s="40"/>
      <c r="CH132" s="40"/>
      <c r="CI132" s="40"/>
      <c r="CJ132" s="40"/>
      <c r="CK132" s="40"/>
      <c r="CL132" s="40"/>
    </row>
    <row r="133" spans="1:90" x14ac:dyDescent="0.25">
      <c r="A133" s="40"/>
      <c r="B133" s="40"/>
      <c r="C133" s="40"/>
      <c r="D133" s="40"/>
      <c r="E133" s="40"/>
      <c r="F133" s="40"/>
      <c r="G133" s="40"/>
      <c r="H133" s="40"/>
      <c r="I133" s="40"/>
      <c r="J133" s="40"/>
      <c r="K133" s="40"/>
      <c r="L133" s="40"/>
      <c r="M133" s="40"/>
      <c r="N133" s="40"/>
      <c r="O133" s="40"/>
      <c r="P133" s="40"/>
      <c r="Q133" s="40"/>
      <c r="R133" s="40"/>
      <c r="S133" s="40"/>
      <c r="T133" s="40"/>
      <c r="U133" s="40"/>
      <c r="V133" s="40"/>
      <c r="W133" s="40"/>
      <c r="X133" s="40"/>
      <c r="Y133" s="40"/>
      <c r="Z133" s="40"/>
      <c r="AA133" s="40"/>
      <c r="AB133" s="40"/>
      <c r="AC133" s="40"/>
      <c r="AD133" s="40"/>
      <c r="AE133" s="40"/>
      <c r="AF133" s="40"/>
      <c r="AG133" s="40"/>
      <c r="AH133" s="40"/>
      <c r="AI133" s="40"/>
      <c r="AJ133" s="40"/>
      <c r="AK133" s="40"/>
      <c r="AL133" s="40"/>
      <c r="AM133" s="40"/>
      <c r="AN133" s="40"/>
      <c r="AO133" s="40"/>
      <c r="AP133" s="40"/>
      <c r="AQ133" s="40"/>
      <c r="AR133" s="40"/>
      <c r="AS133" s="40"/>
      <c r="AT133" s="40"/>
      <c r="AU133" s="40"/>
      <c r="AV133" s="40"/>
      <c r="AW133" s="40"/>
      <c r="AX133" s="40"/>
      <c r="AY133" s="40"/>
      <c r="AZ133" s="40"/>
      <c r="BA133" s="40"/>
      <c r="BB133" s="40"/>
      <c r="BC133" s="40"/>
      <c r="BD133" s="40"/>
      <c r="BE133" s="40"/>
      <c r="BF133" s="40"/>
      <c r="BG133" s="40"/>
      <c r="BH133" s="40"/>
      <c r="BI133" s="40"/>
      <c r="BJ133" s="40"/>
      <c r="BK133" s="40"/>
      <c r="BL133" s="40"/>
      <c r="BM133" s="40"/>
      <c r="BN133" s="40"/>
      <c r="BO133" s="40"/>
      <c r="BP133" s="40"/>
      <c r="BQ133" s="40"/>
      <c r="BR133" s="40"/>
      <c r="BS133" s="40"/>
      <c r="BT133" s="40"/>
      <c r="BU133" s="40"/>
      <c r="BV133" s="40"/>
      <c r="BW133" s="40"/>
      <c r="BX133" s="40"/>
      <c r="BY133" s="40"/>
      <c r="BZ133" s="40"/>
      <c r="CA133" s="40"/>
      <c r="CB133" s="40"/>
      <c r="CC133" s="40"/>
      <c r="CD133" s="40"/>
      <c r="CE133" s="40"/>
      <c r="CF133" s="40"/>
      <c r="CG133" s="40"/>
      <c r="CH133" s="40"/>
      <c r="CI133" s="40"/>
      <c r="CJ133" s="40"/>
      <c r="CK133" s="40"/>
      <c r="CL133" s="40"/>
    </row>
    <row r="134" spans="1:90" x14ac:dyDescent="0.25">
      <c r="A134" s="40"/>
      <c r="B134" s="40"/>
      <c r="C134" s="40"/>
      <c r="D134" s="40"/>
      <c r="E134" s="40"/>
      <c r="F134" s="40"/>
      <c r="G134" s="40"/>
      <c r="H134" s="40"/>
      <c r="I134" s="40"/>
      <c r="J134" s="40"/>
      <c r="K134" s="40"/>
      <c r="L134" s="40"/>
      <c r="M134" s="40"/>
      <c r="N134" s="40"/>
      <c r="O134" s="40"/>
      <c r="P134" s="40"/>
      <c r="Q134" s="40"/>
      <c r="R134" s="40"/>
      <c r="S134" s="40"/>
      <c r="T134" s="40"/>
      <c r="U134" s="40"/>
      <c r="V134" s="40"/>
      <c r="W134" s="40"/>
      <c r="X134" s="40"/>
      <c r="Y134" s="40"/>
      <c r="Z134" s="40"/>
      <c r="AA134" s="40"/>
      <c r="AB134" s="40"/>
      <c r="AC134" s="40"/>
      <c r="AD134" s="40"/>
      <c r="AE134" s="40"/>
      <c r="AF134" s="40"/>
      <c r="AG134" s="40"/>
      <c r="AH134" s="40"/>
      <c r="AI134" s="40"/>
      <c r="AJ134" s="40"/>
      <c r="AK134" s="40"/>
      <c r="AL134" s="40"/>
      <c r="AM134" s="40"/>
      <c r="AN134" s="40"/>
      <c r="AO134" s="40"/>
      <c r="AP134" s="40"/>
      <c r="AQ134" s="40"/>
      <c r="AR134" s="40"/>
      <c r="AS134" s="40"/>
      <c r="AT134" s="40"/>
      <c r="AU134" s="40"/>
      <c r="AV134" s="40"/>
      <c r="AW134" s="40"/>
      <c r="AX134" s="40"/>
      <c r="AY134" s="40"/>
      <c r="AZ134" s="40"/>
      <c r="BA134" s="40"/>
      <c r="BB134" s="40"/>
      <c r="BC134" s="40"/>
      <c r="BD134" s="40"/>
      <c r="BE134" s="40"/>
      <c r="BF134" s="40"/>
      <c r="BG134" s="40"/>
      <c r="BH134" s="40"/>
      <c r="BI134" s="40"/>
      <c r="BJ134" s="40"/>
      <c r="BK134" s="40"/>
      <c r="BL134" s="40"/>
      <c r="BM134" s="40"/>
      <c r="BN134" s="40"/>
      <c r="BO134" s="40"/>
      <c r="BP134" s="40"/>
      <c r="BQ134" s="40"/>
      <c r="BR134" s="40"/>
      <c r="BS134" s="40"/>
      <c r="BT134" s="40"/>
      <c r="BU134" s="40"/>
      <c r="BV134" s="40"/>
      <c r="BW134" s="40"/>
      <c r="BX134" s="40"/>
      <c r="BY134" s="40"/>
      <c r="BZ134" s="40"/>
      <c r="CA134" s="40"/>
      <c r="CB134" s="40"/>
      <c r="CC134" s="40"/>
      <c r="CD134" s="40"/>
      <c r="CE134" s="40"/>
      <c r="CF134" s="40"/>
      <c r="CG134" s="40"/>
      <c r="CH134" s="40"/>
      <c r="CI134" s="40"/>
      <c r="CJ134" s="40"/>
      <c r="CK134" s="40"/>
      <c r="CL134" s="40"/>
    </row>
    <row r="135" spans="1:90" x14ac:dyDescent="0.25">
      <c r="A135" s="40"/>
      <c r="B135" s="40"/>
      <c r="C135" s="40"/>
      <c r="D135" s="40"/>
      <c r="E135" s="40"/>
      <c r="F135" s="40"/>
      <c r="G135" s="40"/>
      <c r="H135" s="40"/>
      <c r="I135" s="40"/>
      <c r="J135" s="40"/>
      <c r="K135" s="40"/>
      <c r="L135" s="40"/>
      <c r="M135" s="40"/>
      <c r="N135" s="40"/>
      <c r="O135" s="40"/>
      <c r="P135" s="40"/>
      <c r="Q135" s="40"/>
      <c r="R135" s="40"/>
      <c r="S135" s="40"/>
      <c r="T135" s="40"/>
      <c r="U135" s="40"/>
      <c r="V135" s="40"/>
      <c r="W135" s="40"/>
      <c r="X135" s="40"/>
      <c r="Y135" s="40"/>
      <c r="Z135" s="40"/>
      <c r="AA135" s="40"/>
      <c r="AB135" s="40"/>
      <c r="AC135" s="40"/>
      <c r="AD135" s="40"/>
      <c r="AE135" s="40"/>
      <c r="AF135" s="40"/>
      <c r="AG135" s="40"/>
      <c r="AH135" s="40"/>
      <c r="AI135" s="40"/>
      <c r="AJ135" s="40"/>
      <c r="AK135" s="40"/>
      <c r="AL135" s="40"/>
      <c r="AM135" s="40"/>
      <c r="AN135" s="40"/>
      <c r="AO135" s="40"/>
      <c r="AP135" s="40"/>
      <c r="AQ135" s="40"/>
      <c r="AR135" s="40"/>
      <c r="AS135" s="40"/>
      <c r="AT135" s="40"/>
      <c r="AU135" s="40"/>
      <c r="AV135" s="40"/>
      <c r="AW135" s="40"/>
      <c r="AX135" s="40"/>
      <c r="AY135" s="40"/>
      <c r="AZ135" s="40"/>
      <c r="BA135" s="40"/>
      <c r="BB135" s="40"/>
      <c r="BC135" s="40"/>
      <c r="BD135" s="40"/>
      <c r="BE135" s="40"/>
      <c r="BF135" s="40"/>
      <c r="BG135" s="40"/>
      <c r="BH135" s="40"/>
      <c r="BI135" s="40"/>
      <c r="BJ135" s="40"/>
      <c r="BK135" s="40"/>
      <c r="BL135" s="40"/>
      <c r="BM135" s="40"/>
      <c r="BN135" s="40"/>
      <c r="BO135" s="40"/>
      <c r="BP135" s="40"/>
      <c r="BQ135" s="40"/>
      <c r="BR135" s="40"/>
      <c r="BS135" s="40"/>
      <c r="BT135" s="40"/>
      <c r="BU135" s="40"/>
      <c r="BV135" s="40"/>
      <c r="BW135" s="40"/>
      <c r="BX135" s="40"/>
      <c r="BY135" s="40"/>
      <c r="BZ135" s="40"/>
      <c r="CA135" s="40"/>
      <c r="CB135" s="40"/>
      <c r="CC135" s="40"/>
      <c r="CD135" s="40"/>
      <c r="CE135" s="40"/>
      <c r="CF135" s="40"/>
      <c r="CG135" s="40"/>
      <c r="CH135" s="40"/>
      <c r="CI135" s="40"/>
      <c r="CJ135" s="40"/>
      <c r="CK135" s="40"/>
      <c r="CL135" s="40"/>
    </row>
    <row r="136" spans="1:90" x14ac:dyDescent="0.25">
      <c r="A136" s="40"/>
      <c r="B136" s="40"/>
      <c r="C136" s="40"/>
      <c r="D136" s="40"/>
      <c r="E136" s="40"/>
      <c r="F136" s="40"/>
      <c r="G136" s="40"/>
      <c r="H136" s="40"/>
      <c r="I136" s="40"/>
      <c r="J136" s="40"/>
      <c r="K136" s="40"/>
      <c r="L136" s="40"/>
      <c r="M136" s="40"/>
      <c r="N136" s="40"/>
      <c r="O136" s="40"/>
      <c r="P136" s="40"/>
      <c r="Q136" s="40"/>
      <c r="R136" s="40"/>
      <c r="S136" s="40"/>
      <c r="T136" s="40"/>
      <c r="U136" s="40"/>
      <c r="V136" s="40"/>
      <c r="W136" s="40"/>
      <c r="X136" s="40"/>
      <c r="Y136" s="40"/>
      <c r="Z136" s="40"/>
      <c r="AA136" s="40"/>
      <c r="AB136" s="40"/>
      <c r="AC136" s="40"/>
      <c r="AD136" s="40"/>
      <c r="AE136" s="40"/>
      <c r="AF136" s="40"/>
      <c r="AG136" s="40"/>
      <c r="AH136" s="40"/>
      <c r="AI136" s="40"/>
      <c r="AJ136" s="40"/>
      <c r="AK136" s="40"/>
      <c r="AL136" s="40"/>
      <c r="AM136" s="40"/>
      <c r="AN136" s="40"/>
      <c r="AO136" s="40"/>
      <c r="AP136" s="40"/>
      <c r="AQ136" s="40"/>
      <c r="AR136" s="40"/>
      <c r="AS136" s="40"/>
      <c r="AT136" s="40"/>
      <c r="AU136" s="40"/>
      <c r="AV136" s="40"/>
      <c r="AW136" s="40"/>
      <c r="AX136" s="40"/>
      <c r="AY136" s="40"/>
      <c r="AZ136" s="40"/>
      <c r="BA136" s="40"/>
      <c r="BB136" s="40"/>
      <c r="BC136" s="40"/>
      <c r="BD136" s="40"/>
      <c r="BE136" s="40"/>
      <c r="BF136" s="40"/>
      <c r="BG136" s="40"/>
      <c r="BH136" s="40"/>
      <c r="BI136" s="40"/>
      <c r="BJ136" s="40"/>
      <c r="BK136" s="40"/>
      <c r="BL136" s="40"/>
      <c r="BM136" s="40"/>
      <c r="BN136" s="40"/>
      <c r="BO136" s="40"/>
      <c r="BP136" s="40"/>
      <c r="BQ136" s="40"/>
      <c r="BR136" s="40"/>
      <c r="BS136" s="40"/>
      <c r="BT136" s="40"/>
      <c r="BU136" s="40"/>
      <c r="BV136" s="40"/>
      <c r="BW136" s="40"/>
      <c r="BX136" s="40"/>
      <c r="BY136" s="40"/>
      <c r="BZ136" s="40"/>
      <c r="CA136" s="40"/>
      <c r="CB136" s="40"/>
      <c r="CC136" s="40"/>
      <c r="CD136" s="40"/>
      <c r="CE136" s="40"/>
      <c r="CF136" s="40"/>
      <c r="CG136" s="40"/>
      <c r="CH136" s="40"/>
      <c r="CI136" s="40"/>
      <c r="CJ136" s="40"/>
      <c r="CK136" s="40"/>
      <c r="CL136" s="40"/>
    </row>
    <row r="137" spans="1:90" x14ac:dyDescent="0.25">
      <c r="A137" s="40"/>
      <c r="B137" s="40"/>
      <c r="C137" s="40"/>
      <c r="D137" s="40"/>
      <c r="E137" s="40"/>
      <c r="F137" s="40"/>
      <c r="G137" s="40"/>
      <c r="H137" s="40"/>
      <c r="I137" s="40"/>
      <c r="J137" s="40"/>
      <c r="K137" s="40"/>
      <c r="L137" s="40"/>
      <c r="M137" s="40"/>
      <c r="N137" s="40"/>
      <c r="O137" s="40"/>
      <c r="P137" s="40"/>
      <c r="Q137" s="40"/>
      <c r="R137" s="40"/>
      <c r="S137" s="40"/>
      <c r="T137" s="40"/>
      <c r="U137" s="40"/>
      <c r="V137" s="40"/>
      <c r="W137" s="40"/>
      <c r="X137" s="40"/>
      <c r="Y137" s="40"/>
      <c r="Z137" s="40"/>
      <c r="AA137" s="40"/>
      <c r="AB137" s="40"/>
      <c r="AC137" s="40"/>
      <c r="AD137" s="40"/>
      <c r="AE137" s="40"/>
      <c r="AF137" s="40"/>
      <c r="AG137" s="40"/>
      <c r="AH137" s="40"/>
      <c r="AI137" s="40"/>
      <c r="AJ137" s="40"/>
      <c r="AK137" s="40"/>
      <c r="AL137" s="40"/>
      <c r="AM137" s="40"/>
      <c r="AN137" s="40"/>
      <c r="AO137" s="40"/>
      <c r="AP137" s="40"/>
      <c r="AQ137" s="40"/>
      <c r="AR137" s="40"/>
      <c r="AS137" s="40"/>
      <c r="AT137" s="40"/>
      <c r="AU137" s="40"/>
      <c r="AV137" s="40"/>
      <c r="AW137" s="40"/>
      <c r="AX137" s="40"/>
      <c r="AY137" s="40"/>
      <c r="AZ137" s="40"/>
      <c r="BA137" s="40"/>
      <c r="BB137" s="40"/>
      <c r="BC137" s="40"/>
      <c r="BD137" s="40"/>
      <c r="BE137" s="40"/>
      <c r="BF137" s="40"/>
      <c r="BG137" s="40"/>
      <c r="BH137" s="40"/>
      <c r="BI137" s="40"/>
      <c r="BJ137" s="40"/>
      <c r="BK137" s="40"/>
      <c r="BL137" s="40"/>
      <c r="BM137" s="40"/>
      <c r="BN137" s="40"/>
      <c r="BO137" s="40"/>
      <c r="BP137" s="40"/>
      <c r="BQ137" s="40"/>
      <c r="BR137" s="40"/>
      <c r="BS137" s="40"/>
      <c r="BT137" s="40"/>
      <c r="BU137" s="40"/>
      <c r="BV137" s="40"/>
      <c r="BW137" s="40"/>
      <c r="BX137" s="40"/>
      <c r="BY137" s="40"/>
      <c r="BZ137" s="40"/>
      <c r="CA137" s="40"/>
      <c r="CB137" s="40"/>
      <c r="CC137" s="40"/>
      <c r="CD137" s="40"/>
      <c r="CE137" s="40"/>
      <c r="CF137" s="40"/>
      <c r="CG137" s="40"/>
      <c r="CH137" s="40"/>
      <c r="CI137" s="40"/>
      <c r="CJ137" s="40"/>
      <c r="CK137" s="40"/>
      <c r="CL137" s="40"/>
    </row>
    <row r="138" spans="1:90" x14ac:dyDescent="0.25">
      <c r="A138" s="40"/>
      <c r="B138" s="40"/>
      <c r="C138" s="40"/>
      <c r="D138" s="40"/>
      <c r="E138" s="40"/>
      <c r="F138" s="40"/>
      <c r="G138" s="40"/>
      <c r="H138" s="40"/>
      <c r="I138" s="40"/>
      <c r="J138" s="40"/>
      <c r="K138" s="40"/>
      <c r="L138" s="40"/>
      <c r="M138" s="40"/>
      <c r="N138" s="40"/>
      <c r="O138" s="40"/>
      <c r="P138" s="40"/>
      <c r="Q138" s="40"/>
      <c r="R138" s="40"/>
      <c r="S138" s="40"/>
      <c r="T138" s="40"/>
      <c r="U138" s="40"/>
      <c r="V138" s="40"/>
      <c r="W138" s="40"/>
      <c r="X138" s="40"/>
      <c r="Y138" s="40"/>
      <c r="Z138" s="40"/>
      <c r="AA138" s="40"/>
      <c r="AB138" s="40"/>
      <c r="AC138" s="40"/>
      <c r="AD138" s="40"/>
      <c r="AE138" s="40"/>
      <c r="AF138" s="40"/>
      <c r="AG138" s="40"/>
      <c r="AH138" s="40"/>
      <c r="AI138" s="40"/>
      <c r="AJ138" s="40"/>
      <c r="AK138" s="40"/>
      <c r="AL138" s="40"/>
      <c r="AM138" s="40"/>
      <c r="AN138" s="40"/>
      <c r="AO138" s="40"/>
      <c r="AP138" s="40"/>
      <c r="AQ138" s="40"/>
      <c r="AR138" s="40"/>
      <c r="AS138" s="40"/>
      <c r="AT138" s="40"/>
      <c r="AU138" s="40"/>
      <c r="AV138" s="40"/>
      <c r="AW138" s="40"/>
      <c r="AX138" s="40"/>
      <c r="AY138" s="40"/>
      <c r="AZ138" s="40"/>
      <c r="BA138" s="40"/>
      <c r="BB138" s="40"/>
      <c r="BC138" s="40"/>
      <c r="BD138" s="40"/>
      <c r="BE138" s="40"/>
      <c r="BF138" s="40"/>
      <c r="BG138" s="40"/>
      <c r="BH138" s="40"/>
      <c r="BI138" s="40"/>
      <c r="BJ138" s="40"/>
      <c r="BK138" s="40"/>
      <c r="BL138" s="40"/>
      <c r="BM138" s="40"/>
      <c r="BN138" s="40"/>
      <c r="BO138" s="40"/>
      <c r="BP138" s="40"/>
      <c r="BQ138" s="40"/>
      <c r="BR138" s="40"/>
      <c r="BS138" s="40"/>
      <c r="BT138" s="40"/>
      <c r="BU138" s="40"/>
      <c r="BV138" s="40"/>
      <c r="BW138" s="40"/>
      <c r="BX138" s="40"/>
      <c r="BY138" s="40"/>
      <c r="BZ138" s="40"/>
      <c r="CA138" s="40"/>
      <c r="CB138" s="40"/>
      <c r="CC138" s="40"/>
      <c r="CD138" s="40"/>
      <c r="CE138" s="40"/>
      <c r="CF138" s="40"/>
      <c r="CG138" s="40"/>
      <c r="CH138" s="40"/>
      <c r="CI138" s="40"/>
      <c r="CJ138" s="40"/>
      <c r="CK138" s="40"/>
      <c r="CL138" s="40"/>
    </row>
    <row r="139" spans="1:90" x14ac:dyDescent="0.25">
      <c r="A139" s="40"/>
      <c r="B139" s="40"/>
      <c r="C139" s="40"/>
      <c r="D139" s="40"/>
      <c r="E139" s="40"/>
      <c r="F139" s="40"/>
      <c r="G139" s="40"/>
      <c r="H139" s="40"/>
      <c r="I139" s="40"/>
      <c r="J139" s="40"/>
      <c r="K139" s="40"/>
      <c r="L139" s="40"/>
      <c r="M139" s="40"/>
      <c r="N139" s="40"/>
      <c r="O139" s="40"/>
      <c r="P139" s="40"/>
      <c r="Q139" s="40"/>
      <c r="R139" s="40"/>
      <c r="S139" s="40"/>
      <c r="T139" s="40"/>
      <c r="U139" s="40"/>
      <c r="V139" s="40"/>
      <c r="W139" s="40"/>
      <c r="X139" s="40"/>
      <c r="Y139" s="40"/>
      <c r="Z139" s="40"/>
      <c r="AA139" s="40"/>
      <c r="AB139" s="40"/>
      <c r="AC139" s="40"/>
      <c r="AD139" s="40"/>
      <c r="AE139" s="40"/>
      <c r="AF139" s="40"/>
      <c r="AG139" s="40"/>
      <c r="AH139" s="40"/>
      <c r="AI139" s="40"/>
      <c r="AJ139" s="40"/>
      <c r="AK139" s="40"/>
      <c r="AL139" s="40"/>
      <c r="AM139" s="40"/>
      <c r="AN139" s="40"/>
      <c r="AO139" s="40"/>
      <c r="AP139" s="40"/>
      <c r="AQ139" s="40"/>
      <c r="AR139" s="40"/>
      <c r="AS139" s="40"/>
      <c r="AT139" s="40"/>
      <c r="AU139" s="40"/>
      <c r="AV139" s="40"/>
      <c r="AW139" s="40"/>
      <c r="AX139" s="40"/>
      <c r="AY139" s="40"/>
      <c r="AZ139" s="40"/>
      <c r="BA139" s="40"/>
      <c r="BB139" s="40"/>
      <c r="BC139" s="40"/>
      <c r="BD139" s="40"/>
      <c r="BE139" s="40"/>
      <c r="BF139" s="40"/>
      <c r="BG139" s="40"/>
      <c r="BH139" s="40"/>
      <c r="BI139" s="40"/>
      <c r="BJ139" s="40"/>
      <c r="BK139" s="40"/>
      <c r="BL139" s="40"/>
      <c r="BM139" s="40"/>
      <c r="BN139" s="40"/>
      <c r="BO139" s="40"/>
      <c r="BP139" s="40"/>
      <c r="BQ139" s="40"/>
      <c r="BR139" s="40"/>
      <c r="BS139" s="40"/>
      <c r="BT139" s="40"/>
      <c r="BU139" s="40"/>
      <c r="BV139" s="40"/>
      <c r="BW139" s="40"/>
      <c r="BX139" s="40"/>
      <c r="BY139" s="40"/>
      <c r="BZ139" s="40"/>
      <c r="CA139" s="40"/>
      <c r="CB139" s="40"/>
      <c r="CC139" s="40"/>
      <c r="CD139" s="40"/>
      <c r="CE139" s="40"/>
      <c r="CF139" s="40"/>
      <c r="CG139" s="40"/>
      <c r="CH139" s="40"/>
      <c r="CI139" s="40"/>
      <c r="CJ139" s="40"/>
      <c r="CK139" s="40"/>
      <c r="CL139" s="40"/>
    </row>
    <row r="140" spans="1:90" x14ac:dyDescent="0.25">
      <c r="A140" s="40"/>
      <c r="B140" s="40"/>
      <c r="C140" s="40"/>
      <c r="D140" s="40"/>
      <c r="E140" s="40"/>
      <c r="F140" s="40"/>
      <c r="G140" s="40"/>
      <c r="H140" s="40"/>
      <c r="I140" s="40"/>
      <c r="J140" s="40"/>
      <c r="K140" s="40"/>
      <c r="L140" s="40"/>
      <c r="M140" s="40"/>
      <c r="N140" s="40"/>
      <c r="O140" s="40"/>
      <c r="P140" s="40"/>
      <c r="Q140" s="40"/>
      <c r="R140" s="40"/>
      <c r="S140" s="40"/>
      <c r="T140" s="40"/>
      <c r="U140" s="40"/>
      <c r="V140" s="40"/>
      <c r="W140" s="40"/>
      <c r="X140" s="40"/>
      <c r="Y140" s="40"/>
      <c r="Z140" s="40"/>
      <c r="AA140" s="40"/>
      <c r="AB140" s="40"/>
      <c r="AC140" s="40"/>
      <c r="AD140" s="40"/>
      <c r="AE140" s="40"/>
      <c r="AF140" s="40"/>
      <c r="AG140" s="40"/>
      <c r="AH140" s="40"/>
      <c r="AI140" s="40"/>
      <c r="AJ140" s="40"/>
      <c r="AK140" s="40"/>
      <c r="AL140" s="40"/>
      <c r="AM140" s="40"/>
      <c r="AN140" s="40"/>
      <c r="AO140" s="40"/>
      <c r="AP140" s="40"/>
      <c r="AQ140" s="40"/>
      <c r="AR140" s="40"/>
      <c r="AS140" s="40"/>
      <c r="AT140" s="40"/>
      <c r="AU140" s="40"/>
      <c r="AV140" s="40"/>
      <c r="AW140" s="40"/>
      <c r="AX140" s="40"/>
      <c r="AY140" s="40"/>
      <c r="AZ140" s="40"/>
      <c r="BA140" s="40"/>
      <c r="BB140" s="40"/>
      <c r="BC140" s="40"/>
      <c r="BD140" s="40"/>
      <c r="BE140" s="40"/>
      <c r="BF140" s="40"/>
      <c r="BG140" s="40"/>
      <c r="BH140" s="40"/>
      <c r="BI140" s="40"/>
      <c r="BJ140" s="40"/>
      <c r="BK140" s="40"/>
      <c r="BL140" s="40"/>
      <c r="BM140" s="40"/>
      <c r="BN140" s="40"/>
      <c r="BO140" s="40"/>
      <c r="BP140" s="40"/>
      <c r="BQ140" s="40"/>
      <c r="BR140" s="40"/>
      <c r="BS140" s="40"/>
      <c r="BT140" s="40"/>
      <c r="BU140" s="40"/>
      <c r="BV140" s="40"/>
      <c r="BW140" s="40"/>
      <c r="BX140" s="40"/>
      <c r="BY140" s="40"/>
      <c r="BZ140" s="40"/>
      <c r="CA140" s="40"/>
      <c r="CB140" s="40"/>
      <c r="CC140" s="40"/>
      <c r="CD140" s="40"/>
      <c r="CE140" s="40"/>
      <c r="CF140" s="40"/>
      <c r="CG140" s="40"/>
      <c r="CH140" s="40"/>
      <c r="CI140" s="40"/>
      <c r="CJ140" s="40"/>
      <c r="CK140" s="40"/>
      <c r="CL140" s="40"/>
    </row>
    <row r="141" spans="1:90" x14ac:dyDescent="0.25">
      <c r="A141" s="40"/>
      <c r="B141" s="40"/>
      <c r="C141" s="40"/>
      <c r="D141" s="40"/>
      <c r="E141" s="40"/>
      <c r="F141" s="40"/>
      <c r="G141" s="40"/>
      <c r="H141" s="40"/>
      <c r="I141" s="40"/>
      <c r="J141" s="40"/>
      <c r="K141" s="40"/>
      <c r="L141" s="40"/>
      <c r="M141" s="40"/>
      <c r="N141" s="40"/>
      <c r="O141" s="40"/>
      <c r="P141" s="40"/>
      <c r="Q141" s="40"/>
      <c r="R141" s="40"/>
      <c r="S141" s="40"/>
      <c r="T141" s="40"/>
      <c r="U141" s="40"/>
      <c r="V141" s="40"/>
      <c r="W141" s="40"/>
      <c r="X141" s="40"/>
      <c r="Y141" s="40"/>
      <c r="Z141" s="40"/>
      <c r="AA141" s="40"/>
      <c r="AB141" s="40"/>
      <c r="AC141" s="40"/>
      <c r="AD141" s="40"/>
      <c r="AE141" s="40"/>
      <c r="AF141" s="40"/>
      <c r="AG141" s="40"/>
      <c r="AH141" s="40"/>
      <c r="AI141" s="40"/>
      <c r="AJ141" s="40"/>
      <c r="AK141" s="40"/>
      <c r="AL141" s="40"/>
      <c r="AM141" s="40"/>
      <c r="AN141" s="40"/>
      <c r="AO141" s="40"/>
      <c r="AP141" s="40"/>
      <c r="AQ141" s="40"/>
      <c r="AR141" s="40"/>
      <c r="AS141" s="40"/>
      <c r="AT141" s="40"/>
      <c r="AU141" s="40"/>
      <c r="AV141" s="40"/>
      <c r="AW141" s="40"/>
      <c r="AX141" s="40"/>
      <c r="AY141" s="40"/>
      <c r="AZ141" s="40"/>
      <c r="BA141" s="40"/>
      <c r="BB141" s="40"/>
      <c r="BC141" s="40"/>
      <c r="BD141" s="40"/>
      <c r="BE141" s="40"/>
      <c r="BF141" s="40"/>
      <c r="BG141" s="40"/>
      <c r="BH141" s="40"/>
      <c r="BI141" s="40"/>
      <c r="BJ141" s="40"/>
      <c r="BK141" s="40"/>
      <c r="BL141" s="40"/>
      <c r="BM141" s="40"/>
      <c r="BN141" s="40"/>
      <c r="BO141" s="40"/>
      <c r="BP141" s="40"/>
      <c r="BQ141" s="40"/>
      <c r="BR141" s="40"/>
      <c r="BS141" s="40"/>
      <c r="BT141" s="40"/>
      <c r="BU141" s="40"/>
      <c r="BV141" s="40"/>
      <c r="BW141" s="40"/>
      <c r="BX141" s="40"/>
      <c r="BY141" s="40"/>
      <c r="BZ141" s="40"/>
      <c r="CA141" s="40"/>
      <c r="CB141" s="40"/>
      <c r="CC141" s="40"/>
      <c r="CD141" s="40"/>
      <c r="CE141" s="40"/>
      <c r="CF141" s="40"/>
      <c r="CG141" s="40"/>
      <c r="CH141" s="40"/>
      <c r="CI141" s="40"/>
      <c r="CJ141" s="40"/>
      <c r="CK141" s="40"/>
      <c r="CL141" s="40"/>
    </row>
    <row r="142" spans="1:90" x14ac:dyDescent="0.25">
      <c r="A142" s="40"/>
      <c r="B142" s="40"/>
      <c r="C142" s="40"/>
      <c r="D142" s="40"/>
      <c r="E142" s="40"/>
      <c r="F142" s="40"/>
      <c r="G142" s="40"/>
      <c r="H142" s="40"/>
      <c r="I142" s="40"/>
      <c r="J142" s="40"/>
      <c r="K142" s="40"/>
      <c r="L142" s="40"/>
      <c r="M142" s="40"/>
      <c r="N142" s="40"/>
      <c r="O142" s="40"/>
      <c r="P142" s="40"/>
      <c r="Q142" s="40"/>
      <c r="R142" s="40"/>
      <c r="S142" s="40"/>
      <c r="T142" s="40"/>
      <c r="U142" s="40"/>
      <c r="V142" s="40"/>
      <c r="W142" s="40"/>
      <c r="X142" s="40"/>
      <c r="Y142" s="40"/>
      <c r="Z142" s="40"/>
      <c r="AA142" s="40"/>
      <c r="AB142" s="40"/>
      <c r="AC142" s="40"/>
      <c r="AD142" s="40"/>
      <c r="AE142" s="40"/>
      <c r="AF142" s="40"/>
      <c r="AG142" s="40"/>
      <c r="AH142" s="40"/>
      <c r="AI142" s="40"/>
      <c r="AJ142" s="40"/>
      <c r="AK142" s="40"/>
      <c r="AL142" s="40"/>
      <c r="AM142" s="40"/>
      <c r="AN142" s="40"/>
      <c r="AO142" s="40"/>
      <c r="AP142" s="40"/>
      <c r="AQ142" s="40"/>
      <c r="AR142" s="40"/>
      <c r="AS142" s="40"/>
      <c r="AT142" s="40"/>
      <c r="AU142" s="40"/>
      <c r="AV142" s="40"/>
      <c r="AW142" s="40"/>
      <c r="AX142" s="40"/>
      <c r="AY142" s="40"/>
      <c r="AZ142" s="40"/>
      <c r="BA142" s="40"/>
      <c r="BB142" s="40"/>
      <c r="BC142" s="40"/>
      <c r="BD142" s="40"/>
      <c r="BE142" s="40"/>
      <c r="BF142" s="40"/>
      <c r="BG142" s="40"/>
      <c r="BH142" s="40"/>
      <c r="BI142" s="40"/>
      <c r="BJ142" s="40"/>
      <c r="BK142" s="40"/>
      <c r="BL142" s="40"/>
      <c r="BM142" s="40"/>
      <c r="BN142" s="40"/>
      <c r="BO142" s="40"/>
      <c r="BP142" s="40"/>
      <c r="BQ142" s="40"/>
      <c r="BR142" s="40"/>
      <c r="BS142" s="40"/>
      <c r="BT142" s="40"/>
      <c r="BU142" s="40"/>
      <c r="BV142" s="40"/>
      <c r="BW142" s="40"/>
      <c r="BX142" s="40"/>
      <c r="BY142" s="40"/>
      <c r="BZ142" s="40"/>
      <c r="CA142" s="40"/>
      <c r="CB142" s="40"/>
      <c r="CC142" s="40"/>
      <c r="CD142" s="40"/>
      <c r="CE142" s="40"/>
      <c r="CF142" s="40"/>
      <c r="CG142" s="40"/>
      <c r="CH142" s="40"/>
      <c r="CI142" s="40"/>
      <c r="CJ142" s="40"/>
      <c r="CK142" s="40"/>
      <c r="CL142" s="40"/>
    </row>
    <row r="143" spans="1:90" x14ac:dyDescent="0.25">
      <c r="A143" s="40"/>
      <c r="B143" s="40"/>
      <c r="C143" s="40"/>
      <c r="D143" s="40"/>
      <c r="E143" s="40"/>
      <c r="F143" s="40"/>
      <c r="G143" s="40"/>
      <c r="H143" s="40"/>
      <c r="I143" s="40"/>
      <c r="J143" s="40"/>
      <c r="K143" s="40"/>
      <c r="L143" s="40"/>
      <c r="M143" s="40"/>
      <c r="N143" s="40"/>
      <c r="O143" s="40"/>
      <c r="P143" s="40"/>
      <c r="Q143" s="40"/>
      <c r="R143" s="40"/>
      <c r="S143" s="40"/>
      <c r="T143" s="40"/>
      <c r="U143" s="40"/>
      <c r="V143" s="40"/>
      <c r="W143" s="40"/>
      <c r="X143" s="40"/>
      <c r="Y143" s="40"/>
      <c r="Z143" s="40"/>
      <c r="AA143" s="40"/>
      <c r="AB143" s="40"/>
      <c r="AC143" s="40"/>
      <c r="AD143" s="40"/>
      <c r="AE143" s="40"/>
      <c r="AF143" s="40"/>
      <c r="AG143" s="40"/>
      <c r="AH143" s="40"/>
      <c r="AI143" s="40"/>
      <c r="AJ143" s="40"/>
      <c r="AK143" s="40"/>
      <c r="AL143" s="40"/>
      <c r="AM143" s="40"/>
      <c r="AN143" s="40"/>
      <c r="AO143" s="40"/>
      <c r="AP143" s="40"/>
      <c r="AQ143" s="40"/>
      <c r="AR143" s="40"/>
      <c r="AS143" s="40"/>
      <c r="AT143" s="40"/>
      <c r="AU143" s="40"/>
      <c r="AV143" s="40"/>
      <c r="AW143" s="40"/>
      <c r="AX143" s="40"/>
      <c r="AY143" s="40"/>
      <c r="AZ143" s="40"/>
      <c r="BA143" s="40"/>
      <c r="BB143" s="40"/>
      <c r="BC143" s="40"/>
      <c r="BD143" s="40"/>
      <c r="BE143" s="40"/>
      <c r="BF143" s="40"/>
      <c r="BG143" s="40"/>
      <c r="BH143" s="40"/>
      <c r="BI143" s="40"/>
      <c r="BJ143" s="40"/>
      <c r="BK143" s="40"/>
      <c r="BL143" s="40"/>
      <c r="BM143" s="40"/>
      <c r="BN143" s="40"/>
      <c r="BO143" s="40"/>
      <c r="BP143" s="40"/>
      <c r="BQ143" s="40"/>
      <c r="BR143" s="40"/>
      <c r="BS143" s="40"/>
      <c r="BT143" s="40"/>
      <c r="BU143" s="40"/>
      <c r="BV143" s="40"/>
      <c r="BW143" s="40"/>
      <c r="BX143" s="40"/>
      <c r="BY143" s="40"/>
      <c r="BZ143" s="40"/>
      <c r="CA143" s="40"/>
      <c r="CB143" s="40"/>
      <c r="CC143" s="40"/>
      <c r="CD143" s="40"/>
      <c r="CE143" s="40"/>
      <c r="CF143" s="40"/>
      <c r="CG143" s="40"/>
      <c r="CH143" s="40"/>
      <c r="CI143" s="40"/>
      <c r="CJ143" s="40"/>
      <c r="CK143" s="40"/>
      <c r="CL143" s="40"/>
    </row>
    <row r="144" spans="1:90" x14ac:dyDescent="0.25">
      <c r="A144" s="40"/>
      <c r="B144" s="40"/>
      <c r="C144" s="40"/>
      <c r="D144" s="40"/>
      <c r="E144" s="40"/>
      <c r="F144" s="40"/>
      <c r="G144" s="40"/>
      <c r="H144" s="40"/>
      <c r="I144" s="40"/>
      <c r="J144" s="40"/>
      <c r="K144" s="40"/>
      <c r="L144" s="40"/>
      <c r="M144" s="40"/>
      <c r="N144" s="40"/>
      <c r="O144" s="40"/>
      <c r="P144" s="40"/>
      <c r="Q144" s="40"/>
      <c r="R144" s="40"/>
      <c r="S144" s="40"/>
      <c r="T144" s="40"/>
      <c r="U144" s="40"/>
      <c r="V144" s="40"/>
      <c r="W144" s="40"/>
      <c r="X144" s="40"/>
      <c r="Y144" s="40"/>
      <c r="Z144" s="40"/>
      <c r="AA144" s="40"/>
      <c r="AB144" s="40"/>
      <c r="AC144" s="40"/>
      <c r="AD144" s="40"/>
      <c r="AE144" s="40"/>
      <c r="AF144" s="40"/>
      <c r="AG144" s="40"/>
      <c r="AH144" s="40"/>
      <c r="AI144" s="40"/>
      <c r="AJ144" s="40"/>
      <c r="AK144" s="40"/>
      <c r="AL144" s="40"/>
      <c r="AM144" s="40"/>
      <c r="AN144" s="40"/>
      <c r="AO144" s="40"/>
      <c r="AP144" s="40"/>
      <c r="AQ144" s="40"/>
      <c r="AR144" s="40"/>
      <c r="AS144" s="40"/>
      <c r="AT144" s="40"/>
      <c r="AU144" s="40"/>
      <c r="AV144" s="40"/>
      <c r="AW144" s="40"/>
      <c r="AX144" s="40"/>
      <c r="AY144" s="40"/>
      <c r="AZ144" s="40"/>
      <c r="BA144" s="40"/>
      <c r="BB144" s="40"/>
      <c r="BC144" s="40"/>
      <c r="BD144" s="40"/>
      <c r="BE144" s="40"/>
      <c r="BF144" s="40"/>
      <c r="BG144" s="40"/>
      <c r="BH144" s="40"/>
      <c r="BI144" s="40"/>
      <c r="BJ144" s="40"/>
      <c r="BK144" s="40"/>
      <c r="BL144" s="40"/>
      <c r="BM144" s="40"/>
      <c r="BN144" s="40"/>
      <c r="BO144" s="40"/>
      <c r="BP144" s="40"/>
      <c r="BQ144" s="40"/>
      <c r="BR144" s="40"/>
      <c r="BS144" s="40"/>
      <c r="BT144" s="40"/>
      <c r="BU144" s="40"/>
      <c r="BV144" s="40"/>
      <c r="BW144" s="40"/>
      <c r="BX144" s="40"/>
      <c r="BY144" s="40"/>
      <c r="BZ144" s="40"/>
      <c r="CA144" s="40"/>
      <c r="CB144" s="40"/>
      <c r="CC144" s="40"/>
      <c r="CD144" s="40"/>
      <c r="CE144" s="40"/>
      <c r="CF144" s="40"/>
      <c r="CG144" s="40"/>
      <c r="CH144" s="40"/>
      <c r="CI144" s="40"/>
      <c r="CJ144" s="40"/>
      <c r="CK144" s="40"/>
      <c r="CL144" s="40"/>
    </row>
    <row r="145" spans="1:90" x14ac:dyDescent="0.25">
      <c r="A145" s="40"/>
      <c r="B145" s="40"/>
      <c r="C145" s="40"/>
      <c r="D145" s="40"/>
      <c r="E145" s="40"/>
      <c r="F145" s="40"/>
      <c r="G145" s="40"/>
      <c r="H145" s="40"/>
      <c r="I145" s="40"/>
      <c r="J145" s="40"/>
      <c r="K145" s="40"/>
      <c r="L145" s="40"/>
      <c r="M145" s="40"/>
      <c r="N145" s="40"/>
      <c r="O145" s="40"/>
      <c r="P145" s="40"/>
      <c r="Q145" s="40"/>
      <c r="R145" s="40"/>
      <c r="S145" s="40"/>
      <c r="T145" s="40"/>
      <c r="U145" s="40"/>
      <c r="V145" s="40"/>
      <c r="W145" s="40"/>
      <c r="X145" s="40"/>
      <c r="Y145" s="40"/>
      <c r="Z145" s="40"/>
      <c r="AA145" s="40"/>
      <c r="AB145" s="40"/>
      <c r="AC145" s="40"/>
      <c r="AD145" s="40"/>
      <c r="AE145" s="40"/>
      <c r="AF145" s="40"/>
      <c r="AG145" s="40"/>
      <c r="AH145" s="40"/>
      <c r="AI145" s="40"/>
      <c r="AJ145" s="40"/>
      <c r="AK145" s="40"/>
      <c r="AL145" s="40"/>
      <c r="AM145" s="40"/>
      <c r="AN145" s="40"/>
      <c r="AO145" s="40"/>
      <c r="AP145" s="40"/>
      <c r="AQ145" s="40"/>
      <c r="AR145" s="40"/>
      <c r="AS145" s="40"/>
      <c r="AT145" s="40"/>
      <c r="AU145" s="40"/>
      <c r="AV145" s="40"/>
      <c r="AW145" s="40"/>
      <c r="AX145" s="40"/>
      <c r="AY145" s="40"/>
      <c r="AZ145" s="40"/>
      <c r="BA145" s="40"/>
      <c r="BB145" s="40"/>
      <c r="BC145" s="40"/>
      <c r="BD145" s="40"/>
      <c r="BE145" s="40"/>
      <c r="BF145" s="40"/>
      <c r="BG145" s="40"/>
      <c r="BH145" s="40"/>
      <c r="BI145" s="40"/>
      <c r="BJ145" s="40"/>
      <c r="BK145" s="40"/>
      <c r="BL145" s="40"/>
      <c r="BM145" s="40"/>
      <c r="BN145" s="40"/>
      <c r="BO145" s="40"/>
      <c r="BP145" s="40"/>
      <c r="BQ145" s="40"/>
      <c r="BR145" s="40"/>
      <c r="BS145" s="40"/>
      <c r="BT145" s="40"/>
      <c r="BU145" s="40"/>
      <c r="BV145" s="40"/>
      <c r="BW145" s="40"/>
      <c r="BX145" s="40"/>
      <c r="BY145" s="40"/>
      <c r="BZ145" s="40"/>
      <c r="CA145" s="40"/>
      <c r="CB145" s="40"/>
      <c r="CC145" s="40"/>
      <c r="CD145" s="40"/>
      <c r="CE145" s="40"/>
      <c r="CF145" s="40"/>
      <c r="CG145" s="40"/>
      <c r="CH145" s="40"/>
      <c r="CI145" s="40"/>
      <c r="CJ145" s="40"/>
      <c r="CK145" s="40"/>
      <c r="CL145" s="40"/>
    </row>
    <row r="146" spans="1:90" x14ac:dyDescent="0.25">
      <c r="A146" s="40"/>
      <c r="B146" s="40"/>
      <c r="C146" s="40"/>
      <c r="D146" s="40"/>
      <c r="E146" s="40"/>
      <c r="F146" s="40"/>
      <c r="G146" s="40"/>
      <c r="H146" s="40"/>
      <c r="I146" s="40"/>
      <c r="J146" s="40"/>
      <c r="K146" s="40"/>
      <c r="L146" s="40"/>
      <c r="M146" s="40"/>
      <c r="N146" s="40"/>
      <c r="O146" s="40"/>
      <c r="P146" s="40"/>
      <c r="Q146" s="40"/>
      <c r="R146" s="40"/>
      <c r="S146" s="40"/>
      <c r="T146" s="40"/>
      <c r="U146" s="40"/>
      <c r="V146" s="40"/>
      <c r="W146" s="40"/>
      <c r="X146" s="40"/>
      <c r="Y146" s="40"/>
      <c r="Z146" s="40"/>
      <c r="AA146" s="40"/>
      <c r="AB146" s="40"/>
      <c r="AC146" s="40"/>
      <c r="AD146" s="40"/>
      <c r="AE146" s="40"/>
      <c r="AF146" s="40"/>
      <c r="AG146" s="40"/>
      <c r="AH146" s="40"/>
      <c r="AI146" s="40"/>
      <c r="AJ146" s="40"/>
      <c r="AK146" s="40"/>
      <c r="AL146" s="40"/>
      <c r="AM146" s="40"/>
      <c r="AN146" s="40"/>
      <c r="AO146" s="40"/>
      <c r="AP146" s="40"/>
      <c r="AQ146" s="40"/>
      <c r="AR146" s="40"/>
      <c r="AS146" s="40"/>
      <c r="AT146" s="40"/>
      <c r="AU146" s="40"/>
      <c r="AV146" s="40"/>
      <c r="AW146" s="40"/>
      <c r="AX146" s="40"/>
      <c r="AY146" s="40"/>
      <c r="AZ146" s="40"/>
      <c r="BA146" s="40"/>
      <c r="BB146" s="40"/>
      <c r="BC146" s="40"/>
      <c r="BD146" s="40"/>
      <c r="BE146" s="40"/>
      <c r="BF146" s="40"/>
      <c r="BG146" s="40"/>
      <c r="BH146" s="40"/>
      <c r="BI146" s="40"/>
      <c r="BJ146" s="40"/>
      <c r="BK146" s="40"/>
      <c r="BL146" s="40"/>
      <c r="BM146" s="40"/>
      <c r="BN146" s="40"/>
      <c r="BO146" s="40"/>
      <c r="BP146" s="40"/>
      <c r="BQ146" s="40"/>
      <c r="BR146" s="40"/>
      <c r="BS146" s="40"/>
      <c r="BT146" s="40"/>
      <c r="BU146" s="40"/>
      <c r="BV146" s="40"/>
      <c r="BW146" s="40"/>
      <c r="BX146" s="40"/>
      <c r="BY146" s="40"/>
      <c r="BZ146" s="40"/>
      <c r="CA146" s="40"/>
      <c r="CB146" s="40"/>
      <c r="CC146" s="40"/>
      <c r="CD146" s="40"/>
      <c r="CE146" s="40"/>
      <c r="CF146" s="40"/>
      <c r="CG146" s="40"/>
      <c r="CH146" s="40"/>
      <c r="CI146" s="40"/>
      <c r="CJ146" s="40"/>
      <c r="CK146" s="40"/>
      <c r="CL146" s="40"/>
    </row>
    <row r="147" spans="1:90" x14ac:dyDescent="0.25">
      <c r="A147" s="40"/>
      <c r="B147" s="40"/>
      <c r="C147" s="40"/>
      <c r="D147" s="40"/>
      <c r="E147" s="40"/>
      <c r="F147" s="40"/>
      <c r="G147" s="40"/>
      <c r="H147" s="40"/>
      <c r="I147" s="40"/>
      <c r="J147" s="40"/>
      <c r="K147" s="40"/>
      <c r="L147" s="40"/>
      <c r="M147" s="40"/>
      <c r="N147" s="40"/>
      <c r="O147" s="40"/>
      <c r="P147" s="40"/>
      <c r="Q147" s="40"/>
      <c r="R147" s="40"/>
      <c r="S147" s="40"/>
      <c r="T147" s="40"/>
      <c r="U147" s="40"/>
      <c r="V147" s="40"/>
      <c r="W147" s="40"/>
      <c r="X147" s="40"/>
      <c r="Y147" s="40"/>
      <c r="Z147" s="40"/>
      <c r="AA147" s="40"/>
      <c r="AB147" s="40"/>
      <c r="AC147" s="40"/>
      <c r="AD147" s="40"/>
      <c r="AE147" s="40"/>
      <c r="AF147" s="40"/>
      <c r="AG147" s="40"/>
      <c r="AH147" s="40"/>
      <c r="AI147" s="40"/>
      <c r="AJ147" s="40"/>
      <c r="AK147" s="40"/>
      <c r="AL147" s="40"/>
      <c r="AM147" s="40"/>
      <c r="AN147" s="40"/>
      <c r="AO147" s="40"/>
      <c r="AP147" s="40"/>
      <c r="AQ147" s="40"/>
      <c r="AR147" s="40"/>
      <c r="AS147" s="40"/>
      <c r="AT147" s="40"/>
      <c r="AU147" s="40"/>
      <c r="AV147" s="40"/>
      <c r="AW147" s="40"/>
      <c r="AX147" s="40"/>
      <c r="AY147" s="40"/>
      <c r="AZ147" s="40"/>
      <c r="BA147" s="40"/>
      <c r="BB147" s="40"/>
      <c r="BC147" s="40"/>
      <c r="BD147" s="40"/>
      <c r="BE147" s="40"/>
      <c r="BF147" s="40"/>
      <c r="BG147" s="40"/>
      <c r="BH147" s="40"/>
      <c r="BI147" s="40"/>
      <c r="BJ147" s="40"/>
      <c r="BK147" s="40"/>
      <c r="BL147" s="40"/>
      <c r="BM147" s="40"/>
      <c r="BN147" s="40"/>
      <c r="BO147" s="40"/>
      <c r="BP147" s="40"/>
      <c r="BQ147" s="40"/>
      <c r="BR147" s="40"/>
      <c r="BS147" s="40"/>
      <c r="BT147" s="40"/>
      <c r="BU147" s="40"/>
      <c r="BV147" s="40"/>
      <c r="BW147" s="40"/>
      <c r="BX147" s="40"/>
      <c r="BY147" s="40"/>
      <c r="BZ147" s="40"/>
      <c r="CA147" s="40"/>
      <c r="CB147" s="40"/>
      <c r="CC147" s="40"/>
      <c r="CD147" s="40"/>
      <c r="CE147" s="40"/>
      <c r="CF147" s="40"/>
      <c r="CG147" s="40"/>
      <c r="CH147" s="40"/>
      <c r="CI147" s="40"/>
      <c r="CJ147" s="40"/>
      <c r="CK147" s="40"/>
      <c r="CL147" s="40"/>
    </row>
    <row r="148" spans="1:90" x14ac:dyDescent="0.25">
      <c r="A148" s="40"/>
      <c r="B148" s="40"/>
      <c r="C148" s="40"/>
      <c r="D148" s="40"/>
      <c r="E148" s="40"/>
      <c r="F148" s="40"/>
      <c r="G148" s="40"/>
      <c r="H148" s="40"/>
      <c r="I148" s="40"/>
      <c r="J148" s="40"/>
      <c r="K148" s="40"/>
      <c r="L148" s="40"/>
      <c r="M148" s="40"/>
      <c r="N148" s="40"/>
      <c r="O148" s="40"/>
      <c r="P148" s="40"/>
      <c r="Q148" s="40"/>
      <c r="R148" s="40"/>
      <c r="S148" s="40"/>
      <c r="T148" s="40"/>
      <c r="U148" s="40"/>
      <c r="V148" s="40"/>
      <c r="W148" s="40"/>
      <c r="X148" s="40"/>
      <c r="Y148" s="40"/>
      <c r="Z148" s="40"/>
      <c r="AA148" s="40"/>
      <c r="AB148" s="40"/>
      <c r="AC148" s="40"/>
      <c r="AD148" s="40"/>
      <c r="AE148" s="40"/>
      <c r="AF148" s="40"/>
      <c r="AG148" s="40"/>
      <c r="AH148" s="40"/>
      <c r="AI148" s="40"/>
      <c r="AJ148" s="40"/>
      <c r="AK148" s="40"/>
      <c r="AL148" s="40"/>
      <c r="AM148" s="40"/>
      <c r="AN148" s="40"/>
      <c r="AO148" s="40"/>
      <c r="AP148" s="40"/>
      <c r="AQ148" s="40"/>
      <c r="AR148" s="40"/>
      <c r="AS148" s="40"/>
      <c r="AT148" s="40"/>
      <c r="AU148" s="40"/>
      <c r="AV148" s="40"/>
      <c r="AW148" s="40"/>
      <c r="AX148" s="40"/>
      <c r="AY148" s="40"/>
      <c r="AZ148" s="40"/>
      <c r="BA148" s="40"/>
      <c r="BB148" s="40"/>
      <c r="BC148" s="40"/>
      <c r="BD148" s="40"/>
      <c r="BE148" s="40"/>
      <c r="BF148" s="40"/>
      <c r="BG148" s="40"/>
      <c r="BH148" s="40"/>
      <c r="BI148" s="40"/>
      <c r="BJ148" s="40"/>
      <c r="BK148" s="40"/>
      <c r="BL148" s="40"/>
      <c r="BM148" s="40"/>
      <c r="BN148" s="40"/>
      <c r="BO148" s="40"/>
      <c r="BP148" s="40"/>
      <c r="BQ148" s="40"/>
      <c r="BR148" s="40"/>
      <c r="BS148" s="40"/>
      <c r="BT148" s="40"/>
      <c r="BU148" s="40"/>
      <c r="BV148" s="40"/>
      <c r="BW148" s="40"/>
      <c r="BX148" s="40"/>
      <c r="BY148" s="40"/>
      <c r="BZ148" s="40"/>
      <c r="CA148" s="40"/>
      <c r="CB148" s="40"/>
      <c r="CC148" s="40"/>
      <c r="CD148" s="40"/>
      <c r="CE148" s="40"/>
      <c r="CF148" s="40"/>
      <c r="CG148" s="40"/>
      <c r="CH148" s="40"/>
      <c r="CI148" s="40"/>
      <c r="CJ148" s="40"/>
      <c r="CK148" s="40"/>
      <c r="CL148" s="40"/>
    </row>
    <row r="149" spans="1:90" x14ac:dyDescent="0.25">
      <c r="A149" s="40"/>
      <c r="B149" s="40"/>
      <c r="C149" s="40"/>
      <c r="D149" s="40"/>
      <c r="E149" s="40"/>
      <c r="F149" s="40"/>
      <c r="G149" s="40"/>
      <c r="H149" s="40"/>
      <c r="I149" s="40"/>
      <c r="J149" s="40"/>
      <c r="K149" s="40"/>
      <c r="L149" s="40"/>
      <c r="M149" s="40"/>
      <c r="N149" s="40"/>
      <c r="O149" s="40"/>
      <c r="P149" s="40"/>
      <c r="Q149" s="40"/>
      <c r="R149" s="40"/>
      <c r="S149" s="40"/>
      <c r="T149" s="40"/>
      <c r="U149" s="40"/>
      <c r="V149" s="40"/>
      <c r="W149" s="40"/>
      <c r="X149" s="40"/>
      <c r="Y149" s="40"/>
      <c r="Z149" s="40"/>
      <c r="AA149" s="40"/>
      <c r="AB149" s="40"/>
      <c r="AC149" s="40"/>
      <c r="AD149" s="40"/>
      <c r="AE149" s="40"/>
      <c r="AF149" s="40"/>
      <c r="AG149" s="40"/>
      <c r="AH149" s="40"/>
      <c r="AI149" s="40"/>
      <c r="AJ149" s="40"/>
      <c r="AK149" s="40"/>
      <c r="AL149" s="40"/>
      <c r="AM149" s="40"/>
      <c r="AN149" s="40"/>
      <c r="AO149" s="40"/>
      <c r="AP149" s="40"/>
      <c r="AQ149" s="40"/>
      <c r="AR149" s="40"/>
      <c r="AS149" s="40"/>
      <c r="AT149" s="40"/>
      <c r="AU149" s="40"/>
      <c r="AV149" s="40"/>
      <c r="AW149" s="40"/>
      <c r="AX149" s="40"/>
      <c r="AY149" s="40"/>
      <c r="AZ149" s="40"/>
      <c r="BA149" s="40"/>
      <c r="BB149" s="40"/>
      <c r="BC149" s="40"/>
      <c r="BD149" s="40"/>
      <c r="BE149" s="40"/>
      <c r="BF149" s="40"/>
      <c r="BG149" s="40"/>
      <c r="BH149" s="40"/>
      <c r="BI149" s="40"/>
      <c r="BJ149" s="40"/>
      <c r="BK149" s="40"/>
      <c r="BL149" s="40"/>
      <c r="BM149" s="40"/>
      <c r="BN149" s="40"/>
      <c r="BO149" s="40"/>
      <c r="BP149" s="40"/>
      <c r="BQ149" s="40"/>
      <c r="BR149" s="40"/>
      <c r="BS149" s="40"/>
      <c r="BT149" s="40"/>
      <c r="BU149" s="40"/>
      <c r="BV149" s="40"/>
      <c r="BW149" s="40"/>
      <c r="BX149" s="40"/>
      <c r="BY149" s="40"/>
      <c r="BZ149" s="40"/>
      <c r="CA149" s="40"/>
      <c r="CB149" s="40"/>
      <c r="CC149" s="40"/>
      <c r="CD149" s="40"/>
      <c r="CE149" s="40"/>
      <c r="CF149" s="40"/>
      <c r="CG149" s="40"/>
      <c r="CH149" s="40"/>
      <c r="CI149" s="40"/>
      <c r="CJ149" s="40"/>
      <c r="CK149" s="40"/>
      <c r="CL149" s="40"/>
    </row>
    <row r="150" spans="1:90" x14ac:dyDescent="0.25">
      <c r="A150" s="40"/>
      <c r="B150" s="40"/>
      <c r="C150" s="40"/>
      <c r="D150" s="40"/>
      <c r="E150" s="40"/>
      <c r="F150" s="40"/>
      <c r="G150" s="40"/>
      <c r="H150" s="40"/>
      <c r="I150" s="40"/>
      <c r="J150" s="40"/>
      <c r="K150" s="40"/>
      <c r="L150" s="40"/>
      <c r="M150" s="40"/>
      <c r="N150" s="40"/>
      <c r="O150" s="40"/>
      <c r="P150" s="40"/>
      <c r="Q150" s="40"/>
      <c r="R150" s="40"/>
      <c r="S150" s="40"/>
      <c r="T150" s="40"/>
      <c r="U150" s="40"/>
      <c r="V150" s="40"/>
      <c r="W150" s="40"/>
      <c r="X150" s="40"/>
      <c r="Y150" s="40"/>
      <c r="Z150" s="40"/>
      <c r="AA150" s="40"/>
      <c r="AB150" s="40"/>
      <c r="AC150" s="40"/>
      <c r="AD150" s="40"/>
      <c r="AE150" s="40"/>
      <c r="AF150" s="40"/>
      <c r="AG150" s="40"/>
      <c r="AH150" s="40"/>
      <c r="AI150" s="40"/>
      <c r="AJ150" s="40"/>
      <c r="AK150" s="40"/>
      <c r="AL150" s="40"/>
      <c r="AM150" s="40"/>
      <c r="AN150" s="40"/>
      <c r="AO150" s="40"/>
      <c r="AP150" s="40"/>
      <c r="AQ150" s="40"/>
      <c r="AR150" s="40"/>
      <c r="AS150" s="40"/>
      <c r="AT150" s="40"/>
      <c r="AU150" s="40"/>
      <c r="AV150" s="40"/>
      <c r="AW150" s="40"/>
      <c r="AX150" s="40"/>
      <c r="AY150" s="40"/>
      <c r="AZ150" s="40"/>
      <c r="BA150" s="40"/>
      <c r="BB150" s="40"/>
      <c r="BC150" s="40"/>
      <c r="BD150" s="40"/>
      <c r="BE150" s="40"/>
      <c r="BF150" s="40"/>
      <c r="BG150" s="40"/>
      <c r="BH150" s="40"/>
      <c r="BI150" s="40"/>
      <c r="BJ150" s="40"/>
      <c r="BK150" s="40"/>
      <c r="BL150" s="40"/>
      <c r="BM150" s="40"/>
      <c r="BN150" s="40"/>
      <c r="BO150" s="40"/>
      <c r="BP150" s="40"/>
      <c r="BQ150" s="40"/>
      <c r="BR150" s="40"/>
      <c r="BS150" s="40"/>
      <c r="BT150" s="40"/>
      <c r="BU150" s="40"/>
      <c r="BV150" s="40"/>
      <c r="BW150" s="40"/>
      <c r="BX150" s="40"/>
      <c r="BY150" s="40"/>
      <c r="BZ150" s="40"/>
      <c r="CA150" s="40"/>
      <c r="CB150" s="40"/>
      <c r="CC150" s="40"/>
      <c r="CD150" s="40"/>
      <c r="CE150" s="40"/>
      <c r="CF150" s="40"/>
      <c r="CG150" s="40"/>
      <c r="CH150" s="40"/>
      <c r="CI150" s="40"/>
      <c r="CJ150" s="40"/>
      <c r="CK150" s="40"/>
      <c r="CL150" s="40"/>
    </row>
    <row r="151" spans="1:90" x14ac:dyDescent="0.25">
      <c r="A151" s="40"/>
      <c r="B151" s="40"/>
      <c r="C151" s="40"/>
      <c r="D151" s="40"/>
      <c r="E151" s="40"/>
      <c r="F151" s="40"/>
      <c r="G151" s="40"/>
      <c r="H151" s="40"/>
      <c r="I151" s="40"/>
      <c r="J151" s="40"/>
      <c r="K151" s="40"/>
      <c r="L151" s="40"/>
      <c r="M151" s="40"/>
      <c r="N151" s="40"/>
      <c r="O151" s="40"/>
      <c r="P151" s="40"/>
      <c r="Q151" s="40"/>
      <c r="R151" s="40"/>
      <c r="S151" s="40"/>
      <c r="T151" s="40"/>
      <c r="U151" s="40"/>
      <c r="V151" s="40"/>
      <c r="W151" s="40"/>
      <c r="X151" s="40"/>
      <c r="Y151" s="40"/>
      <c r="Z151" s="40"/>
      <c r="AA151" s="40"/>
      <c r="AB151" s="40"/>
      <c r="AC151" s="40"/>
      <c r="AD151" s="40"/>
      <c r="AE151" s="40"/>
      <c r="AF151" s="40"/>
      <c r="AG151" s="40"/>
      <c r="AH151" s="40"/>
      <c r="AI151" s="40"/>
      <c r="AJ151" s="40"/>
      <c r="AK151" s="40"/>
      <c r="AL151" s="40"/>
      <c r="AM151" s="40"/>
      <c r="AN151" s="40"/>
      <c r="AO151" s="40"/>
      <c r="AP151" s="40"/>
      <c r="AQ151" s="40"/>
      <c r="AR151" s="40"/>
      <c r="AS151" s="40"/>
      <c r="AT151" s="40"/>
      <c r="AU151" s="40"/>
      <c r="AV151" s="40"/>
      <c r="AW151" s="40"/>
      <c r="AX151" s="40"/>
      <c r="AY151" s="40"/>
      <c r="AZ151" s="40"/>
      <c r="BA151" s="40"/>
      <c r="BB151" s="40"/>
      <c r="BC151" s="40"/>
      <c r="BD151" s="40"/>
      <c r="BE151" s="40"/>
      <c r="BF151" s="40"/>
      <c r="BG151" s="40"/>
      <c r="BH151" s="40"/>
      <c r="BI151" s="40"/>
      <c r="BJ151" s="40"/>
      <c r="BK151" s="40"/>
      <c r="BL151" s="40"/>
      <c r="BM151" s="40"/>
      <c r="BN151" s="40"/>
      <c r="BO151" s="40"/>
      <c r="BP151" s="40"/>
      <c r="BQ151" s="40"/>
      <c r="BR151" s="40"/>
      <c r="BS151" s="40"/>
      <c r="BT151" s="40"/>
      <c r="BU151" s="40"/>
      <c r="BV151" s="40"/>
      <c r="BW151" s="40"/>
      <c r="BX151" s="40"/>
      <c r="BY151" s="40"/>
      <c r="BZ151" s="40"/>
      <c r="CA151" s="40"/>
      <c r="CB151" s="40"/>
      <c r="CC151" s="40"/>
      <c r="CD151" s="40"/>
      <c r="CE151" s="40"/>
      <c r="CF151" s="40"/>
      <c r="CG151" s="40"/>
      <c r="CH151" s="40"/>
      <c r="CI151" s="40"/>
      <c r="CJ151" s="40"/>
      <c r="CK151" s="40"/>
      <c r="CL151" s="40"/>
    </row>
    <row r="152" spans="1:90" x14ac:dyDescent="0.25">
      <c r="A152" s="40"/>
      <c r="B152" s="40"/>
      <c r="C152" s="40"/>
      <c r="D152" s="40"/>
      <c r="E152" s="40"/>
      <c r="F152" s="40"/>
      <c r="G152" s="40"/>
      <c r="H152" s="40"/>
      <c r="I152" s="40"/>
      <c r="J152" s="40"/>
      <c r="K152" s="40"/>
      <c r="L152" s="40"/>
      <c r="M152" s="40"/>
      <c r="N152" s="40"/>
      <c r="O152" s="40"/>
      <c r="P152" s="40"/>
      <c r="Q152" s="40"/>
      <c r="R152" s="40"/>
      <c r="S152" s="40"/>
      <c r="T152" s="40"/>
      <c r="U152" s="40"/>
      <c r="V152" s="40"/>
      <c r="W152" s="40"/>
      <c r="X152" s="40"/>
      <c r="Y152" s="40"/>
      <c r="Z152" s="40"/>
      <c r="AA152" s="40"/>
      <c r="AB152" s="40"/>
      <c r="AC152" s="40"/>
      <c r="AD152" s="40"/>
      <c r="AE152" s="40"/>
      <c r="AF152" s="40"/>
      <c r="AG152" s="40"/>
      <c r="AH152" s="40"/>
      <c r="AI152" s="40"/>
      <c r="AJ152" s="40"/>
      <c r="AK152" s="40"/>
      <c r="AL152" s="40"/>
      <c r="AM152" s="40"/>
      <c r="AN152" s="40"/>
      <c r="AO152" s="40"/>
      <c r="AP152" s="40"/>
      <c r="AQ152" s="40"/>
      <c r="AR152" s="40"/>
      <c r="AS152" s="40"/>
      <c r="AT152" s="40"/>
      <c r="AU152" s="40"/>
      <c r="AV152" s="40"/>
      <c r="AW152" s="40"/>
      <c r="AX152" s="40"/>
      <c r="AY152" s="40"/>
      <c r="AZ152" s="40"/>
      <c r="BA152" s="40"/>
      <c r="BB152" s="40"/>
      <c r="BC152" s="40"/>
      <c r="BD152" s="40"/>
      <c r="BE152" s="40"/>
      <c r="BF152" s="40"/>
      <c r="BG152" s="40"/>
      <c r="BH152" s="40"/>
      <c r="BI152" s="40"/>
      <c r="BJ152" s="40"/>
      <c r="BK152" s="40"/>
      <c r="BL152" s="40"/>
      <c r="BM152" s="40"/>
      <c r="BN152" s="40"/>
      <c r="BO152" s="40"/>
      <c r="BP152" s="40"/>
      <c r="BQ152" s="40"/>
      <c r="BR152" s="40"/>
      <c r="BS152" s="40"/>
      <c r="BT152" s="40"/>
      <c r="BU152" s="40"/>
      <c r="BV152" s="40"/>
      <c r="BW152" s="40"/>
      <c r="BX152" s="40"/>
      <c r="BY152" s="40"/>
      <c r="BZ152" s="40"/>
      <c r="CA152" s="40"/>
      <c r="CB152" s="40"/>
      <c r="CC152" s="40"/>
      <c r="CD152" s="40"/>
      <c r="CE152" s="40"/>
      <c r="CF152" s="40"/>
      <c r="CG152" s="40"/>
      <c r="CH152" s="40"/>
      <c r="CI152" s="40"/>
      <c r="CJ152" s="40"/>
      <c r="CK152" s="40"/>
      <c r="CL152" s="40"/>
    </row>
    <row r="153" spans="1:90" x14ac:dyDescent="0.25">
      <c r="A153" s="40"/>
      <c r="B153" s="40"/>
      <c r="C153" s="40"/>
      <c r="D153" s="40"/>
      <c r="E153" s="40"/>
      <c r="F153" s="40"/>
      <c r="G153" s="40"/>
      <c r="H153" s="40"/>
      <c r="I153" s="40"/>
      <c r="J153" s="40"/>
      <c r="K153" s="40"/>
      <c r="L153" s="40"/>
      <c r="M153" s="40"/>
      <c r="N153" s="40"/>
      <c r="O153" s="40"/>
      <c r="P153" s="40"/>
      <c r="Q153" s="40"/>
      <c r="R153" s="40"/>
      <c r="S153" s="40"/>
      <c r="T153" s="40"/>
      <c r="U153" s="40"/>
      <c r="V153" s="40"/>
      <c r="W153" s="40"/>
      <c r="X153" s="40"/>
      <c r="Y153" s="40"/>
      <c r="Z153" s="40"/>
      <c r="AA153" s="40"/>
      <c r="AB153" s="40"/>
      <c r="AC153" s="40"/>
      <c r="AD153" s="40"/>
      <c r="AE153" s="40"/>
      <c r="AF153" s="40"/>
      <c r="AG153" s="40"/>
      <c r="AH153" s="40"/>
      <c r="AI153" s="40"/>
      <c r="AJ153" s="40"/>
      <c r="AK153" s="40"/>
      <c r="AL153" s="40"/>
      <c r="AM153" s="40"/>
      <c r="AN153" s="40"/>
      <c r="AO153" s="40"/>
      <c r="AP153" s="40"/>
      <c r="AQ153" s="40"/>
      <c r="AR153" s="40"/>
      <c r="AS153" s="40"/>
      <c r="AT153" s="40"/>
      <c r="AU153" s="40"/>
      <c r="AV153" s="40"/>
      <c r="AW153" s="40"/>
      <c r="AX153" s="40"/>
      <c r="AY153" s="40"/>
      <c r="AZ153" s="40"/>
      <c r="BA153" s="40"/>
      <c r="BB153" s="40"/>
      <c r="BC153" s="40"/>
      <c r="BD153" s="40"/>
      <c r="BE153" s="40"/>
      <c r="BF153" s="40"/>
      <c r="BG153" s="40"/>
      <c r="BH153" s="40"/>
      <c r="BI153" s="40"/>
      <c r="BJ153" s="40"/>
      <c r="BK153" s="40"/>
      <c r="BL153" s="40"/>
      <c r="BM153" s="40"/>
      <c r="BN153" s="40"/>
      <c r="BO153" s="40"/>
      <c r="BP153" s="40"/>
      <c r="BQ153" s="40"/>
      <c r="BR153" s="40"/>
      <c r="BS153" s="40"/>
      <c r="BT153" s="40"/>
      <c r="BU153" s="40"/>
      <c r="BV153" s="40"/>
      <c r="BW153" s="40"/>
      <c r="BX153" s="40"/>
      <c r="BY153" s="40"/>
      <c r="BZ153" s="40"/>
      <c r="CA153" s="40"/>
      <c r="CB153" s="40"/>
      <c r="CC153" s="40"/>
      <c r="CD153" s="40"/>
      <c r="CE153" s="40"/>
      <c r="CF153" s="40"/>
      <c r="CG153" s="40"/>
      <c r="CH153" s="40"/>
      <c r="CI153" s="40"/>
      <c r="CJ153" s="40"/>
      <c r="CK153" s="40"/>
      <c r="CL153" s="40"/>
    </row>
    <row r="154" spans="1:90" x14ac:dyDescent="0.25">
      <c r="A154" s="40"/>
      <c r="B154" s="40"/>
      <c r="C154" s="40"/>
      <c r="D154" s="40"/>
      <c r="E154" s="40"/>
      <c r="F154" s="40"/>
      <c r="G154" s="40"/>
      <c r="H154" s="40"/>
      <c r="I154" s="40"/>
      <c r="J154" s="40"/>
      <c r="K154" s="40"/>
      <c r="L154" s="40"/>
      <c r="M154" s="40"/>
      <c r="N154" s="40"/>
      <c r="O154" s="40"/>
      <c r="P154" s="40"/>
      <c r="Q154" s="40"/>
      <c r="R154" s="40"/>
      <c r="S154" s="40"/>
      <c r="T154" s="40"/>
      <c r="U154" s="40"/>
      <c r="V154" s="40"/>
      <c r="W154" s="40"/>
      <c r="X154" s="40"/>
      <c r="Y154" s="40"/>
      <c r="Z154" s="40"/>
      <c r="AA154" s="40"/>
      <c r="AB154" s="40"/>
      <c r="AC154" s="40"/>
      <c r="AD154" s="40"/>
      <c r="AE154" s="40"/>
      <c r="AF154" s="40"/>
      <c r="AG154" s="40"/>
      <c r="AH154" s="40"/>
      <c r="AI154" s="40"/>
      <c r="AJ154" s="40"/>
      <c r="AK154" s="40"/>
      <c r="AL154" s="40"/>
      <c r="AM154" s="40"/>
      <c r="AN154" s="40"/>
      <c r="AO154" s="40"/>
      <c r="AP154" s="40"/>
      <c r="AQ154" s="40"/>
      <c r="AR154" s="40"/>
      <c r="AS154" s="40"/>
      <c r="AT154" s="40"/>
      <c r="AU154" s="40"/>
      <c r="AV154" s="40"/>
      <c r="AW154" s="40"/>
      <c r="AX154" s="40"/>
      <c r="AY154" s="40"/>
      <c r="AZ154" s="40"/>
      <c r="BA154" s="40"/>
      <c r="BB154" s="40"/>
      <c r="BC154" s="40"/>
      <c r="BD154" s="40"/>
      <c r="BE154" s="40"/>
      <c r="BF154" s="40"/>
      <c r="BG154" s="40"/>
      <c r="BH154" s="40"/>
      <c r="BI154" s="40"/>
      <c r="BJ154" s="40"/>
      <c r="BK154" s="40"/>
      <c r="BL154" s="40"/>
      <c r="BM154" s="40"/>
      <c r="BN154" s="40"/>
      <c r="BO154" s="40"/>
      <c r="BP154" s="40"/>
      <c r="BQ154" s="40"/>
      <c r="BR154" s="40"/>
      <c r="BS154" s="40"/>
      <c r="BT154" s="40"/>
      <c r="BU154" s="40"/>
      <c r="BV154" s="40"/>
      <c r="BW154" s="40"/>
      <c r="BX154" s="40"/>
      <c r="BY154" s="40"/>
      <c r="BZ154" s="40"/>
      <c r="CA154" s="40"/>
      <c r="CB154" s="40"/>
      <c r="CC154" s="40"/>
      <c r="CD154" s="40"/>
      <c r="CE154" s="40"/>
      <c r="CF154" s="40"/>
      <c r="CG154" s="40"/>
      <c r="CH154" s="40"/>
      <c r="CI154" s="40"/>
      <c r="CJ154" s="40"/>
      <c r="CK154" s="40"/>
      <c r="CL154" s="40"/>
    </row>
    <row r="155" spans="1:90" x14ac:dyDescent="0.25">
      <c r="A155" s="40"/>
      <c r="B155" s="40"/>
      <c r="C155" s="40"/>
      <c r="D155" s="40"/>
      <c r="E155" s="40"/>
      <c r="F155" s="40"/>
      <c r="G155" s="40"/>
      <c r="H155" s="40"/>
      <c r="I155" s="40"/>
      <c r="J155" s="40"/>
      <c r="K155" s="40"/>
      <c r="L155" s="40"/>
      <c r="M155" s="40"/>
      <c r="N155" s="40"/>
      <c r="O155" s="40"/>
      <c r="P155" s="40"/>
      <c r="Q155" s="40"/>
      <c r="R155" s="40"/>
      <c r="S155" s="40"/>
      <c r="T155" s="40"/>
      <c r="U155" s="40"/>
      <c r="V155" s="40"/>
      <c r="W155" s="40"/>
      <c r="X155" s="40"/>
      <c r="Y155" s="40"/>
      <c r="Z155" s="40"/>
      <c r="AA155" s="40"/>
      <c r="AB155" s="40"/>
      <c r="AC155" s="40"/>
      <c r="AD155" s="40"/>
      <c r="AE155" s="40"/>
      <c r="AF155" s="40"/>
      <c r="AG155" s="40"/>
      <c r="AH155" s="40"/>
      <c r="AI155" s="40"/>
      <c r="AJ155" s="40"/>
      <c r="AK155" s="40"/>
      <c r="AL155" s="40"/>
      <c r="AM155" s="40"/>
      <c r="AN155" s="40"/>
      <c r="AO155" s="40"/>
      <c r="AP155" s="40"/>
      <c r="AQ155" s="40"/>
      <c r="AR155" s="40"/>
      <c r="AS155" s="40"/>
      <c r="AT155" s="40"/>
      <c r="AU155" s="40"/>
      <c r="AV155" s="40"/>
      <c r="AW155" s="40"/>
      <c r="AX155" s="40"/>
      <c r="AY155" s="40"/>
      <c r="AZ155" s="40"/>
      <c r="BA155" s="40"/>
      <c r="BB155" s="40"/>
      <c r="BC155" s="40"/>
      <c r="BD155" s="40"/>
      <c r="BE155" s="40"/>
      <c r="BF155" s="40"/>
      <c r="BG155" s="40"/>
      <c r="BH155" s="40"/>
      <c r="BI155" s="40"/>
      <c r="BJ155" s="40"/>
      <c r="BK155" s="40"/>
      <c r="BL155" s="40"/>
      <c r="BM155" s="40"/>
      <c r="BN155" s="40"/>
      <c r="BO155" s="40"/>
      <c r="BP155" s="40"/>
      <c r="BQ155" s="40"/>
      <c r="BR155" s="40"/>
      <c r="BS155" s="40"/>
      <c r="BT155" s="40"/>
      <c r="BU155" s="40"/>
      <c r="BV155" s="40"/>
      <c r="BW155" s="40"/>
      <c r="BX155" s="40"/>
      <c r="BY155" s="40"/>
      <c r="BZ155" s="40"/>
      <c r="CA155" s="40"/>
      <c r="CB155" s="40"/>
      <c r="CC155" s="40"/>
      <c r="CD155" s="40"/>
      <c r="CE155" s="40"/>
      <c r="CF155" s="40"/>
      <c r="CG155" s="40"/>
      <c r="CH155" s="40"/>
      <c r="CI155" s="40"/>
      <c r="CJ155" s="40"/>
      <c r="CK155" s="40"/>
      <c r="CL155" s="40"/>
    </row>
    <row r="156" spans="1:90" x14ac:dyDescent="0.25">
      <c r="A156" s="40"/>
      <c r="B156" s="40"/>
      <c r="C156" s="40"/>
      <c r="D156" s="40"/>
      <c r="E156" s="40"/>
      <c r="F156" s="40"/>
      <c r="G156" s="40"/>
      <c r="H156" s="40"/>
      <c r="I156" s="40"/>
      <c r="J156" s="40"/>
      <c r="K156" s="40"/>
      <c r="L156" s="40"/>
      <c r="M156" s="40"/>
      <c r="N156" s="40"/>
      <c r="O156" s="40"/>
      <c r="P156" s="40"/>
      <c r="Q156" s="40"/>
      <c r="R156" s="40"/>
      <c r="S156" s="40"/>
      <c r="T156" s="40"/>
      <c r="U156" s="40"/>
      <c r="V156" s="40"/>
      <c r="W156" s="40"/>
      <c r="X156" s="40"/>
      <c r="Y156" s="40"/>
      <c r="Z156" s="40"/>
      <c r="AA156" s="40"/>
      <c r="AB156" s="40"/>
      <c r="AC156" s="40"/>
      <c r="AD156" s="40"/>
      <c r="AE156" s="40"/>
      <c r="AF156" s="40"/>
      <c r="AG156" s="40"/>
      <c r="AH156" s="40"/>
      <c r="AI156" s="40"/>
      <c r="AJ156" s="40"/>
      <c r="AK156" s="40"/>
      <c r="AL156" s="40"/>
      <c r="AM156" s="40"/>
      <c r="AN156" s="40"/>
      <c r="AO156" s="40"/>
      <c r="AP156" s="40"/>
      <c r="AQ156" s="40"/>
      <c r="AR156" s="40"/>
      <c r="AS156" s="40"/>
      <c r="AT156" s="40"/>
      <c r="AU156" s="40"/>
      <c r="AV156" s="40"/>
      <c r="AW156" s="40"/>
      <c r="AX156" s="40"/>
      <c r="AY156" s="40"/>
      <c r="AZ156" s="40"/>
      <c r="BA156" s="40"/>
      <c r="BB156" s="40"/>
      <c r="BC156" s="40"/>
      <c r="BD156" s="40"/>
      <c r="BE156" s="40"/>
      <c r="BF156" s="40"/>
      <c r="BG156" s="40"/>
      <c r="BH156" s="40"/>
      <c r="BI156" s="40"/>
      <c r="BJ156" s="40"/>
      <c r="BK156" s="40"/>
      <c r="BL156" s="40"/>
      <c r="BM156" s="40"/>
      <c r="BN156" s="40"/>
      <c r="BO156" s="40"/>
      <c r="BP156" s="40"/>
      <c r="BQ156" s="40"/>
      <c r="BR156" s="40"/>
      <c r="BS156" s="40"/>
      <c r="BT156" s="40"/>
      <c r="BU156" s="40"/>
      <c r="BV156" s="40"/>
      <c r="BW156" s="40"/>
      <c r="BX156" s="40"/>
      <c r="BY156" s="40"/>
      <c r="BZ156" s="40"/>
      <c r="CA156" s="40"/>
      <c r="CB156" s="40"/>
      <c r="CC156" s="40"/>
      <c r="CD156" s="40"/>
      <c r="CE156" s="40"/>
      <c r="CF156" s="40"/>
      <c r="CG156" s="40"/>
      <c r="CH156" s="40"/>
      <c r="CI156" s="40"/>
      <c r="CJ156" s="40"/>
      <c r="CK156" s="40"/>
      <c r="CL156" s="40"/>
    </row>
    <row r="157" spans="1:90" x14ac:dyDescent="0.25">
      <c r="A157" s="40"/>
      <c r="B157" s="40"/>
      <c r="C157" s="40"/>
      <c r="D157" s="40"/>
      <c r="E157" s="40"/>
      <c r="F157" s="40"/>
      <c r="G157" s="40"/>
      <c r="H157" s="40"/>
      <c r="I157" s="40"/>
      <c r="J157" s="40"/>
      <c r="K157" s="40"/>
      <c r="L157" s="40"/>
      <c r="M157" s="40"/>
      <c r="N157" s="40"/>
      <c r="O157" s="40"/>
      <c r="P157" s="40"/>
      <c r="Q157" s="40"/>
      <c r="R157" s="40"/>
      <c r="S157" s="40"/>
      <c r="T157" s="40"/>
      <c r="U157" s="40"/>
      <c r="V157" s="40"/>
      <c r="W157" s="40"/>
      <c r="X157" s="40"/>
      <c r="Y157" s="40"/>
      <c r="Z157" s="40"/>
      <c r="AA157" s="40"/>
      <c r="AB157" s="40"/>
      <c r="AC157" s="40"/>
      <c r="AD157" s="40"/>
      <c r="AE157" s="40"/>
      <c r="AF157" s="40"/>
      <c r="AG157" s="40"/>
      <c r="AH157" s="40"/>
      <c r="AI157" s="40"/>
      <c r="AJ157" s="40"/>
      <c r="AK157" s="40"/>
      <c r="AL157" s="40"/>
      <c r="AM157" s="40"/>
      <c r="AN157" s="40"/>
      <c r="AO157" s="40"/>
      <c r="AP157" s="40"/>
      <c r="AQ157" s="40"/>
      <c r="AR157" s="40"/>
      <c r="AS157" s="40"/>
      <c r="AT157" s="40"/>
      <c r="AU157" s="40"/>
      <c r="AV157" s="40"/>
      <c r="AW157" s="40"/>
      <c r="AX157" s="40"/>
      <c r="AY157" s="40"/>
      <c r="AZ157" s="40"/>
      <c r="BA157" s="40"/>
      <c r="BB157" s="40"/>
      <c r="BC157" s="40"/>
      <c r="BD157" s="40"/>
      <c r="BE157" s="40"/>
      <c r="BF157" s="40"/>
      <c r="BG157" s="40"/>
      <c r="BH157" s="40"/>
      <c r="BI157" s="40"/>
      <c r="BJ157" s="40"/>
      <c r="BK157" s="40"/>
      <c r="BL157" s="40"/>
      <c r="BM157" s="40"/>
      <c r="BN157" s="40"/>
      <c r="BO157" s="40"/>
      <c r="BP157" s="40"/>
      <c r="BQ157" s="40"/>
      <c r="BR157" s="40"/>
      <c r="BS157" s="40"/>
      <c r="BT157" s="40"/>
      <c r="BU157" s="40"/>
      <c r="BV157" s="40"/>
      <c r="BW157" s="40"/>
      <c r="BX157" s="40"/>
      <c r="BY157" s="40"/>
      <c r="BZ157" s="40"/>
      <c r="CA157" s="40"/>
      <c r="CB157" s="40"/>
      <c r="CC157" s="40"/>
      <c r="CD157" s="40"/>
      <c r="CE157" s="40"/>
      <c r="CF157" s="40"/>
      <c r="CG157" s="40"/>
      <c r="CH157" s="40"/>
      <c r="CI157" s="40"/>
      <c r="CJ157" s="40"/>
      <c r="CK157" s="40"/>
      <c r="CL157" s="40"/>
    </row>
    <row r="158" spans="1:90" x14ac:dyDescent="0.25">
      <c r="A158" s="40"/>
      <c r="B158" s="40"/>
      <c r="C158" s="40"/>
      <c r="D158" s="40"/>
      <c r="E158" s="40"/>
      <c r="F158" s="40"/>
      <c r="G158" s="40"/>
      <c r="H158" s="40"/>
      <c r="I158" s="40"/>
      <c r="J158" s="40"/>
      <c r="K158" s="40"/>
      <c r="L158" s="40"/>
      <c r="M158" s="40"/>
      <c r="N158" s="40"/>
      <c r="O158" s="40"/>
      <c r="P158" s="40"/>
      <c r="Q158" s="40"/>
      <c r="R158" s="40"/>
      <c r="S158" s="40"/>
      <c r="T158" s="40"/>
      <c r="U158" s="40"/>
      <c r="V158" s="40"/>
      <c r="W158" s="40"/>
      <c r="X158" s="40"/>
      <c r="Y158" s="40"/>
      <c r="Z158" s="40"/>
      <c r="AA158" s="40"/>
      <c r="AB158" s="40"/>
      <c r="AC158" s="40"/>
      <c r="AD158" s="40"/>
      <c r="AE158" s="40"/>
      <c r="AF158" s="40"/>
      <c r="AG158" s="40"/>
      <c r="AH158" s="40"/>
      <c r="AI158" s="40"/>
      <c r="AJ158" s="40"/>
      <c r="AK158" s="40"/>
      <c r="AL158" s="40"/>
      <c r="AM158" s="40"/>
      <c r="AN158" s="40"/>
      <c r="AO158" s="40"/>
      <c r="AP158" s="40"/>
      <c r="AQ158" s="40"/>
      <c r="AR158" s="40"/>
      <c r="AS158" s="40"/>
      <c r="AT158" s="40"/>
      <c r="AU158" s="40"/>
      <c r="AV158" s="40"/>
      <c r="AW158" s="40"/>
      <c r="AX158" s="40"/>
      <c r="AY158" s="40"/>
      <c r="AZ158" s="40"/>
      <c r="BA158" s="40"/>
      <c r="BB158" s="40"/>
      <c r="BC158" s="40"/>
      <c r="BD158" s="40"/>
      <c r="BE158" s="40"/>
      <c r="BF158" s="40"/>
      <c r="BG158" s="40"/>
      <c r="BH158" s="40"/>
      <c r="BI158" s="40"/>
      <c r="BJ158" s="40"/>
      <c r="BK158" s="40"/>
      <c r="BL158" s="40"/>
      <c r="BM158" s="40"/>
      <c r="BN158" s="40"/>
      <c r="BO158" s="40"/>
      <c r="BP158" s="40"/>
      <c r="BQ158" s="40"/>
      <c r="BR158" s="40"/>
      <c r="BS158" s="40"/>
      <c r="BT158" s="40"/>
      <c r="BU158" s="40"/>
      <c r="BV158" s="40"/>
      <c r="BW158" s="40"/>
      <c r="BX158" s="40"/>
      <c r="BY158" s="40"/>
      <c r="BZ158" s="40"/>
      <c r="CA158" s="40"/>
      <c r="CB158" s="40"/>
      <c r="CC158" s="40"/>
      <c r="CD158" s="40"/>
      <c r="CE158" s="40"/>
      <c r="CF158" s="40"/>
      <c r="CG158" s="40"/>
      <c r="CH158" s="40"/>
      <c r="CI158" s="40"/>
      <c r="CJ158" s="40"/>
      <c r="CK158" s="40"/>
      <c r="CL158" s="40"/>
    </row>
    <row r="159" spans="1:90" x14ac:dyDescent="0.25">
      <c r="A159" s="40"/>
      <c r="B159" s="40"/>
      <c r="C159" s="40"/>
      <c r="D159" s="40"/>
      <c r="E159" s="40"/>
      <c r="F159" s="40"/>
      <c r="G159" s="40"/>
      <c r="H159" s="40"/>
      <c r="I159" s="40"/>
      <c r="J159" s="40"/>
      <c r="K159" s="40"/>
      <c r="L159" s="40"/>
      <c r="M159" s="40"/>
      <c r="N159" s="40"/>
      <c r="O159" s="40"/>
      <c r="P159" s="40"/>
      <c r="Q159" s="40"/>
      <c r="R159" s="40"/>
      <c r="S159" s="40"/>
      <c r="T159" s="40"/>
      <c r="U159" s="40"/>
      <c r="V159" s="40"/>
      <c r="W159" s="40"/>
      <c r="X159" s="40"/>
      <c r="Y159" s="40"/>
      <c r="Z159" s="40"/>
      <c r="AA159" s="40"/>
      <c r="AB159" s="40"/>
      <c r="AC159" s="40"/>
      <c r="AD159" s="40"/>
      <c r="AE159" s="40"/>
      <c r="AF159" s="40"/>
      <c r="AG159" s="40"/>
      <c r="AH159" s="40"/>
      <c r="AI159" s="40"/>
      <c r="AJ159" s="40"/>
      <c r="AK159" s="40"/>
      <c r="AL159" s="40"/>
      <c r="AM159" s="40"/>
      <c r="AN159" s="40"/>
      <c r="AO159" s="40"/>
      <c r="AP159" s="40"/>
      <c r="AQ159" s="40"/>
      <c r="AR159" s="40"/>
      <c r="AS159" s="40"/>
      <c r="AT159" s="40"/>
      <c r="AU159" s="40"/>
      <c r="AV159" s="40"/>
      <c r="AW159" s="40"/>
      <c r="AX159" s="40"/>
      <c r="AY159" s="40"/>
      <c r="AZ159" s="40"/>
      <c r="BA159" s="40"/>
      <c r="BB159" s="40"/>
      <c r="BC159" s="40"/>
      <c r="BD159" s="40"/>
      <c r="BE159" s="40"/>
      <c r="BF159" s="40"/>
      <c r="BG159" s="40"/>
      <c r="BH159" s="40"/>
      <c r="BI159" s="40"/>
      <c r="BJ159" s="40"/>
      <c r="BK159" s="40"/>
      <c r="BL159" s="40"/>
      <c r="BM159" s="40"/>
      <c r="BN159" s="40"/>
      <c r="BO159" s="40"/>
      <c r="BP159" s="40"/>
      <c r="BQ159" s="40"/>
      <c r="BR159" s="40"/>
      <c r="BS159" s="40"/>
      <c r="BT159" s="40"/>
      <c r="BU159" s="40"/>
      <c r="BV159" s="40"/>
      <c r="BW159" s="40"/>
      <c r="BX159" s="40"/>
      <c r="BY159" s="40"/>
      <c r="BZ159" s="40"/>
      <c r="CA159" s="40"/>
      <c r="CB159" s="40"/>
      <c r="CC159" s="40"/>
      <c r="CD159" s="40"/>
      <c r="CE159" s="40"/>
      <c r="CF159" s="40"/>
      <c r="CG159" s="40"/>
      <c r="CH159" s="40"/>
      <c r="CI159" s="40"/>
      <c r="CJ159" s="40"/>
      <c r="CK159" s="40"/>
      <c r="CL159" s="40"/>
    </row>
    <row r="160" spans="1:90" x14ac:dyDescent="0.25">
      <c r="A160" s="40"/>
      <c r="B160" s="40"/>
      <c r="C160" s="40"/>
      <c r="D160" s="40"/>
      <c r="E160" s="40"/>
      <c r="F160" s="40"/>
      <c r="G160" s="40"/>
      <c r="H160" s="40"/>
      <c r="I160" s="40"/>
      <c r="J160" s="40"/>
      <c r="K160" s="40"/>
      <c r="L160" s="40"/>
      <c r="M160" s="40"/>
      <c r="N160" s="40"/>
      <c r="O160" s="40"/>
      <c r="P160" s="40"/>
      <c r="Q160" s="40"/>
      <c r="R160" s="40"/>
      <c r="S160" s="40"/>
      <c r="T160" s="40"/>
      <c r="U160" s="40"/>
      <c r="V160" s="40"/>
      <c r="W160" s="40"/>
      <c r="X160" s="40"/>
      <c r="Y160" s="40"/>
      <c r="Z160" s="40"/>
      <c r="AA160" s="40"/>
      <c r="AB160" s="40"/>
      <c r="AC160" s="40"/>
      <c r="AD160" s="40"/>
      <c r="AE160" s="40"/>
      <c r="AF160" s="40"/>
      <c r="AG160" s="40"/>
      <c r="AH160" s="40"/>
      <c r="AI160" s="40"/>
      <c r="AJ160" s="40"/>
      <c r="AK160" s="40"/>
      <c r="AL160" s="40"/>
      <c r="AM160" s="40"/>
      <c r="AN160" s="40"/>
      <c r="AO160" s="40"/>
      <c r="AP160" s="40"/>
      <c r="AQ160" s="40"/>
      <c r="AR160" s="40"/>
      <c r="AS160" s="40"/>
      <c r="AT160" s="40"/>
      <c r="AU160" s="40"/>
      <c r="AV160" s="40"/>
      <c r="AW160" s="40"/>
      <c r="AX160" s="40"/>
      <c r="AY160" s="40"/>
      <c r="AZ160" s="40"/>
      <c r="BA160" s="40"/>
      <c r="BB160" s="40"/>
      <c r="BC160" s="40"/>
      <c r="BD160" s="40"/>
      <c r="BE160" s="40"/>
      <c r="BF160" s="40"/>
      <c r="BG160" s="40"/>
      <c r="BH160" s="40"/>
      <c r="BI160" s="40"/>
      <c r="BJ160" s="40"/>
      <c r="BK160" s="40"/>
      <c r="BL160" s="40"/>
      <c r="BM160" s="40"/>
      <c r="BN160" s="40"/>
      <c r="BO160" s="40"/>
      <c r="BP160" s="40"/>
      <c r="BQ160" s="40"/>
      <c r="BR160" s="40"/>
      <c r="BS160" s="40"/>
      <c r="BT160" s="40"/>
      <c r="BU160" s="40"/>
      <c r="BV160" s="40"/>
      <c r="BW160" s="40"/>
      <c r="BX160" s="40"/>
      <c r="BY160" s="40"/>
      <c r="BZ160" s="40"/>
      <c r="CA160" s="40"/>
      <c r="CB160" s="40"/>
      <c r="CC160" s="40"/>
      <c r="CD160" s="40"/>
      <c r="CE160" s="40"/>
      <c r="CF160" s="40"/>
      <c r="CG160" s="40"/>
      <c r="CH160" s="40"/>
      <c r="CI160" s="40"/>
      <c r="CJ160" s="40"/>
      <c r="CK160" s="40"/>
      <c r="CL160" s="40"/>
    </row>
    <row r="161" spans="1:90" x14ac:dyDescent="0.25">
      <c r="A161" s="40"/>
      <c r="B161" s="40"/>
      <c r="C161" s="40"/>
      <c r="D161" s="40"/>
      <c r="E161" s="40"/>
      <c r="F161" s="40"/>
      <c r="G161" s="40"/>
      <c r="H161" s="40"/>
      <c r="I161" s="40"/>
      <c r="J161" s="40"/>
      <c r="K161" s="40"/>
      <c r="L161" s="40"/>
      <c r="M161" s="40"/>
      <c r="N161" s="40"/>
      <c r="O161" s="40"/>
      <c r="P161" s="40"/>
      <c r="Q161" s="40"/>
      <c r="R161" s="40"/>
      <c r="S161" s="40"/>
      <c r="T161" s="40"/>
      <c r="U161" s="40"/>
      <c r="V161" s="40"/>
      <c r="W161" s="40"/>
      <c r="X161" s="40"/>
      <c r="Y161" s="40"/>
      <c r="Z161" s="40"/>
      <c r="AA161" s="40"/>
      <c r="AB161" s="40"/>
      <c r="AC161" s="40"/>
      <c r="AD161" s="40"/>
      <c r="AE161" s="40"/>
      <c r="AF161" s="40"/>
      <c r="AG161" s="40"/>
      <c r="AH161" s="40"/>
      <c r="AI161" s="40"/>
      <c r="AJ161" s="40"/>
      <c r="AK161" s="40"/>
      <c r="AL161" s="40"/>
      <c r="AM161" s="40"/>
      <c r="AN161" s="40"/>
      <c r="AO161" s="40"/>
      <c r="AP161" s="40"/>
      <c r="AQ161" s="40"/>
      <c r="AR161" s="40"/>
      <c r="AS161" s="40"/>
      <c r="AT161" s="40"/>
      <c r="AU161" s="40"/>
      <c r="AV161" s="40"/>
      <c r="AW161" s="40"/>
      <c r="AX161" s="40"/>
      <c r="AY161" s="40"/>
      <c r="AZ161" s="40"/>
      <c r="BA161" s="40"/>
      <c r="BB161" s="40"/>
      <c r="BC161" s="40"/>
      <c r="BD161" s="40"/>
      <c r="BE161" s="40"/>
      <c r="BF161" s="40"/>
      <c r="BG161" s="40"/>
      <c r="BH161" s="40"/>
      <c r="BI161" s="40"/>
      <c r="BJ161" s="40"/>
      <c r="BK161" s="40"/>
      <c r="BL161" s="40"/>
      <c r="BM161" s="40"/>
      <c r="BN161" s="40"/>
      <c r="BO161" s="40"/>
      <c r="BP161" s="40"/>
      <c r="BQ161" s="40"/>
      <c r="BR161" s="40"/>
      <c r="BS161" s="40"/>
      <c r="BT161" s="40"/>
      <c r="BU161" s="40"/>
      <c r="BV161" s="40"/>
      <c r="BW161" s="40"/>
      <c r="BX161" s="40"/>
      <c r="BY161" s="40"/>
      <c r="BZ161" s="40"/>
      <c r="CA161" s="40"/>
      <c r="CB161" s="40"/>
      <c r="CC161" s="40"/>
      <c r="CD161" s="40"/>
      <c r="CE161" s="40"/>
      <c r="CF161" s="40"/>
      <c r="CG161" s="40"/>
      <c r="CH161" s="40"/>
      <c r="CI161" s="40"/>
      <c r="CJ161" s="40"/>
      <c r="CK161" s="40"/>
      <c r="CL161" s="40"/>
    </row>
    <row r="162" spans="1:90" x14ac:dyDescent="0.25">
      <c r="A162" s="40"/>
      <c r="B162" s="40"/>
      <c r="C162" s="40"/>
      <c r="D162" s="40"/>
      <c r="E162" s="40"/>
      <c r="F162" s="40"/>
      <c r="G162" s="40"/>
      <c r="H162" s="40"/>
      <c r="I162" s="40"/>
      <c r="J162" s="40"/>
      <c r="K162" s="40"/>
      <c r="L162" s="40"/>
      <c r="M162" s="40"/>
      <c r="N162" s="40"/>
      <c r="O162" s="40"/>
      <c r="P162" s="40"/>
      <c r="Q162" s="40"/>
      <c r="R162" s="40"/>
      <c r="S162" s="40"/>
      <c r="T162" s="40"/>
      <c r="U162" s="40"/>
      <c r="V162" s="40"/>
      <c r="W162" s="40"/>
      <c r="X162" s="40"/>
      <c r="Y162" s="40"/>
      <c r="Z162" s="40"/>
      <c r="AA162" s="40"/>
      <c r="AB162" s="40"/>
      <c r="AC162" s="40"/>
      <c r="AD162" s="40"/>
      <c r="AE162" s="40"/>
      <c r="AF162" s="40"/>
      <c r="AG162" s="40"/>
      <c r="AH162" s="40"/>
      <c r="AI162" s="40"/>
      <c r="AJ162" s="40"/>
      <c r="AK162" s="40"/>
      <c r="AL162" s="40"/>
      <c r="AM162" s="40"/>
      <c r="AN162" s="40"/>
      <c r="AO162" s="40"/>
      <c r="AP162" s="40"/>
      <c r="AQ162" s="40"/>
      <c r="AR162" s="40"/>
      <c r="AS162" s="40"/>
      <c r="AT162" s="40"/>
      <c r="AU162" s="40"/>
      <c r="AV162" s="40"/>
      <c r="AW162" s="40"/>
      <c r="AX162" s="40"/>
      <c r="AY162" s="40"/>
      <c r="AZ162" s="40"/>
      <c r="BA162" s="40"/>
      <c r="BB162" s="40"/>
      <c r="BC162" s="40"/>
      <c r="BD162" s="40"/>
      <c r="BE162" s="40"/>
      <c r="BF162" s="40"/>
      <c r="BG162" s="40"/>
      <c r="BH162" s="40"/>
      <c r="BI162" s="40"/>
      <c r="BJ162" s="40"/>
      <c r="BK162" s="40"/>
      <c r="BL162" s="40"/>
      <c r="BM162" s="40"/>
      <c r="BN162" s="40"/>
      <c r="BO162" s="40"/>
      <c r="BP162" s="40"/>
      <c r="BQ162" s="40"/>
      <c r="BR162" s="40"/>
      <c r="BS162" s="40"/>
      <c r="BT162" s="40"/>
      <c r="BU162" s="40"/>
      <c r="BV162" s="40"/>
      <c r="BW162" s="40"/>
      <c r="BX162" s="40"/>
      <c r="BY162" s="40"/>
      <c r="BZ162" s="40"/>
      <c r="CA162" s="40"/>
      <c r="CB162" s="40"/>
      <c r="CC162" s="40"/>
      <c r="CD162" s="40"/>
      <c r="CE162" s="40"/>
      <c r="CF162" s="40"/>
      <c r="CG162" s="40"/>
      <c r="CH162" s="40"/>
      <c r="CI162" s="40"/>
      <c r="CJ162" s="40"/>
      <c r="CK162" s="40"/>
      <c r="CL162" s="40"/>
    </row>
    <row r="163" spans="1:90" x14ac:dyDescent="0.25">
      <c r="A163" s="40"/>
      <c r="B163" s="40"/>
      <c r="C163" s="40"/>
      <c r="D163" s="40"/>
      <c r="E163" s="40"/>
      <c r="F163" s="40"/>
      <c r="G163" s="40"/>
      <c r="H163" s="40"/>
      <c r="I163" s="40"/>
      <c r="J163" s="40"/>
      <c r="K163" s="40"/>
      <c r="L163" s="40"/>
      <c r="M163" s="40"/>
      <c r="N163" s="40"/>
      <c r="O163" s="40"/>
      <c r="P163" s="40"/>
      <c r="Q163" s="40"/>
      <c r="R163" s="40"/>
      <c r="S163" s="40"/>
      <c r="T163" s="40"/>
      <c r="U163" s="40"/>
      <c r="V163" s="40"/>
      <c r="W163" s="40"/>
      <c r="X163" s="40"/>
      <c r="Y163" s="40"/>
      <c r="Z163" s="40"/>
      <c r="AA163" s="40"/>
      <c r="AB163" s="40"/>
      <c r="AC163" s="40"/>
      <c r="AD163" s="40"/>
      <c r="AE163" s="40"/>
      <c r="AF163" s="40"/>
      <c r="AG163" s="40"/>
      <c r="AH163" s="40"/>
      <c r="AI163" s="40"/>
      <c r="AJ163" s="40"/>
      <c r="AK163" s="40"/>
      <c r="AL163" s="40"/>
      <c r="AM163" s="40"/>
      <c r="AN163" s="40"/>
      <c r="AO163" s="40"/>
      <c r="AP163" s="40"/>
      <c r="AQ163" s="40"/>
      <c r="AR163" s="40"/>
      <c r="AS163" s="40"/>
      <c r="AT163" s="40"/>
      <c r="AU163" s="40"/>
      <c r="AV163" s="40"/>
      <c r="AW163" s="40"/>
      <c r="AX163" s="40"/>
      <c r="AY163" s="40"/>
      <c r="AZ163" s="40"/>
      <c r="BA163" s="40"/>
      <c r="BB163" s="40"/>
      <c r="BC163" s="40"/>
      <c r="BD163" s="40"/>
      <c r="BE163" s="40"/>
      <c r="BF163" s="40"/>
      <c r="BG163" s="40"/>
      <c r="BH163" s="40"/>
      <c r="BI163" s="40"/>
      <c r="BJ163" s="40"/>
      <c r="BK163" s="40"/>
      <c r="BL163" s="40"/>
      <c r="BM163" s="40"/>
      <c r="BN163" s="40"/>
      <c r="BO163" s="40"/>
      <c r="BP163" s="40"/>
      <c r="BQ163" s="40"/>
      <c r="BR163" s="40"/>
      <c r="BS163" s="40"/>
      <c r="BT163" s="40"/>
      <c r="BU163" s="40"/>
      <c r="BV163" s="40"/>
      <c r="BW163" s="40"/>
      <c r="BX163" s="40"/>
      <c r="BY163" s="40"/>
      <c r="BZ163" s="40"/>
      <c r="CA163" s="40"/>
      <c r="CB163" s="40"/>
      <c r="CC163" s="40"/>
      <c r="CD163" s="40"/>
      <c r="CE163" s="40"/>
      <c r="CF163" s="40"/>
      <c r="CG163" s="40"/>
      <c r="CH163" s="40"/>
      <c r="CI163" s="40"/>
      <c r="CJ163" s="40"/>
      <c r="CK163" s="40"/>
      <c r="CL163" s="40"/>
    </row>
    <row r="164" spans="1:90" x14ac:dyDescent="0.25">
      <c r="A164" s="40"/>
      <c r="B164" s="40"/>
      <c r="C164" s="40"/>
      <c r="D164" s="40"/>
      <c r="E164" s="40"/>
      <c r="F164" s="40"/>
      <c r="G164" s="40"/>
      <c r="H164" s="40"/>
      <c r="I164" s="40"/>
      <c r="J164" s="40"/>
      <c r="K164" s="40"/>
      <c r="L164" s="40"/>
      <c r="M164" s="40"/>
      <c r="N164" s="40"/>
      <c r="O164" s="40"/>
      <c r="P164" s="40"/>
      <c r="Q164" s="40"/>
      <c r="R164" s="40"/>
      <c r="S164" s="40"/>
      <c r="T164" s="40"/>
      <c r="U164" s="40"/>
      <c r="V164" s="40"/>
      <c r="W164" s="40"/>
      <c r="X164" s="40"/>
      <c r="Y164" s="40"/>
      <c r="Z164" s="40"/>
      <c r="AA164" s="40"/>
      <c r="AB164" s="40"/>
      <c r="AC164" s="40"/>
      <c r="AD164" s="40"/>
      <c r="AE164" s="40"/>
      <c r="AF164" s="40"/>
      <c r="AG164" s="40"/>
      <c r="AH164" s="40"/>
      <c r="AI164" s="40"/>
      <c r="AJ164" s="40"/>
      <c r="AK164" s="40"/>
      <c r="AL164" s="40"/>
      <c r="AM164" s="40"/>
      <c r="AN164" s="40"/>
      <c r="AO164" s="40"/>
      <c r="AP164" s="40"/>
      <c r="AQ164" s="40"/>
      <c r="AR164" s="40"/>
      <c r="AS164" s="40"/>
      <c r="AT164" s="40"/>
      <c r="AU164" s="40"/>
      <c r="AV164" s="40"/>
      <c r="AW164" s="40"/>
      <c r="AX164" s="40"/>
      <c r="AY164" s="40"/>
      <c r="AZ164" s="40"/>
      <c r="BA164" s="40"/>
      <c r="BB164" s="40"/>
      <c r="BC164" s="40"/>
      <c r="BD164" s="40"/>
      <c r="BE164" s="40"/>
      <c r="BF164" s="40"/>
      <c r="BG164" s="40"/>
      <c r="BH164" s="40"/>
      <c r="BI164" s="40"/>
      <c r="BJ164" s="40"/>
      <c r="BK164" s="40"/>
      <c r="BL164" s="40"/>
      <c r="BM164" s="40"/>
      <c r="BN164" s="40"/>
      <c r="BO164" s="40"/>
      <c r="BP164" s="40"/>
      <c r="BQ164" s="40"/>
      <c r="BR164" s="40"/>
      <c r="BS164" s="40"/>
      <c r="BT164" s="40"/>
      <c r="BU164" s="40"/>
      <c r="BV164" s="40"/>
      <c r="BW164" s="40"/>
      <c r="BX164" s="40"/>
      <c r="BY164" s="40"/>
      <c r="BZ164" s="40"/>
      <c r="CA164" s="40"/>
      <c r="CB164" s="40"/>
      <c r="CC164" s="40"/>
      <c r="CD164" s="40"/>
      <c r="CE164" s="40"/>
      <c r="CF164" s="40"/>
      <c r="CG164" s="40"/>
      <c r="CH164" s="40"/>
      <c r="CI164" s="40"/>
      <c r="CJ164" s="40"/>
      <c r="CK164" s="40"/>
      <c r="CL164" s="40"/>
    </row>
    <row r="165" spans="1:90" x14ac:dyDescent="0.25">
      <c r="A165" s="40"/>
      <c r="B165" s="40"/>
      <c r="C165" s="40"/>
      <c r="D165" s="40"/>
      <c r="E165" s="40"/>
      <c r="F165" s="40"/>
      <c r="G165" s="40"/>
      <c r="H165" s="40"/>
      <c r="I165" s="40"/>
      <c r="J165" s="40"/>
      <c r="K165" s="40"/>
      <c r="L165" s="40"/>
      <c r="M165" s="40"/>
      <c r="N165" s="40"/>
      <c r="O165" s="40"/>
      <c r="P165" s="40"/>
      <c r="Q165" s="40"/>
      <c r="R165" s="40"/>
      <c r="S165" s="40"/>
      <c r="T165" s="40"/>
      <c r="U165" s="40"/>
      <c r="V165" s="40"/>
      <c r="W165" s="40"/>
      <c r="X165" s="40"/>
      <c r="Y165" s="40"/>
      <c r="Z165" s="40"/>
      <c r="AA165" s="40"/>
      <c r="AB165" s="40"/>
      <c r="AC165" s="40"/>
      <c r="AD165" s="40"/>
      <c r="AE165" s="40"/>
      <c r="AF165" s="40"/>
      <c r="AG165" s="40"/>
      <c r="AH165" s="40"/>
      <c r="AI165" s="40"/>
      <c r="AJ165" s="40"/>
      <c r="AK165" s="40"/>
      <c r="AL165" s="40"/>
      <c r="AM165" s="40"/>
      <c r="AN165" s="40"/>
      <c r="AO165" s="40"/>
      <c r="AP165" s="40"/>
      <c r="AQ165" s="40"/>
      <c r="AR165" s="40"/>
      <c r="AS165" s="40"/>
      <c r="AT165" s="40"/>
      <c r="AU165" s="40"/>
      <c r="AV165" s="40"/>
      <c r="AW165" s="40"/>
      <c r="AX165" s="40"/>
      <c r="AY165" s="40"/>
      <c r="AZ165" s="40"/>
      <c r="BA165" s="40"/>
      <c r="BB165" s="40"/>
      <c r="BC165" s="40"/>
      <c r="BD165" s="40"/>
      <c r="BE165" s="40"/>
      <c r="BF165" s="40"/>
      <c r="BG165" s="40"/>
      <c r="BH165" s="40"/>
      <c r="BI165" s="40"/>
      <c r="BJ165" s="40"/>
      <c r="BK165" s="40"/>
      <c r="BL165" s="40"/>
      <c r="BM165" s="40"/>
      <c r="BN165" s="40"/>
      <c r="BO165" s="40"/>
      <c r="BP165" s="40"/>
      <c r="BQ165" s="40"/>
      <c r="BR165" s="40"/>
      <c r="BS165" s="40"/>
      <c r="BT165" s="40"/>
      <c r="BU165" s="40"/>
      <c r="BV165" s="40"/>
      <c r="BW165" s="40"/>
      <c r="BX165" s="40"/>
      <c r="BY165" s="40"/>
      <c r="BZ165" s="40"/>
      <c r="CA165" s="40"/>
      <c r="CB165" s="40"/>
      <c r="CC165" s="40"/>
      <c r="CD165" s="40"/>
      <c r="CE165" s="40"/>
      <c r="CF165" s="40"/>
      <c r="CG165" s="40"/>
      <c r="CH165" s="40"/>
      <c r="CI165" s="40"/>
      <c r="CJ165" s="40"/>
      <c r="CK165" s="40"/>
      <c r="CL165" s="40"/>
    </row>
    <row r="166" spans="1:90" x14ac:dyDescent="0.25">
      <c r="A166" s="40"/>
      <c r="B166" s="40"/>
      <c r="C166" s="40"/>
      <c r="D166" s="40"/>
      <c r="E166" s="40"/>
      <c r="F166" s="40"/>
      <c r="G166" s="40"/>
      <c r="H166" s="40"/>
      <c r="I166" s="40"/>
      <c r="J166" s="40"/>
      <c r="K166" s="40"/>
      <c r="L166" s="40"/>
      <c r="M166" s="40"/>
      <c r="N166" s="40"/>
      <c r="O166" s="40"/>
      <c r="P166" s="40"/>
      <c r="Q166" s="40"/>
      <c r="R166" s="40"/>
      <c r="S166" s="40"/>
      <c r="T166" s="40"/>
      <c r="U166" s="40"/>
      <c r="V166" s="40"/>
      <c r="W166" s="40"/>
      <c r="X166" s="40"/>
      <c r="Y166" s="40"/>
      <c r="Z166" s="40"/>
      <c r="AA166" s="40"/>
      <c r="AB166" s="40"/>
      <c r="AC166" s="40"/>
      <c r="AD166" s="40"/>
      <c r="AE166" s="40"/>
      <c r="AF166" s="40"/>
      <c r="AG166" s="40"/>
      <c r="AH166" s="40"/>
      <c r="AI166" s="40"/>
      <c r="AJ166" s="40"/>
      <c r="AK166" s="40"/>
      <c r="AL166" s="40"/>
      <c r="AM166" s="40"/>
      <c r="AN166" s="40"/>
      <c r="AO166" s="40"/>
      <c r="AP166" s="40"/>
      <c r="AQ166" s="40"/>
      <c r="AR166" s="40"/>
      <c r="AS166" s="40"/>
      <c r="AT166" s="40"/>
      <c r="AU166" s="40"/>
      <c r="AV166" s="40"/>
      <c r="AW166" s="40"/>
      <c r="AX166" s="40"/>
      <c r="AY166" s="40"/>
      <c r="AZ166" s="40"/>
      <c r="BA166" s="40"/>
      <c r="BB166" s="40"/>
      <c r="BC166" s="40"/>
      <c r="BD166" s="40"/>
      <c r="BE166" s="40"/>
      <c r="BF166" s="40"/>
      <c r="BG166" s="40"/>
      <c r="BH166" s="40"/>
      <c r="BI166" s="40"/>
      <c r="BJ166" s="40"/>
      <c r="BK166" s="40"/>
      <c r="BL166" s="40"/>
      <c r="BM166" s="40"/>
      <c r="BN166" s="40"/>
      <c r="BO166" s="40"/>
      <c r="BP166" s="40"/>
      <c r="BQ166" s="40"/>
      <c r="BR166" s="40"/>
      <c r="BS166" s="40"/>
      <c r="BT166" s="40"/>
      <c r="BU166" s="40"/>
      <c r="BV166" s="40"/>
      <c r="BW166" s="40"/>
      <c r="BX166" s="40"/>
      <c r="BY166" s="40"/>
      <c r="BZ166" s="40"/>
      <c r="CA166" s="40"/>
      <c r="CB166" s="40"/>
      <c r="CC166" s="40"/>
      <c r="CD166" s="40"/>
      <c r="CE166" s="40"/>
      <c r="CF166" s="40"/>
      <c r="CG166" s="40"/>
      <c r="CH166" s="40"/>
      <c r="CI166" s="40"/>
      <c r="CJ166" s="40"/>
      <c r="CK166" s="40"/>
      <c r="CL166" s="40"/>
    </row>
    <row r="167" spans="1:90" x14ac:dyDescent="0.25">
      <c r="A167" s="40"/>
      <c r="B167" s="40"/>
      <c r="C167" s="40"/>
      <c r="D167" s="40"/>
      <c r="E167" s="40"/>
      <c r="F167" s="40"/>
      <c r="G167" s="40"/>
      <c r="H167" s="40"/>
      <c r="I167" s="40"/>
      <c r="J167" s="40"/>
      <c r="K167" s="40"/>
      <c r="L167" s="40"/>
      <c r="M167" s="40"/>
      <c r="N167" s="40"/>
      <c r="O167" s="40"/>
      <c r="P167" s="40"/>
      <c r="Q167" s="40"/>
      <c r="R167" s="40"/>
      <c r="S167" s="40"/>
      <c r="T167" s="40"/>
      <c r="U167" s="40"/>
      <c r="V167" s="40"/>
      <c r="W167" s="40"/>
      <c r="X167" s="40"/>
      <c r="Y167" s="40"/>
      <c r="Z167" s="40"/>
      <c r="AA167" s="40"/>
      <c r="AB167" s="40"/>
      <c r="AC167" s="40"/>
      <c r="AD167" s="40"/>
      <c r="AE167" s="40"/>
      <c r="AF167" s="40"/>
      <c r="AG167" s="40"/>
      <c r="AH167" s="40"/>
      <c r="AI167" s="40"/>
      <c r="AJ167" s="40"/>
      <c r="AK167" s="40"/>
      <c r="AL167" s="40"/>
      <c r="AM167" s="40"/>
      <c r="AN167" s="40"/>
      <c r="AO167" s="40"/>
      <c r="AP167" s="40"/>
      <c r="AQ167" s="40"/>
      <c r="AR167" s="40"/>
      <c r="AS167" s="40"/>
      <c r="AT167" s="40"/>
      <c r="AU167" s="40"/>
      <c r="AV167" s="40"/>
      <c r="AW167" s="40"/>
      <c r="AX167" s="40"/>
      <c r="AY167" s="40"/>
      <c r="AZ167" s="40"/>
      <c r="BA167" s="40"/>
      <c r="BB167" s="40"/>
      <c r="BC167" s="40"/>
      <c r="BD167" s="40"/>
      <c r="BE167" s="40"/>
      <c r="BF167" s="40"/>
      <c r="BG167" s="40"/>
      <c r="BH167" s="40"/>
      <c r="BI167" s="40"/>
      <c r="BJ167" s="40"/>
      <c r="BK167" s="40"/>
      <c r="BL167" s="40"/>
      <c r="BM167" s="40"/>
      <c r="BN167" s="40"/>
      <c r="BO167" s="40"/>
      <c r="BP167" s="40"/>
      <c r="BQ167" s="40"/>
      <c r="BR167" s="40"/>
      <c r="BS167" s="40"/>
      <c r="BT167" s="40"/>
      <c r="BU167" s="40"/>
      <c r="BV167" s="40"/>
      <c r="BW167" s="40"/>
      <c r="BX167" s="40"/>
      <c r="BY167" s="40"/>
      <c r="BZ167" s="40"/>
      <c r="CA167" s="40"/>
      <c r="CB167" s="40"/>
      <c r="CC167" s="40"/>
      <c r="CD167" s="40"/>
      <c r="CE167" s="40"/>
      <c r="CF167" s="40"/>
      <c r="CG167" s="40"/>
      <c r="CH167" s="40"/>
      <c r="CI167" s="40"/>
      <c r="CJ167" s="40"/>
      <c r="CK167" s="40"/>
      <c r="CL167" s="40"/>
    </row>
    <row r="168" spans="1:90" x14ac:dyDescent="0.25">
      <c r="A168" s="40"/>
      <c r="B168" s="40"/>
      <c r="C168" s="40"/>
      <c r="D168" s="40"/>
      <c r="E168" s="40"/>
      <c r="F168" s="40"/>
      <c r="G168" s="40"/>
      <c r="H168" s="40"/>
      <c r="I168" s="40"/>
      <c r="J168" s="40"/>
      <c r="K168" s="40"/>
      <c r="L168" s="40"/>
      <c r="M168" s="40"/>
      <c r="N168" s="40"/>
      <c r="O168" s="40"/>
      <c r="P168" s="40"/>
      <c r="Q168" s="40"/>
      <c r="R168" s="40"/>
      <c r="S168" s="40"/>
      <c r="T168" s="40"/>
      <c r="U168" s="40"/>
      <c r="V168" s="40"/>
      <c r="W168" s="40"/>
      <c r="X168" s="40"/>
      <c r="Y168" s="40"/>
      <c r="Z168" s="40"/>
      <c r="AA168" s="40"/>
      <c r="AB168" s="40"/>
      <c r="AC168" s="40"/>
      <c r="AD168" s="40"/>
      <c r="AE168" s="40"/>
      <c r="AF168" s="40"/>
      <c r="AG168" s="40"/>
      <c r="AH168" s="40"/>
      <c r="AI168" s="40"/>
      <c r="AJ168" s="40"/>
      <c r="AK168" s="40"/>
      <c r="AL168" s="40"/>
      <c r="AM168" s="40"/>
      <c r="AN168" s="40"/>
      <c r="AO168" s="40"/>
      <c r="AP168" s="40"/>
      <c r="AQ168" s="40"/>
      <c r="AR168" s="40"/>
      <c r="AS168" s="40"/>
      <c r="AT168" s="40"/>
      <c r="AU168" s="40"/>
      <c r="AV168" s="40"/>
      <c r="AW168" s="40"/>
      <c r="AX168" s="40"/>
      <c r="AY168" s="40"/>
      <c r="AZ168" s="40"/>
      <c r="BA168" s="40"/>
      <c r="BB168" s="40"/>
      <c r="BC168" s="40"/>
      <c r="BD168" s="40"/>
      <c r="BE168" s="40"/>
      <c r="BF168" s="40"/>
      <c r="BG168" s="40"/>
      <c r="BH168" s="40"/>
      <c r="BI168" s="40"/>
      <c r="BJ168" s="40"/>
      <c r="BK168" s="40"/>
      <c r="BL168" s="40"/>
      <c r="BM168" s="40"/>
      <c r="BN168" s="40"/>
      <c r="BO168" s="40"/>
      <c r="BP168" s="40"/>
      <c r="BQ168" s="40"/>
      <c r="BR168" s="40"/>
      <c r="BS168" s="40"/>
      <c r="BT168" s="40"/>
      <c r="BU168" s="40"/>
      <c r="BV168" s="40"/>
      <c r="BW168" s="40"/>
      <c r="BX168" s="40"/>
      <c r="BY168" s="40"/>
      <c r="BZ168" s="40"/>
      <c r="CA168" s="40"/>
      <c r="CB168" s="40"/>
      <c r="CC168" s="40"/>
      <c r="CD168" s="40"/>
      <c r="CE168" s="40"/>
      <c r="CF168" s="40"/>
      <c r="CG168" s="40"/>
      <c r="CH168" s="40"/>
      <c r="CI168" s="40"/>
      <c r="CJ168" s="40"/>
      <c r="CK168" s="40"/>
      <c r="CL168" s="40"/>
    </row>
    <row r="169" spans="1:90" x14ac:dyDescent="0.25">
      <c r="A169" s="40"/>
      <c r="B169" s="40"/>
      <c r="C169" s="40"/>
      <c r="D169" s="40"/>
      <c r="E169" s="40"/>
      <c r="F169" s="40"/>
      <c r="G169" s="40"/>
      <c r="H169" s="40"/>
      <c r="I169" s="40"/>
      <c r="J169" s="40"/>
      <c r="K169" s="40"/>
      <c r="L169" s="40"/>
      <c r="M169" s="40"/>
      <c r="N169" s="40"/>
      <c r="O169" s="40"/>
      <c r="P169" s="40"/>
      <c r="Q169" s="40"/>
      <c r="R169" s="40"/>
      <c r="S169" s="40"/>
      <c r="T169" s="40"/>
      <c r="U169" s="40"/>
      <c r="V169" s="40"/>
      <c r="W169" s="40"/>
      <c r="X169" s="40"/>
      <c r="Y169" s="40"/>
      <c r="Z169" s="40"/>
      <c r="AA169" s="40"/>
      <c r="AB169" s="40"/>
      <c r="AC169" s="40"/>
      <c r="AD169" s="40"/>
      <c r="AE169" s="40"/>
      <c r="AF169" s="40"/>
      <c r="AG169" s="40"/>
      <c r="AH169" s="40"/>
      <c r="AI169" s="40"/>
      <c r="AJ169" s="40"/>
      <c r="AK169" s="40"/>
      <c r="AL169" s="40"/>
      <c r="AM169" s="40"/>
      <c r="AN169" s="40"/>
      <c r="AO169" s="40"/>
      <c r="AP169" s="40"/>
      <c r="AQ169" s="40"/>
      <c r="AR169" s="40"/>
      <c r="AS169" s="40"/>
      <c r="AT169" s="40"/>
      <c r="AU169" s="40"/>
      <c r="AV169" s="40"/>
      <c r="AW169" s="40"/>
      <c r="AX169" s="40"/>
      <c r="AY169" s="40"/>
      <c r="AZ169" s="40"/>
      <c r="BA169" s="40"/>
      <c r="BB169" s="40"/>
      <c r="BC169" s="40"/>
      <c r="BD169" s="40"/>
      <c r="BE169" s="40"/>
      <c r="BF169" s="40"/>
      <c r="BG169" s="40"/>
      <c r="BH169" s="40"/>
      <c r="BI169" s="40"/>
      <c r="BJ169" s="40"/>
      <c r="BK169" s="40"/>
      <c r="BL169" s="40"/>
      <c r="BM169" s="40"/>
      <c r="BN169" s="40"/>
      <c r="BO169" s="40"/>
      <c r="BP169" s="40"/>
      <c r="BQ169" s="40"/>
      <c r="BR169" s="40"/>
      <c r="BS169" s="40"/>
      <c r="BT169" s="40"/>
      <c r="BU169" s="40"/>
      <c r="BV169" s="40"/>
      <c r="BW169" s="40"/>
      <c r="BX169" s="40"/>
      <c r="BY169" s="40"/>
      <c r="BZ169" s="40"/>
      <c r="CA169" s="40"/>
      <c r="CB169" s="40"/>
      <c r="CC169" s="40"/>
      <c r="CD169" s="40"/>
      <c r="CE169" s="40"/>
      <c r="CF169" s="40"/>
      <c r="CG169" s="40"/>
      <c r="CH169" s="40"/>
      <c r="CI169" s="40"/>
      <c r="CJ169" s="40"/>
      <c r="CK169" s="40"/>
      <c r="CL169" s="40"/>
    </row>
    <row r="170" spans="1:90" x14ac:dyDescent="0.25">
      <c r="A170" s="40"/>
      <c r="B170" s="40"/>
      <c r="C170" s="40"/>
      <c r="D170" s="40"/>
      <c r="E170" s="40"/>
      <c r="F170" s="40"/>
      <c r="G170" s="40"/>
      <c r="H170" s="40"/>
      <c r="I170" s="40"/>
      <c r="J170" s="40"/>
      <c r="K170" s="40"/>
      <c r="L170" s="40"/>
      <c r="M170" s="40"/>
      <c r="N170" s="40"/>
      <c r="O170" s="40"/>
      <c r="P170" s="40"/>
      <c r="Q170" s="40"/>
      <c r="R170" s="40"/>
      <c r="S170" s="40"/>
      <c r="T170" s="40"/>
      <c r="U170" s="40"/>
      <c r="V170" s="40"/>
      <c r="W170" s="40"/>
      <c r="X170" s="40"/>
      <c r="Y170" s="40"/>
      <c r="Z170" s="40"/>
      <c r="AA170" s="40"/>
      <c r="AB170" s="40"/>
      <c r="AC170" s="40"/>
      <c r="AD170" s="40"/>
      <c r="AE170" s="40"/>
      <c r="AF170" s="40"/>
      <c r="AG170" s="40"/>
      <c r="AH170" s="40"/>
      <c r="AI170" s="40"/>
      <c r="AJ170" s="40"/>
      <c r="AK170" s="40"/>
      <c r="AL170" s="40"/>
      <c r="AM170" s="40"/>
      <c r="AN170" s="40"/>
      <c r="AO170" s="40"/>
      <c r="AP170" s="40"/>
      <c r="AQ170" s="40"/>
      <c r="AR170" s="40"/>
      <c r="AS170" s="40"/>
      <c r="AT170" s="40"/>
      <c r="AU170" s="40"/>
      <c r="AV170" s="40"/>
      <c r="AW170" s="40"/>
      <c r="AX170" s="40"/>
      <c r="AY170" s="40"/>
      <c r="AZ170" s="40"/>
      <c r="BA170" s="40"/>
      <c r="BB170" s="40"/>
      <c r="BC170" s="40"/>
      <c r="BD170" s="40"/>
      <c r="BE170" s="40"/>
      <c r="BF170" s="40"/>
      <c r="BG170" s="40"/>
      <c r="BH170" s="40"/>
      <c r="BI170" s="40"/>
      <c r="BJ170" s="40"/>
      <c r="BK170" s="40"/>
      <c r="BL170" s="40"/>
      <c r="BM170" s="40"/>
      <c r="BN170" s="40"/>
      <c r="BO170" s="40"/>
      <c r="BP170" s="40"/>
      <c r="BQ170" s="40"/>
      <c r="BR170" s="40"/>
      <c r="BS170" s="40"/>
      <c r="BT170" s="40"/>
      <c r="BU170" s="40"/>
      <c r="BV170" s="40"/>
      <c r="BW170" s="40"/>
      <c r="BX170" s="40"/>
      <c r="BY170" s="40"/>
      <c r="BZ170" s="40"/>
      <c r="CA170" s="40"/>
      <c r="CB170" s="40"/>
      <c r="CC170" s="40"/>
      <c r="CD170" s="40"/>
      <c r="CE170" s="40"/>
      <c r="CF170" s="40"/>
      <c r="CG170" s="40"/>
      <c r="CH170" s="40"/>
      <c r="CI170" s="40"/>
      <c r="CJ170" s="40"/>
      <c r="CK170" s="40"/>
      <c r="CL170" s="40"/>
    </row>
    <row r="171" spans="1:90" x14ac:dyDescent="0.25">
      <c r="A171" s="40"/>
      <c r="B171" s="40"/>
      <c r="C171" s="40"/>
      <c r="D171" s="40"/>
      <c r="E171" s="40"/>
      <c r="F171" s="40"/>
      <c r="G171" s="40"/>
      <c r="H171" s="40"/>
      <c r="I171" s="40"/>
      <c r="J171" s="40"/>
      <c r="K171" s="40"/>
      <c r="L171" s="40"/>
      <c r="M171" s="40"/>
      <c r="N171" s="40"/>
      <c r="O171" s="40"/>
      <c r="P171" s="40"/>
      <c r="Q171" s="40"/>
      <c r="R171" s="40"/>
      <c r="S171" s="40"/>
      <c r="T171" s="40"/>
      <c r="U171" s="40"/>
      <c r="V171" s="40"/>
      <c r="W171" s="40"/>
      <c r="X171" s="40"/>
      <c r="Y171" s="40"/>
      <c r="Z171" s="40"/>
      <c r="AA171" s="40"/>
      <c r="AB171" s="40"/>
      <c r="AC171" s="40"/>
      <c r="AD171" s="40"/>
      <c r="AE171" s="40"/>
      <c r="AF171" s="40"/>
      <c r="AG171" s="40"/>
      <c r="AH171" s="40"/>
      <c r="AI171" s="40"/>
      <c r="AJ171" s="40"/>
      <c r="AK171" s="40"/>
      <c r="AL171" s="40"/>
      <c r="AM171" s="40"/>
      <c r="AN171" s="40"/>
      <c r="AO171" s="40"/>
      <c r="AP171" s="40"/>
      <c r="AQ171" s="40"/>
      <c r="AR171" s="40"/>
      <c r="AS171" s="40"/>
      <c r="AT171" s="40"/>
      <c r="AU171" s="40"/>
      <c r="AV171" s="40"/>
      <c r="AW171" s="40"/>
      <c r="AX171" s="40"/>
      <c r="AY171" s="40"/>
      <c r="AZ171" s="40"/>
      <c r="BA171" s="40"/>
      <c r="BB171" s="40"/>
      <c r="BC171" s="40"/>
      <c r="BD171" s="40"/>
      <c r="BE171" s="40"/>
      <c r="BF171" s="40"/>
      <c r="BG171" s="40"/>
      <c r="BH171" s="40"/>
      <c r="BI171" s="40"/>
      <c r="BJ171" s="40"/>
      <c r="BK171" s="40"/>
      <c r="BL171" s="40"/>
      <c r="BM171" s="40"/>
      <c r="BN171" s="40"/>
      <c r="BO171" s="40"/>
      <c r="BP171" s="40"/>
      <c r="BQ171" s="40"/>
      <c r="BR171" s="40"/>
      <c r="BS171" s="40"/>
      <c r="BT171" s="40"/>
      <c r="BU171" s="40"/>
      <c r="BV171" s="40"/>
      <c r="BW171" s="40"/>
      <c r="BX171" s="40"/>
      <c r="BY171" s="40"/>
      <c r="BZ171" s="40"/>
      <c r="CA171" s="40"/>
      <c r="CB171" s="40"/>
      <c r="CC171" s="40"/>
      <c r="CD171" s="40"/>
      <c r="CE171" s="40"/>
      <c r="CF171" s="40"/>
      <c r="CG171" s="40"/>
      <c r="CH171" s="40"/>
      <c r="CI171" s="40"/>
      <c r="CJ171" s="40"/>
      <c r="CK171" s="40"/>
      <c r="CL171" s="40"/>
    </row>
    <row r="172" spans="1:90" x14ac:dyDescent="0.25">
      <c r="A172" s="40"/>
      <c r="B172" s="40"/>
      <c r="C172" s="40"/>
      <c r="D172" s="40"/>
      <c r="E172" s="40"/>
      <c r="F172" s="40"/>
      <c r="G172" s="40"/>
      <c r="H172" s="40"/>
      <c r="I172" s="40"/>
      <c r="J172" s="40"/>
      <c r="K172" s="40"/>
      <c r="L172" s="40"/>
      <c r="M172" s="40"/>
      <c r="N172" s="40"/>
      <c r="O172" s="40"/>
      <c r="P172" s="40"/>
      <c r="Q172" s="40"/>
      <c r="R172" s="40"/>
      <c r="S172" s="40"/>
      <c r="T172" s="40"/>
      <c r="U172" s="40"/>
      <c r="V172" s="40"/>
      <c r="W172" s="40"/>
      <c r="X172" s="40"/>
      <c r="Y172" s="40"/>
      <c r="Z172" s="40"/>
      <c r="AA172" s="40"/>
      <c r="AB172" s="40"/>
      <c r="AC172" s="40"/>
      <c r="AD172" s="40"/>
      <c r="AE172" s="40"/>
      <c r="AF172" s="40"/>
      <c r="AG172" s="40"/>
      <c r="AH172" s="40"/>
      <c r="AI172" s="40"/>
      <c r="AJ172" s="40"/>
      <c r="AK172" s="40"/>
      <c r="AL172" s="40"/>
      <c r="AM172" s="40"/>
      <c r="AN172" s="40"/>
      <c r="AO172" s="40"/>
      <c r="AP172" s="40"/>
      <c r="AQ172" s="40"/>
      <c r="AR172" s="40"/>
      <c r="AS172" s="40"/>
      <c r="AT172" s="40"/>
      <c r="AU172" s="40"/>
      <c r="AV172" s="40"/>
      <c r="AW172" s="40"/>
      <c r="AX172" s="40"/>
      <c r="AY172" s="40"/>
      <c r="AZ172" s="40"/>
      <c r="BA172" s="40"/>
      <c r="BB172" s="40"/>
      <c r="BC172" s="40"/>
      <c r="BD172" s="40"/>
      <c r="BE172" s="40"/>
      <c r="BF172" s="40"/>
      <c r="BG172" s="40"/>
      <c r="BH172" s="40"/>
      <c r="BI172" s="40"/>
      <c r="BJ172" s="40"/>
      <c r="BK172" s="40"/>
      <c r="BL172" s="40"/>
      <c r="BM172" s="40"/>
      <c r="BN172" s="40"/>
      <c r="BO172" s="40"/>
      <c r="BP172" s="40"/>
      <c r="BQ172" s="40"/>
      <c r="BR172" s="40"/>
      <c r="BS172" s="40"/>
      <c r="BT172" s="40"/>
      <c r="BU172" s="40"/>
      <c r="BV172" s="40"/>
      <c r="BW172" s="40"/>
      <c r="BX172" s="40"/>
      <c r="BY172" s="40"/>
      <c r="BZ172" s="40"/>
      <c r="CA172" s="40"/>
      <c r="CB172" s="40"/>
      <c r="CC172" s="40"/>
      <c r="CD172" s="40"/>
      <c r="CE172" s="40"/>
      <c r="CF172" s="40"/>
      <c r="CG172" s="40"/>
      <c r="CH172" s="40"/>
      <c r="CI172" s="40"/>
      <c r="CJ172" s="40"/>
      <c r="CK172" s="40"/>
      <c r="CL172" s="40"/>
    </row>
    <row r="173" spans="1:90" x14ac:dyDescent="0.25">
      <c r="A173" s="40"/>
      <c r="B173" s="40"/>
      <c r="C173" s="40"/>
      <c r="D173" s="40"/>
      <c r="E173" s="40"/>
      <c r="F173" s="40"/>
      <c r="G173" s="40"/>
      <c r="H173" s="40"/>
      <c r="I173" s="40"/>
      <c r="J173" s="40"/>
      <c r="K173" s="40"/>
      <c r="L173" s="40"/>
      <c r="M173" s="40"/>
      <c r="N173" s="40"/>
      <c r="O173" s="40"/>
      <c r="P173" s="40"/>
      <c r="Q173" s="40"/>
      <c r="R173" s="40"/>
      <c r="S173" s="40"/>
      <c r="T173" s="40"/>
      <c r="U173" s="40"/>
      <c r="V173" s="40"/>
      <c r="W173" s="40"/>
      <c r="X173" s="40"/>
      <c r="Y173" s="40"/>
      <c r="Z173" s="40"/>
      <c r="AA173" s="40"/>
      <c r="AB173" s="40"/>
      <c r="AC173" s="40"/>
      <c r="AD173" s="40"/>
      <c r="AE173" s="40"/>
      <c r="AF173" s="40"/>
      <c r="AG173" s="40"/>
      <c r="AH173" s="40"/>
      <c r="AI173" s="40"/>
      <c r="AJ173" s="40"/>
      <c r="AK173" s="40"/>
      <c r="AL173" s="40"/>
      <c r="AM173" s="40"/>
      <c r="AN173" s="40"/>
      <c r="AO173" s="40"/>
      <c r="AP173" s="40"/>
      <c r="AQ173" s="40"/>
      <c r="AR173" s="40"/>
      <c r="AS173" s="40"/>
      <c r="AT173" s="40"/>
      <c r="AU173" s="40"/>
      <c r="AV173" s="40"/>
      <c r="AW173" s="40"/>
      <c r="AX173" s="40"/>
      <c r="AY173" s="40"/>
      <c r="AZ173" s="40"/>
      <c r="BA173" s="40"/>
      <c r="BB173" s="40"/>
      <c r="BC173" s="40"/>
      <c r="BD173" s="40"/>
      <c r="BE173" s="40"/>
      <c r="BF173" s="40"/>
      <c r="BG173" s="40"/>
      <c r="BH173" s="40"/>
      <c r="BI173" s="40"/>
      <c r="BJ173" s="40"/>
      <c r="BK173" s="40"/>
      <c r="BL173" s="40"/>
      <c r="BM173" s="40"/>
      <c r="BN173" s="40"/>
      <c r="BO173" s="40"/>
      <c r="BP173" s="40"/>
      <c r="BQ173" s="40"/>
      <c r="BR173" s="40"/>
      <c r="BS173" s="40"/>
      <c r="BT173" s="40"/>
      <c r="BU173" s="40"/>
      <c r="BV173" s="40"/>
      <c r="BW173" s="40"/>
      <c r="BX173" s="40"/>
      <c r="BY173" s="40"/>
      <c r="BZ173" s="40"/>
      <c r="CA173" s="40"/>
      <c r="CB173" s="40"/>
      <c r="CC173" s="40"/>
      <c r="CD173" s="40"/>
      <c r="CE173" s="40"/>
      <c r="CF173" s="40"/>
      <c r="CG173" s="40"/>
      <c r="CH173" s="40"/>
      <c r="CI173" s="40"/>
      <c r="CJ173" s="40"/>
      <c r="CK173" s="40"/>
      <c r="CL173" s="40"/>
    </row>
    <row r="174" spans="1:90" x14ac:dyDescent="0.25">
      <c r="A174" s="40"/>
      <c r="B174" s="40"/>
      <c r="C174" s="40"/>
      <c r="D174" s="40"/>
      <c r="E174" s="40"/>
      <c r="F174" s="40"/>
      <c r="G174" s="40"/>
      <c r="H174" s="40"/>
      <c r="I174" s="40"/>
      <c r="J174" s="40"/>
      <c r="K174" s="40"/>
      <c r="L174" s="40"/>
      <c r="M174" s="40"/>
      <c r="N174" s="40"/>
      <c r="O174" s="40"/>
      <c r="P174" s="40"/>
      <c r="Q174" s="40"/>
      <c r="R174" s="40"/>
      <c r="S174" s="40"/>
      <c r="T174" s="40"/>
      <c r="U174" s="40"/>
      <c r="V174" s="40"/>
      <c r="W174" s="40"/>
      <c r="X174" s="40"/>
      <c r="Y174" s="40"/>
      <c r="Z174" s="40"/>
      <c r="AA174" s="40"/>
      <c r="AB174" s="40"/>
      <c r="AC174" s="40"/>
      <c r="AD174" s="40"/>
      <c r="AE174" s="40"/>
      <c r="AF174" s="40"/>
      <c r="AG174" s="40"/>
      <c r="AH174" s="40"/>
      <c r="AI174" s="40"/>
      <c r="AJ174" s="40"/>
      <c r="AK174" s="40"/>
      <c r="AL174" s="40"/>
      <c r="AM174" s="40"/>
      <c r="AN174" s="40"/>
      <c r="AO174" s="40"/>
      <c r="AP174" s="40"/>
      <c r="AQ174" s="40"/>
      <c r="AR174" s="40"/>
      <c r="AS174" s="40"/>
      <c r="AT174" s="40"/>
      <c r="AU174" s="40"/>
      <c r="AV174" s="40"/>
      <c r="AW174" s="40"/>
      <c r="AX174" s="40"/>
      <c r="AY174" s="40"/>
      <c r="AZ174" s="40"/>
      <c r="BA174" s="40"/>
      <c r="BB174" s="40"/>
      <c r="BC174" s="40"/>
      <c r="BD174" s="40"/>
      <c r="BE174" s="40"/>
      <c r="BF174" s="40"/>
      <c r="BG174" s="40"/>
      <c r="BH174" s="40"/>
      <c r="BI174" s="40"/>
      <c r="BJ174" s="40"/>
      <c r="BK174" s="40"/>
      <c r="BL174" s="40"/>
      <c r="BM174" s="40"/>
      <c r="BN174" s="40"/>
      <c r="BO174" s="40"/>
      <c r="BP174" s="40"/>
      <c r="BQ174" s="40"/>
      <c r="BR174" s="40"/>
      <c r="BS174" s="40"/>
      <c r="BT174" s="40"/>
      <c r="BU174" s="40"/>
      <c r="BV174" s="40"/>
      <c r="BW174" s="40"/>
      <c r="BX174" s="40"/>
      <c r="BY174" s="40"/>
      <c r="BZ174" s="40"/>
      <c r="CA174" s="40"/>
      <c r="CB174" s="40"/>
      <c r="CC174" s="40"/>
      <c r="CD174" s="40"/>
      <c r="CE174" s="40"/>
      <c r="CF174" s="40"/>
      <c r="CG174" s="40"/>
      <c r="CH174" s="40"/>
      <c r="CI174" s="40"/>
      <c r="CJ174" s="40"/>
      <c r="CK174" s="40"/>
      <c r="CL174" s="40"/>
    </row>
    <row r="175" spans="1:90" x14ac:dyDescent="0.25">
      <c r="A175" s="40"/>
      <c r="B175" s="40"/>
      <c r="C175" s="40"/>
      <c r="D175" s="40"/>
      <c r="E175" s="40"/>
      <c r="F175" s="40"/>
      <c r="G175" s="40"/>
      <c r="H175" s="40"/>
      <c r="I175" s="40"/>
      <c r="J175" s="40"/>
      <c r="K175" s="40"/>
      <c r="L175" s="40"/>
      <c r="M175" s="40"/>
      <c r="N175" s="40"/>
      <c r="O175" s="40"/>
      <c r="P175" s="40"/>
      <c r="Q175" s="40"/>
      <c r="R175" s="40"/>
      <c r="S175" s="40"/>
      <c r="T175" s="40"/>
      <c r="U175" s="40"/>
      <c r="V175" s="40"/>
      <c r="W175" s="40"/>
      <c r="X175" s="40"/>
      <c r="Y175" s="40"/>
      <c r="Z175" s="40"/>
      <c r="AA175" s="40"/>
      <c r="AB175" s="40"/>
      <c r="AC175" s="40"/>
      <c r="AD175" s="40"/>
      <c r="AE175" s="40"/>
      <c r="AF175" s="40"/>
      <c r="AG175" s="40"/>
      <c r="AH175" s="40"/>
      <c r="AI175" s="40"/>
      <c r="AJ175" s="40"/>
      <c r="AK175" s="40"/>
      <c r="AL175" s="40"/>
      <c r="AM175" s="40"/>
      <c r="AN175" s="40"/>
      <c r="AO175" s="40"/>
      <c r="AP175" s="40"/>
      <c r="AQ175" s="40"/>
      <c r="AR175" s="40"/>
      <c r="AS175" s="40"/>
      <c r="AT175" s="40"/>
      <c r="AU175" s="40"/>
      <c r="AV175" s="40"/>
      <c r="AW175" s="40"/>
      <c r="AX175" s="40"/>
      <c r="AY175" s="40"/>
      <c r="AZ175" s="40"/>
      <c r="BA175" s="40"/>
      <c r="BB175" s="40"/>
      <c r="BC175" s="40"/>
      <c r="BD175" s="40"/>
      <c r="BE175" s="40"/>
      <c r="BF175" s="40"/>
      <c r="BG175" s="40"/>
      <c r="BH175" s="40"/>
      <c r="BI175" s="40"/>
      <c r="BJ175" s="40"/>
      <c r="BK175" s="40"/>
      <c r="BL175" s="40"/>
      <c r="BM175" s="40"/>
      <c r="BN175" s="40"/>
      <c r="BO175" s="40"/>
      <c r="BP175" s="40"/>
      <c r="BQ175" s="40"/>
      <c r="BR175" s="40"/>
      <c r="BS175" s="40"/>
      <c r="BT175" s="40"/>
      <c r="BU175" s="40"/>
      <c r="BV175" s="40"/>
      <c r="BW175" s="40"/>
      <c r="BX175" s="40"/>
      <c r="BY175" s="40"/>
      <c r="BZ175" s="40"/>
      <c r="CA175" s="40"/>
      <c r="CB175" s="40"/>
      <c r="CC175" s="40"/>
      <c r="CD175" s="40"/>
      <c r="CE175" s="40"/>
      <c r="CF175" s="40"/>
      <c r="CG175" s="40"/>
      <c r="CH175" s="40"/>
      <c r="CI175" s="40"/>
      <c r="CJ175" s="40"/>
      <c r="CK175" s="40"/>
      <c r="CL175" s="40"/>
    </row>
    <row r="176" spans="1:90" x14ac:dyDescent="0.25">
      <c r="A176" s="40"/>
      <c r="B176" s="40"/>
      <c r="C176" s="40"/>
      <c r="D176" s="40"/>
      <c r="E176" s="40"/>
      <c r="F176" s="40"/>
      <c r="G176" s="40"/>
      <c r="H176" s="40"/>
      <c r="I176" s="40"/>
      <c r="J176" s="40"/>
      <c r="K176" s="40"/>
      <c r="L176" s="40"/>
      <c r="M176" s="40"/>
      <c r="N176" s="40"/>
      <c r="O176" s="40"/>
      <c r="P176" s="40"/>
      <c r="Q176" s="40"/>
      <c r="R176" s="40"/>
      <c r="S176" s="40"/>
      <c r="T176" s="40"/>
      <c r="U176" s="40"/>
      <c r="V176" s="40"/>
      <c r="W176" s="40"/>
      <c r="X176" s="40"/>
      <c r="Y176" s="40"/>
      <c r="Z176" s="40"/>
      <c r="AA176" s="40"/>
      <c r="AB176" s="40"/>
      <c r="AC176" s="40"/>
      <c r="AD176" s="40"/>
      <c r="AE176" s="40"/>
      <c r="AF176" s="40"/>
      <c r="AG176" s="40"/>
      <c r="AH176" s="40"/>
      <c r="AI176" s="40"/>
      <c r="AJ176" s="40"/>
      <c r="AK176" s="40"/>
      <c r="AL176" s="40"/>
      <c r="AM176" s="40"/>
      <c r="AN176" s="40"/>
      <c r="AO176" s="40"/>
      <c r="AP176" s="40"/>
      <c r="AQ176" s="40"/>
      <c r="AR176" s="40"/>
      <c r="AS176" s="40"/>
      <c r="AT176" s="40"/>
      <c r="AU176" s="40"/>
      <c r="AV176" s="40"/>
      <c r="AW176" s="40"/>
      <c r="AX176" s="40"/>
      <c r="AY176" s="40"/>
      <c r="AZ176" s="40"/>
      <c r="BA176" s="40"/>
      <c r="BB176" s="40"/>
      <c r="BC176" s="40"/>
      <c r="BD176" s="40"/>
      <c r="BE176" s="40"/>
      <c r="BF176" s="40"/>
      <c r="BG176" s="40"/>
      <c r="BH176" s="40"/>
      <c r="BI176" s="40"/>
      <c r="BJ176" s="40"/>
      <c r="BK176" s="40"/>
      <c r="BL176" s="40"/>
      <c r="BM176" s="40"/>
      <c r="BN176" s="40"/>
      <c r="BO176" s="40"/>
      <c r="BP176" s="40"/>
      <c r="BQ176" s="40"/>
      <c r="BR176" s="40"/>
      <c r="BS176" s="40"/>
      <c r="BT176" s="40"/>
      <c r="BU176" s="40"/>
      <c r="BV176" s="40"/>
      <c r="BW176" s="40"/>
      <c r="BX176" s="40"/>
      <c r="BY176" s="40"/>
      <c r="BZ176" s="40"/>
      <c r="CA176" s="40"/>
      <c r="CB176" s="40"/>
      <c r="CC176" s="40"/>
      <c r="CD176" s="40"/>
      <c r="CE176" s="40"/>
      <c r="CF176" s="40"/>
      <c r="CG176" s="40"/>
      <c r="CH176" s="40"/>
      <c r="CI176" s="40"/>
      <c r="CJ176" s="40"/>
      <c r="CK176" s="40"/>
      <c r="CL176" s="40"/>
    </row>
    <row r="177" spans="1:90" x14ac:dyDescent="0.25">
      <c r="A177" s="40"/>
      <c r="B177" s="40"/>
      <c r="C177" s="40"/>
      <c r="D177" s="40"/>
      <c r="E177" s="40"/>
      <c r="F177" s="40"/>
      <c r="G177" s="40"/>
      <c r="H177" s="40"/>
      <c r="I177" s="40"/>
      <c r="J177" s="40"/>
      <c r="K177" s="40"/>
      <c r="L177" s="40"/>
      <c r="M177" s="40"/>
      <c r="N177" s="40"/>
      <c r="O177" s="40"/>
      <c r="P177" s="40"/>
      <c r="Q177" s="40"/>
      <c r="R177" s="40"/>
      <c r="S177" s="40"/>
      <c r="T177" s="40"/>
      <c r="U177" s="40"/>
      <c r="V177" s="40"/>
      <c r="W177" s="40"/>
      <c r="X177" s="40"/>
      <c r="Y177" s="40"/>
      <c r="Z177" s="40"/>
      <c r="AA177" s="40"/>
      <c r="AB177" s="40"/>
      <c r="AC177" s="40"/>
      <c r="AD177" s="40"/>
      <c r="AE177" s="40"/>
      <c r="AF177" s="40"/>
      <c r="AG177" s="40"/>
      <c r="AH177" s="40"/>
      <c r="AI177" s="40"/>
      <c r="AJ177" s="40"/>
      <c r="AK177" s="40"/>
      <c r="AL177" s="40"/>
      <c r="AM177" s="40"/>
      <c r="AN177" s="40"/>
      <c r="AO177" s="40"/>
      <c r="AP177" s="40"/>
      <c r="AQ177" s="40"/>
      <c r="AR177" s="40"/>
      <c r="AS177" s="40"/>
      <c r="AT177" s="40"/>
      <c r="AU177" s="40"/>
      <c r="AV177" s="40"/>
      <c r="AW177" s="40"/>
      <c r="AX177" s="40"/>
      <c r="AY177" s="40"/>
      <c r="AZ177" s="40"/>
      <c r="BA177" s="40"/>
      <c r="BB177" s="40"/>
      <c r="BC177" s="40"/>
      <c r="BD177" s="40"/>
      <c r="BE177" s="40"/>
      <c r="BF177" s="40"/>
      <c r="BG177" s="40"/>
      <c r="BH177" s="40"/>
      <c r="BI177" s="40"/>
      <c r="BJ177" s="40"/>
      <c r="BK177" s="40"/>
      <c r="BL177" s="40"/>
      <c r="BM177" s="40"/>
      <c r="BN177" s="40"/>
      <c r="BO177" s="40"/>
      <c r="BP177" s="40"/>
      <c r="BQ177" s="40"/>
      <c r="BR177" s="40"/>
      <c r="BS177" s="40"/>
      <c r="BT177" s="40"/>
      <c r="BU177" s="40"/>
      <c r="BV177" s="40"/>
      <c r="BW177" s="40"/>
      <c r="BX177" s="40"/>
      <c r="BY177" s="40"/>
      <c r="BZ177" s="40"/>
      <c r="CA177" s="40"/>
      <c r="CB177" s="40"/>
      <c r="CC177" s="40"/>
      <c r="CD177" s="40"/>
      <c r="CE177" s="40"/>
      <c r="CF177" s="40"/>
      <c r="CG177" s="40"/>
      <c r="CH177" s="40"/>
      <c r="CI177" s="40"/>
      <c r="CJ177" s="40"/>
      <c r="CK177" s="40"/>
      <c r="CL177" s="40"/>
    </row>
    <row r="178" spans="1:90" x14ac:dyDescent="0.25">
      <c r="A178" s="40"/>
      <c r="B178" s="40"/>
      <c r="C178" s="40"/>
      <c r="D178" s="40"/>
      <c r="E178" s="40"/>
      <c r="F178" s="40"/>
      <c r="G178" s="40"/>
      <c r="H178" s="40"/>
      <c r="I178" s="40"/>
      <c r="J178" s="40"/>
      <c r="K178" s="40"/>
      <c r="L178" s="40"/>
      <c r="M178" s="40"/>
      <c r="N178" s="40"/>
      <c r="O178" s="40"/>
      <c r="P178" s="40"/>
      <c r="Q178" s="40"/>
      <c r="R178" s="40"/>
      <c r="S178" s="40"/>
      <c r="T178" s="40"/>
      <c r="U178" s="40"/>
      <c r="V178" s="40"/>
      <c r="W178" s="40"/>
      <c r="X178" s="40"/>
      <c r="Y178" s="40"/>
      <c r="Z178" s="40"/>
      <c r="AA178" s="40"/>
      <c r="AB178" s="40"/>
      <c r="AC178" s="40"/>
      <c r="AD178" s="40"/>
      <c r="AE178" s="40"/>
      <c r="AF178" s="40"/>
      <c r="AG178" s="40"/>
      <c r="AH178" s="40"/>
      <c r="AI178" s="40"/>
      <c r="AJ178" s="40"/>
      <c r="AK178" s="40"/>
      <c r="AL178" s="40"/>
      <c r="AM178" s="40"/>
      <c r="AN178" s="40"/>
      <c r="AO178" s="40"/>
      <c r="AP178" s="40"/>
      <c r="AQ178" s="40"/>
      <c r="AR178" s="40"/>
      <c r="AS178" s="40"/>
      <c r="AT178" s="40"/>
      <c r="AU178" s="40"/>
      <c r="AV178" s="40"/>
      <c r="AW178" s="40"/>
      <c r="AX178" s="40"/>
      <c r="AY178" s="40"/>
      <c r="AZ178" s="40"/>
      <c r="BA178" s="40"/>
      <c r="BB178" s="40"/>
      <c r="BC178" s="40"/>
      <c r="BD178" s="40"/>
      <c r="BE178" s="40"/>
      <c r="BF178" s="40"/>
      <c r="BG178" s="40"/>
      <c r="BH178" s="40"/>
      <c r="BI178" s="40"/>
      <c r="BJ178" s="40"/>
      <c r="BK178" s="40"/>
      <c r="BL178" s="40"/>
      <c r="BM178" s="40"/>
      <c r="BN178" s="40"/>
      <c r="BO178" s="40"/>
      <c r="BP178" s="40"/>
      <c r="BQ178" s="40"/>
      <c r="BR178" s="40"/>
      <c r="BS178" s="40"/>
      <c r="BT178" s="40"/>
      <c r="BU178" s="40"/>
      <c r="BV178" s="40"/>
      <c r="BW178" s="40"/>
      <c r="BX178" s="40"/>
      <c r="BY178" s="40"/>
      <c r="BZ178" s="40"/>
      <c r="CA178" s="40"/>
      <c r="CB178" s="40"/>
      <c r="CC178" s="40"/>
      <c r="CD178" s="40"/>
      <c r="CE178" s="40"/>
      <c r="CF178" s="40"/>
      <c r="CG178" s="40"/>
      <c r="CH178" s="40"/>
      <c r="CI178" s="40"/>
      <c r="CJ178" s="40"/>
      <c r="CK178" s="40"/>
      <c r="CL178" s="40"/>
    </row>
    <row r="179" spans="1:90" x14ac:dyDescent="0.25">
      <c r="A179" s="40"/>
      <c r="B179" s="40"/>
      <c r="C179" s="40"/>
      <c r="D179" s="40"/>
      <c r="E179" s="40"/>
      <c r="F179" s="40"/>
      <c r="G179" s="40"/>
      <c r="H179" s="40"/>
      <c r="I179" s="40"/>
      <c r="J179" s="40"/>
      <c r="K179" s="40"/>
      <c r="L179" s="40"/>
      <c r="M179" s="40"/>
      <c r="N179" s="40"/>
      <c r="O179" s="40"/>
      <c r="P179" s="40"/>
      <c r="Q179" s="40"/>
      <c r="R179" s="40"/>
      <c r="S179" s="40"/>
      <c r="T179" s="40"/>
      <c r="U179" s="40"/>
      <c r="V179" s="40"/>
      <c r="W179" s="40"/>
      <c r="X179" s="40"/>
      <c r="Y179" s="40"/>
      <c r="Z179" s="40"/>
      <c r="AA179" s="40"/>
      <c r="AB179" s="40"/>
      <c r="AC179" s="40"/>
      <c r="AD179" s="40"/>
      <c r="AE179" s="40"/>
      <c r="AF179" s="40"/>
      <c r="AG179" s="40"/>
      <c r="AH179" s="40"/>
      <c r="AI179" s="40"/>
      <c r="AJ179" s="40"/>
      <c r="AK179" s="40"/>
      <c r="AL179" s="40"/>
      <c r="AM179" s="40"/>
      <c r="AN179" s="40"/>
      <c r="AO179" s="40"/>
      <c r="AP179" s="40"/>
      <c r="AQ179" s="40"/>
      <c r="AR179" s="40"/>
      <c r="AS179" s="40"/>
      <c r="AT179" s="40"/>
      <c r="AU179" s="40"/>
      <c r="AV179" s="40"/>
      <c r="AW179" s="40"/>
      <c r="AX179" s="40"/>
      <c r="AY179" s="40"/>
      <c r="AZ179" s="40"/>
      <c r="BA179" s="40"/>
      <c r="BB179" s="40"/>
      <c r="BC179" s="40"/>
      <c r="BD179" s="40"/>
      <c r="BE179" s="40"/>
      <c r="BF179" s="40"/>
      <c r="BG179" s="40"/>
      <c r="BH179" s="40"/>
      <c r="BI179" s="40"/>
      <c r="BJ179" s="40"/>
      <c r="BK179" s="40"/>
      <c r="BL179" s="40"/>
      <c r="BM179" s="40"/>
      <c r="BN179" s="40"/>
      <c r="BO179" s="40"/>
      <c r="BP179" s="40"/>
      <c r="BQ179" s="40"/>
      <c r="BR179" s="40"/>
      <c r="BS179" s="40"/>
      <c r="BT179" s="40"/>
      <c r="BU179" s="40"/>
      <c r="BV179" s="40"/>
      <c r="BW179" s="40"/>
      <c r="BX179" s="40"/>
      <c r="BY179" s="40"/>
      <c r="BZ179" s="40"/>
      <c r="CA179" s="40"/>
      <c r="CB179" s="40"/>
      <c r="CC179" s="40"/>
      <c r="CD179" s="40"/>
      <c r="CE179" s="40"/>
      <c r="CF179" s="40"/>
      <c r="CG179" s="40"/>
      <c r="CH179" s="40"/>
      <c r="CI179" s="40"/>
      <c r="CJ179" s="40"/>
      <c r="CK179" s="40"/>
      <c r="CL179" s="40"/>
    </row>
    <row r="180" spans="1:90" x14ac:dyDescent="0.25">
      <c r="A180" s="40"/>
      <c r="B180" s="40"/>
      <c r="C180" s="40"/>
      <c r="D180" s="40"/>
      <c r="E180" s="40"/>
      <c r="F180" s="40"/>
      <c r="G180" s="40"/>
      <c r="H180" s="40"/>
      <c r="I180" s="40"/>
      <c r="J180" s="40"/>
      <c r="K180" s="40"/>
      <c r="L180" s="40"/>
      <c r="M180" s="40"/>
      <c r="N180" s="40"/>
      <c r="O180" s="40"/>
      <c r="P180" s="40"/>
      <c r="Q180" s="40"/>
      <c r="R180" s="40"/>
      <c r="S180" s="40"/>
      <c r="T180" s="40"/>
      <c r="U180" s="40"/>
      <c r="V180" s="40"/>
      <c r="W180" s="40"/>
      <c r="X180" s="40"/>
      <c r="Y180" s="40"/>
      <c r="Z180" s="40"/>
      <c r="AA180" s="40"/>
      <c r="AB180" s="40"/>
      <c r="AC180" s="40"/>
      <c r="AD180" s="40"/>
      <c r="AE180" s="40"/>
      <c r="AF180" s="40"/>
      <c r="AG180" s="40"/>
      <c r="AH180" s="40"/>
      <c r="AI180" s="40"/>
      <c r="AJ180" s="40"/>
      <c r="AK180" s="40"/>
      <c r="AL180" s="40"/>
      <c r="AM180" s="40"/>
      <c r="AN180" s="40"/>
      <c r="AO180" s="40"/>
      <c r="AP180" s="40"/>
      <c r="AQ180" s="40"/>
      <c r="AR180" s="40"/>
      <c r="AS180" s="40"/>
      <c r="AT180" s="40"/>
      <c r="AU180" s="40"/>
      <c r="AV180" s="40"/>
      <c r="AW180" s="40"/>
      <c r="AX180" s="40"/>
      <c r="AY180" s="40"/>
      <c r="AZ180" s="40"/>
      <c r="BA180" s="40"/>
      <c r="BB180" s="40"/>
      <c r="BC180" s="40"/>
      <c r="BD180" s="40"/>
      <c r="BE180" s="40"/>
      <c r="BF180" s="40"/>
      <c r="BG180" s="40"/>
      <c r="BH180" s="40"/>
      <c r="BI180" s="40"/>
      <c r="BJ180" s="40"/>
      <c r="BK180" s="40"/>
      <c r="BL180" s="40"/>
      <c r="BM180" s="40"/>
      <c r="BN180" s="40"/>
      <c r="BO180" s="40"/>
      <c r="BP180" s="40"/>
      <c r="BQ180" s="40"/>
      <c r="BR180" s="40"/>
      <c r="BS180" s="40"/>
      <c r="BT180" s="40"/>
      <c r="BU180" s="40"/>
      <c r="BV180" s="40"/>
      <c r="BW180" s="40"/>
      <c r="BX180" s="40"/>
      <c r="BY180" s="40"/>
      <c r="BZ180" s="40"/>
      <c r="CA180" s="40"/>
      <c r="CB180" s="40"/>
      <c r="CC180" s="40"/>
      <c r="CD180" s="40"/>
      <c r="CE180" s="40"/>
      <c r="CF180" s="40"/>
      <c r="CG180" s="40"/>
      <c r="CH180" s="40"/>
      <c r="CI180" s="40"/>
      <c r="CJ180" s="40"/>
      <c r="CK180" s="40"/>
      <c r="CL180" s="40"/>
    </row>
    <row r="181" spans="1:90" x14ac:dyDescent="0.25">
      <c r="A181" s="40"/>
      <c r="B181" s="40"/>
      <c r="C181" s="40"/>
      <c r="D181" s="40"/>
      <c r="E181" s="40"/>
      <c r="F181" s="40"/>
      <c r="G181" s="40"/>
      <c r="H181" s="40"/>
      <c r="I181" s="40"/>
      <c r="J181" s="40"/>
      <c r="K181" s="40"/>
      <c r="L181" s="40"/>
      <c r="M181" s="40"/>
      <c r="N181" s="40"/>
      <c r="O181" s="40"/>
      <c r="P181" s="40"/>
      <c r="Q181" s="40"/>
      <c r="R181" s="40"/>
      <c r="S181" s="40"/>
      <c r="T181" s="40"/>
      <c r="U181" s="40"/>
      <c r="V181" s="40"/>
      <c r="W181" s="40"/>
      <c r="X181" s="40"/>
      <c r="Y181" s="40"/>
      <c r="Z181" s="40"/>
      <c r="AA181" s="40"/>
      <c r="AB181" s="40"/>
      <c r="AC181" s="40"/>
      <c r="AD181" s="40"/>
      <c r="AE181" s="40"/>
      <c r="AF181" s="40"/>
      <c r="AG181" s="40"/>
      <c r="AH181" s="40"/>
      <c r="AI181" s="40"/>
      <c r="AJ181" s="40"/>
      <c r="AK181" s="40"/>
      <c r="AL181" s="40"/>
      <c r="AM181" s="40"/>
      <c r="AN181" s="40"/>
      <c r="AO181" s="40"/>
      <c r="AP181" s="40"/>
      <c r="AQ181" s="40"/>
      <c r="AR181" s="40"/>
      <c r="AS181" s="40"/>
      <c r="AT181" s="40"/>
      <c r="AU181" s="40"/>
      <c r="AV181" s="40"/>
      <c r="AW181" s="40"/>
      <c r="AX181" s="40"/>
      <c r="AY181" s="40"/>
      <c r="AZ181" s="40"/>
      <c r="BA181" s="40"/>
      <c r="BB181" s="40"/>
      <c r="BC181" s="40"/>
      <c r="BD181" s="40"/>
      <c r="BE181" s="40"/>
      <c r="BF181" s="40"/>
      <c r="BG181" s="40"/>
      <c r="BH181" s="40"/>
      <c r="BI181" s="40"/>
      <c r="BJ181" s="40"/>
      <c r="BK181" s="40"/>
      <c r="BL181" s="40"/>
      <c r="BM181" s="40"/>
      <c r="BN181" s="40"/>
      <c r="BO181" s="40"/>
      <c r="BP181" s="40"/>
      <c r="BQ181" s="40"/>
      <c r="BR181" s="40"/>
      <c r="BS181" s="40"/>
      <c r="BT181" s="40"/>
      <c r="BU181" s="40"/>
      <c r="BV181" s="40"/>
      <c r="BW181" s="40"/>
      <c r="BX181" s="40"/>
      <c r="BY181" s="40"/>
      <c r="BZ181" s="40"/>
      <c r="CA181" s="40"/>
      <c r="CB181" s="40"/>
      <c r="CC181" s="40"/>
      <c r="CD181" s="40"/>
      <c r="CE181" s="40"/>
      <c r="CF181" s="40"/>
      <c r="CG181" s="40"/>
      <c r="CH181" s="40"/>
      <c r="CI181" s="40"/>
      <c r="CJ181" s="40"/>
      <c r="CK181" s="40"/>
      <c r="CL181" s="40"/>
    </row>
    <row r="182" spans="1:90" x14ac:dyDescent="0.25">
      <c r="A182" s="40"/>
      <c r="B182" s="40"/>
      <c r="C182" s="40"/>
      <c r="D182" s="40"/>
      <c r="E182" s="40"/>
      <c r="F182" s="40"/>
      <c r="G182" s="40"/>
      <c r="H182" s="40"/>
      <c r="I182" s="40"/>
      <c r="J182" s="40"/>
      <c r="K182" s="40"/>
      <c r="L182" s="40"/>
      <c r="M182" s="40"/>
      <c r="N182" s="40"/>
      <c r="O182" s="40"/>
      <c r="P182" s="40"/>
      <c r="Q182" s="40"/>
      <c r="R182" s="40"/>
      <c r="S182" s="40"/>
      <c r="T182" s="40"/>
      <c r="U182" s="40"/>
      <c r="V182" s="40"/>
      <c r="W182" s="40"/>
      <c r="X182" s="40"/>
      <c r="Y182" s="40"/>
      <c r="Z182" s="40"/>
      <c r="AA182" s="40"/>
      <c r="AB182" s="40"/>
      <c r="AC182" s="40"/>
      <c r="AD182" s="40"/>
      <c r="AE182" s="40"/>
      <c r="AF182" s="40"/>
      <c r="AG182" s="40"/>
      <c r="AH182" s="40"/>
      <c r="AI182" s="40"/>
      <c r="AJ182" s="40"/>
      <c r="AK182" s="40"/>
      <c r="AL182" s="40"/>
      <c r="AM182" s="40"/>
      <c r="AN182" s="40"/>
      <c r="AO182" s="40"/>
      <c r="AP182" s="40"/>
      <c r="AQ182" s="40"/>
      <c r="AR182" s="40"/>
      <c r="AS182" s="40"/>
      <c r="AT182" s="40"/>
      <c r="AU182" s="40"/>
      <c r="AV182" s="40"/>
      <c r="AW182" s="40"/>
      <c r="AX182" s="40"/>
      <c r="AY182" s="40"/>
      <c r="AZ182" s="40"/>
      <c r="BA182" s="40"/>
      <c r="BB182" s="40"/>
      <c r="BC182" s="40"/>
      <c r="BD182" s="40"/>
      <c r="BE182" s="40"/>
      <c r="BF182" s="40"/>
      <c r="BG182" s="40"/>
      <c r="BH182" s="40"/>
      <c r="BI182" s="40"/>
      <c r="BJ182" s="40"/>
      <c r="BK182" s="40"/>
      <c r="BL182" s="40"/>
      <c r="BM182" s="40"/>
      <c r="BN182" s="40"/>
      <c r="BO182" s="40"/>
      <c r="BP182" s="40"/>
      <c r="BQ182" s="40"/>
      <c r="BR182" s="40"/>
      <c r="BS182" s="40"/>
      <c r="BT182" s="40"/>
      <c r="BU182" s="40"/>
      <c r="BV182" s="40"/>
      <c r="BW182" s="40"/>
      <c r="BX182" s="40"/>
      <c r="BY182" s="40"/>
      <c r="BZ182" s="40"/>
      <c r="CA182" s="40"/>
      <c r="CB182" s="40"/>
      <c r="CC182" s="40"/>
      <c r="CD182" s="40"/>
      <c r="CE182" s="40"/>
      <c r="CF182" s="40"/>
      <c r="CG182" s="40"/>
      <c r="CH182" s="40"/>
      <c r="CI182" s="40"/>
      <c r="CJ182" s="40"/>
      <c r="CK182" s="40"/>
      <c r="CL182" s="40"/>
    </row>
    <row r="183" spans="1:90" x14ac:dyDescent="0.25">
      <c r="A183" s="40"/>
      <c r="B183" s="40"/>
      <c r="C183" s="40"/>
      <c r="D183" s="40"/>
      <c r="E183" s="40"/>
      <c r="F183" s="40"/>
      <c r="G183" s="40"/>
      <c r="H183" s="40"/>
      <c r="I183" s="40"/>
      <c r="J183" s="40"/>
      <c r="K183" s="40"/>
      <c r="L183" s="40"/>
      <c r="M183" s="40"/>
      <c r="N183" s="40"/>
      <c r="O183" s="40"/>
      <c r="P183" s="40"/>
      <c r="Q183" s="40"/>
      <c r="R183" s="40"/>
      <c r="S183" s="40"/>
      <c r="T183" s="40"/>
      <c r="U183" s="40"/>
      <c r="V183" s="40"/>
      <c r="W183" s="40"/>
      <c r="X183" s="40"/>
      <c r="Y183" s="40"/>
      <c r="Z183" s="40"/>
      <c r="AA183" s="40"/>
      <c r="AB183" s="40"/>
      <c r="AC183" s="40"/>
      <c r="AD183" s="40"/>
      <c r="AE183" s="40"/>
      <c r="AF183" s="40"/>
      <c r="AG183" s="40"/>
      <c r="AH183" s="40"/>
      <c r="AI183" s="40"/>
      <c r="AJ183" s="40"/>
      <c r="AK183" s="40"/>
      <c r="AL183" s="40"/>
      <c r="AM183" s="40"/>
      <c r="AN183" s="40"/>
      <c r="AO183" s="40"/>
      <c r="AP183" s="40"/>
      <c r="AQ183" s="40"/>
      <c r="AR183" s="40"/>
      <c r="AS183" s="40"/>
      <c r="AT183" s="40"/>
      <c r="AU183" s="40"/>
      <c r="AV183" s="40"/>
      <c r="AW183" s="40"/>
      <c r="AX183" s="40"/>
      <c r="AY183" s="40"/>
      <c r="AZ183" s="40"/>
      <c r="BA183" s="40"/>
      <c r="BB183" s="40"/>
      <c r="BC183" s="40"/>
      <c r="BD183" s="40"/>
      <c r="BE183" s="40"/>
      <c r="BF183" s="40"/>
      <c r="BG183" s="40"/>
      <c r="BH183" s="40"/>
      <c r="BI183" s="40"/>
      <c r="BJ183" s="40"/>
      <c r="BK183" s="40"/>
      <c r="BL183" s="40"/>
      <c r="BM183" s="40"/>
      <c r="BN183" s="40"/>
      <c r="BO183" s="40"/>
      <c r="BP183" s="40"/>
      <c r="BQ183" s="40"/>
      <c r="BR183" s="40"/>
      <c r="BS183" s="40"/>
      <c r="BT183" s="40"/>
      <c r="BU183" s="40"/>
      <c r="BV183" s="40"/>
      <c r="BW183" s="40"/>
      <c r="BX183" s="40"/>
      <c r="BY183" s="40"/>
      <c r="BZ183" s="40"/>
      <c r="CA183" s="40"/>
      <c r="CB183" s="40"/>
      <c r="CC183" s="40"/>
      <c r="CD183" s="40"/>
      <c r="CE183" s="40"/>
      <c r="CF183" s="40"/>
      <c r="CG183" s="40"/>
      <c r="CH183" s="40"/>
      <c r="CI183" s="40"/>
      <c r="CJ183" s="40"/>
      <c r="CK183" s="40"/>
      <c r="CL183" s="40"/>
    </row>
    <row r="184" spans="1:90" x14ac:dyDescent="0.25">
      <c r="A184" s="40"/>
      <c r="B184" s="40"/>
      <c r="C184" s="40"/>
      <c r="D184" s="40"/>
      <c r="E184" s="40"/>
      <c r="F184" s="40"/>
      <c r="G184" s="40"/>
      <c r="H184" s="40"/>
      <c r="I184" s="40"/>
      <c r="J184" s="40"/>
      <c r="K184" s="40"/>
      <c r="L184" s="40"/>
      <c r="M184" s="40"/>
      <c r="N184" s="40"/>
      <c r="O184" s="40"/>
      <c r="P184" s="40"/>
      <c r="Q184" s="40"/>
      <c r="R184" s="40"/>
      <c r="S184" s="40"/>
      <c r="T184" s="40"/>
      <c r="U184" s="40"/>
      <c r="V184" s="40"/>
      <c r="W184" s="40"/>
      <c r="X184" s="40"/>
      <c r="Y184" s="40"/>
      <c r="Z184" s="40"/>
      <c r="AA184" s="40"/>
      <c r="AB184" s="40"/>
      <c r="AC184" s="40"/>
      <c r="AD184" s="40"/>
      <c r="AE184" s="40"/>
      <c r="AF184" s="40"/>
      <c r="AG184" s="40"/>
      <c r="AH184" s="40"/>
      <c r="AI184" s="40"/>
      <c r="AJ184" s="40"/>
      <c r="AK184" s="40"/>
      <c r="AL184" s="40"/>
      <c r="AM184" s="40"/>
      <c r="AN184" s="40"/>
      <c r="AO184" s="40"/>
      <c r="AP184" s="40"/>
      <c r="AQ184" s="40"/>
      <c r="AR184" s="40"/>
      <c r="AS184" s="40"/>
      <c r="AT184" s="40"/>
      <c r="AU184" s="40"/>
      <c r="AV184" s="40"/>
      <c r="AW184" s="40"/>
      <c r="AX184" s="40"/>
      <c r="AY184" s="40"/>
      <c r="AZ184" s="40"/>
      <c r="BA184" s="40"/>
      <c r="BB184" s="40"/>
      <c r="BC184" s="40"/>
      <c r="BD184" s="40"/>
      <c r="BE184" s="40"/>
      <c r="BF184" s="40"/>
      <c r="BG184" s="40"/>
      <c r="BH184" s="40"/>
      <c r="BI184" s="40"/>
      <c r="BJ184" s="40"/>
      <c r="BK184" s="40"/>
      <c r="BL184" s="40"/>
      <c r="BM184" s="40"/>
      <c r="BN184" s="40"/>
      <c r="BO184" s="40"/>
      <c r="BP184" s="40"/>
      <c r="BQ184" s="40"/>
      <c r="BR184" s="40"/>
      <c r="BS184" s="40"/>
      <c r="BT184" s="40"/>
      <c r="BU184" s="40"/>
      <c r="BV184" s="40"/>
      <c r="BW184" s="40"/>
      <c r="BX184" s="40"/>
      <c r="BY184" s="40"/>
      <c r="BZ184" s="40"/>
      <c r="CA184" s="40"/>
      <c r="CB184" s="40"/>
      <c r="CC184" s="40"/>
      <c r="CD184" s="40"/>
      <c r="CE184" s="40"/>
      <c r="CF184" s="40"/>
      <c r="CG184" s="40"/>
      <c r="CH184" s="40"/>
      <c r="CI184" s="40"/>
      <c r="CJ184" s="40"/>
      <c r="CK184" s="40"/>
      <c r="CL184" s="40"/>
    </row>
    <row r="185" spans="1:90" x14ac:dyDescent="0.25">
      <c r="A185" s="40"/>
      <c r="B185" s="40"/>
      <c r="C185" s="40"/>
      <c r="D185" s="40"/>
      <c r="E185" s="40"/>
      <c r="F185" s="40"/>
      <c r="G185" s="40"/>
      <c r="H185" s="40"/>
      <c r="I185" s="40"/>
      <c r="J185" s="40"/>
      <c r="K185" s="40"/>
      <c r="L185" s="40"/>
      <c r="M185" s="40"/>
      <c r="N185" s="40"/>
      <c r="O185" s="40"/>
      <c r="P185" s="40"/>
      <c r="Q185" s="40"/>
      <c r="R185" s="40"/>
      <c r="S185" s="40"/>
      <c r="T185" s="40"/>
      <c r="U185" s="40"/>
      <c r="V185" s="40"/>
      <c r="W185" s="40"/>
      <c r="X185" s="40"/>
      <c r="Y185" s="40"/>
      <c r="Z185" s="40"/>
      <c r="AA185" s="40"/>
      <c r="AB185" s="40"/>
      <c r="AC185" s="40"/>
      <c r="AD185" s="40"/>
      <c r="AE185" s="40"/>
      <c r="AF185" s="40"/>
      <c r="AG185" s="40"/>
      <c r="AH185" s="40"/>
      <c r="AI185" s="40"/>
      <c r="AJ185" s="40"/>
      <c r="AK185" s="40"/>
      <c r="AL185" s="40"/>
      <c r="AM185" s="40"/>
      <c r="AN185" s="40"/>
      <c r="AO185" s="40"/>
      <c r="AP185" s="40"/>
      <c r="AQ185" s="40"/>
      <c r="AR185" s="40"/>
      <c r="AS185" s="40"/>
      <c r="AT185" s="40"/>
      <c r="AU185" s="40"/>
      <c r="AV185" s="40"/>
      <c r="AW185" s="40"/>
      <c r="AX185" s="40"/>
      <c r="AY185" s="40"/>
      <c r="AZ185" s="40"/>
      <c r="BA185" s="40"/>
      <c r="BB185" s="40"/>
      <c r="BC185" s="40"/>
      <c r="BD185" s="40"/>
      <c r="BE185" s="40"/>
      <c r="BF185" s="40"/>
      <c r="BG185" s="40"/>
      <c r="BH185" s="40"/>
      <c r="BI185" s="40"/>
      <c r="BJ185" s="40"/>
      <c r="BK185" s="40"/>
      <c r="BL185" s="40"/>
      <c r="BM185" s="40"/>
      <c r="BN185" s="40"/>
      <c r="BO185" s="40"/>
      <c r="BP185" s="40"/>
      <c r="BQ185" s="40"/>
      <c r="BR185" s="40"/>
      <c r="BS185" s="40"/>
      <c r="BT185" s="40"/>
      <c r="BU185" s="40"/>
      <c r="BV185" s="40"/>
      <c r="BW185" s="40"/>
      <c r="BX185" s="40"/>
      <c r="BY185" s="40"/>
      <c r="BZ185" s="40"/>
      <c r="CA185" s="40"/>
      <c r="CB185" s="40"/>
      <c r="CC185" s="40"/>
      <c r="CD185" s="40"/>
      <c r="CE185" s="40"/>
      <c r="CF185" s="40"/>
      <c r="CG185" s="40"/>
      <c r="CH185" s="40"/>
      <c r="CI185" s="40"/>
      <c r="CJ185" s="40"/>
      <c r="CK185" s="40"/>
      <c r="CL185" s="40"/>
    </row>
    <row r="186" spans="1:90" x14ac:dyDescent="0.25">
      <c r="A186" s="40"/>
      <c r="B186" s="40"/>
      <c r="C186" s="40"/>
      <c r="D186" s="40"/>
      <c r="E186" s="40"/>
      <c r="F186" s="40"/>
      <c r="G186" s="40"/>
      <c r="H186" s="40"/>
      <c r="I186" s="40"/>
      <c r="J186" s="40"/>
      <c r="K186" s="40"/>
      <c r="L186" s="40"/>
      <c r="M186" s="40"/>
      <c r="N186" s="40"/>
      <c r="O186" s="40"/>
      <c r="P186" s="40"/>
      <c r="Q186" s="40"/>
      <c r="R186" s="40"/>
      <c r="S186" s="40"/>
      <c r="T186" s="40"/>
      <c r="U186" s="40"/>
      <c r="V186" s="40"/>
      <c r="W186" s="40"/>
      <c r="X186" s="40"/>
      <c r="Y186" s="40"/>
      <c r="Z186" s="40"/>
      <c r="AA186" s="40"/>
      <c r="AB186" s="40"/>
      <c r="AC186" s="40"/>
      <c r="AD186" s="40"/>
      <c r="AE186" s="40"/>
      <c r="AF186" s="40"/>
      <c r="AG186" s="40"/>
      <c r="AH186" s="40"/>
      <c r="AI186" s="40"/>
      <c r="AJ186" s="40"/>
      <c r="AK186" s="40"/>
      <c r="AL186" s="40"/>
      <c r="AM186" s="40"/>
      <c r="AN186" s="40"/>
      <c r="AO186" s="40"/>
      <c r="AP186" s="40"/>
      <c r="AQ186" s="40"/>
      <c r="AR186" s="40"/>
      <c r="AS186" s="40"/>
      <c r="AT186" s="40"/>
      <c r="AU186" s="40"/>
      <c r="AV186" s="40"/>
      <c r="AW186" s="40"/>
      <c r="AX186" s="40"/>
      <c r="AY186" s="40"/>
      <c r="AZ186" s="40"/>
      <c r="BA186" s="40"/>
      <c r="BB186" s="40"/>
      <c r="BC186" s="40"/>
      <c r="BD186" s="40"/>
      <c r="BE186" s="40"/>
      <c r="BF186" s="40"/>
      <c r="BG186" s="40"/>
      <c r="BH186" s="40"/>
      <c r="BI186" s="40"/>
      <c r="BJ186" s="40"/>
      <c r="BK186" s="40"/>
      <c r="BL186" s="40"/>
      <c r="BM186" s="40"/>
      <c r="BN186" s="40"/>
      <c r="BO186" s="40"/>
      <c r="BP186" s="40"/>
      <c r="BQ186" s="40"/>
      <c r="BR186" s="40"/>
      <c r="BS186" s="40"/>
      <c r="BT186" s="40"/>
      <c r="BU186" s="40"/>
      <c r="BV186" s="40"/>
      <c r="BW186" s="40"/>
      <c r="BX186" s="40"/>
      <c r="BY186" s="40"/>
      <c r="BZ186" s="40"/>
      <c r="CA186" s="40"/>
      <c r="CB186" s="40"/>
      <c r="CC186" s="40"/>
      <c r="CD186" s="40"/>
      <c r="CE186" s="40"/>
      <c r="CF186" s="40"/>
      <c r="CG186" s="40"/>
      <c r="CH186" s="40"/>
      <c r="CI186" s="40"/>
      <c r="CJ186" s="40"/>
      <c r="CK186" s="40"/>
      <c r="CL186" s="40"/>
    </row>
    <row r="187" spans="1:90" x14ac:dyDescent="0.25">
      <c r="A187" s="40"/>
      <c r="B187" s="40"/>
      <c r="C187" s="40"/>
      <c r="D187" s="40"/>
      <c r="E187" s="40"/>
      <c r="F187" s="40"/>
      <c r="G187" s="40"/>
      <c r="H187" s="40"/>
      <c r="I187" s="40"/>
      <c r="J187" s="40"/>
      <c r="K187" s="40"/>
      <c r="L187" s="40"/>
      <c r="M187" s="40"/>
      <c r="N187" s="40"/>
      <c r="O187" s="40"/>
      <c r="P187" s="40"/>
      <c r="Q187" s="40"/>
      <c r="R187" s="40"/>
      <c r="S187" s="40"/>
      <c r="T187" s="40"/>
      <c r="U187" s="40"/>
      <c r="V187" s="40"/>
      <c r="W187" s="40"/>
      <c r="X187" s="40"/>
      <c r="Y187" s="40"/>
      <c r="Z187" s="40"/>
      <c r="AA187" s="40"/>
      <c r="AB187" s="40"/>
      <c r="AC187" s="40"/>
      <c r="AD187" s="40"/>
      <c r="AE187" s="40"/>
      <c r="AF187" s="40"/>
      <c r="AG187" s="40"/>
      <c r="AH187" s="40"/>
      <c r="AI187" s="40"/>
      <c r="AJ187" s="40"/>
      <c r="AK187" s="40"/>
      <c r="AL187" s="40"/>
      <c r="AM187" s="40"/>
      <c r="AN187" s="40"/>
      <c r="AO187" s="40"/>
      <c r="AP187" s="40"/>
      <c r="AQ187" s="40"/>
      <c r="AR187" s="40"/>
      <c r="AS187" s="40"/>
      <c r="AT187" s="40"/>
      <c r="AU187" s="40"/>
      <c r="AV187" s="40"/>
      <c r="AW187" s="40"/>
      <c r="AX187" s="40"/>
      <c r="AY187" s="40"/>
      <c r="AZ187" s="40"/>
      <c r="BA187" s="40"/>
      <c r="BB187" s="40"/>
      <c r="BC187" s="40"/>
      <c r="BD187" s="40"/>
      <c r="BE187" s="40"/>
      <c r="BF187" s="40"/>
      <c r="BG187" s="40"/>
      <c r="BH187" s="40"/>
      <c r="BI187" s="40"/>
      <c r="BJ187" s="40"/>
      <c r="BK187" s="40"/>
      <c r="BL187" s="40"/>
      <c r="BM187" s="40"/>
      <c r="BN187" s="40"/>
      <c r="BO187" s="40"/>
      <c r="BP187" s="40"/>
      <c r="BQ187" s="40"/>
      <c r="BR187" s="40"/>
      <c r="BS187" s="40"/>
      <c r="BT187" s="40"/>
      <c r="BU187" s="40"/>
      <c r="BV187" s="40"/>
      <c r="BW187" s="40"/>
      <c r="BX187" s="40"/>
      <c r="BY187" s="40"/>
      <c r="BZ187" s="40"/>
      <c r="CA187" s="40"/>
      <c r="CB187" s="40"/>
      <c r="CC187" s="40"/>
      <c r="CD187" s="40"/>
      <c r="CE187" s="40"/>
      <c r="CF187" s="40"/>
      <c r="CG187" s="40"/>
      <c r="CH187" s="40"/>
      <c r="CI187" s="40"/>
      <c r="CJ187" s="40"/>
      <c r="CK187" s="40"/>
      <c r="CL187" s="40"/>
    </row>
    <row r="188" spans="1:90" x14ac:dyDescent="0.25">
      <c r="A188" s="40"/>
      <c r="B188" s="40"/>
      <c r="C188" s="40"/>
      <c r="D188" s="40"/>
      <c r="E188" s="40"/>
      <c r="F188" s="40"/>
      <c r="G188" s="40"/>
      <c r="H188" s="40"/>
      <c r="I188" s="40"/>
      <c r="J188" s="40"/>
      <c r="K188" s="40"/>
      <c r="L188" s="40"/>
      <c r="M188" s="40"/>
      <c r="N188" s="40"/>
      <c r="O188" s="40"/>
      <c r="P188" s="40"/>
      <c r="Q188" s="40"/>
      <c r="R188" s="40"/>
      <c r="S188" s="40"/>
      <c r="T188" s="40"/>
      <c r="U188" s="40"/>
      <c r="V188" s="40"/>
      <c r="W188" s="40"/>
      <c r="X188" s="40"/>
      <c r="Y188" s="40"/>
      <c r="Z188" s="40"/>
      <c r="AA188" s="40"/>
      <c r="AB188" s="40"/>
      <c r="AC188" s="40"/>
      <c r="AD188" s="40"/>
      <c r="AE188" s="40"/>
      <c r="AF188" s="40"/>
      <c r="AG188" s="40"/>
      <c r="AH188" s="40"/>
      <c r="AI188" s="40"/>
      <c r="AJ188" s="40"/>
      <c r="AK188" s="40"/>
      <c r="AL188" s="40"/>
      <c r="AM188" s="40"/>
      <c r="AN188" s="40"/>
      <c r="AO188" s="40"/>
      <c r="AP188" s="40"/>
      <c r="AQ188" s="40"/>
      <c r="AR188" s="40"/>
      <c r="AS188" s="40"/>
      <c r="AT188" s="40"/>
      <c r="AU188" s="40"/>
      <c r="AV188" s="40"/>
      <c r="AW188" s="40"/>
      <c r="AX188" s="40"/>
      <c r="AY188" s="40"/>
      <c r="AZ188" s="40"/>
      <c r="BA188" s="40"/>
      <c r="BB188" s="40"/>
      <c r="BC188" s="40"/>
      <c r="BD188" s="40"/>
      <c r="BE188" s="40"/>
      <c r="BF188" s="40"/>
      <c r="BG188" s="40"/>
      <c r="BH188" s="40"/>
      <c r="BI188" s="40"/>
      <c r="BJ188" s="40"/>
      <c r="BK188" s="40"/>
      <c r="BL188" s="40"/>
      <c r="BM188" s="40"/>
      <c r="BN188" s="40"/>
      <c r="BO188" s="40"/>
      <c r="BP188" s="40"/>
      <c r="BQ188" s="40"/>
      <c r="BR188" s="40"/>
      <c r="BS188" s="40"/>
      <c r="BT188" s="40"/>
      <c r="BU188" s="40"/>
      <c r="BV188" s="40"/>
      <c r="BW188" s="40"/>
      <c r="BX188" s="40"/>
      <c r="BY188" s="40"/>
      <c r="BZ188" s="40"/>
      <c r="CA188" s="40"/>
      <c r="CB188" s="40"/>
      <c r="CC188" s="40"/>
      <c r="CD188" s="40"/>
      <c r="CE188" s="40"/>
      <c r="CF188" s="40"/>
      <c r="CG188" s="40"/>
      <c r="CH188" s="40"/>
      <c r="CI188" s="40"/>
      <c r="CJ188" s="40"/>
      <c r="CK188" s="40"/>
      <c r="CL188" s="40"/>
    </row>
    <row r="189" spans="1:90" x14ac:dyDescent="0.25">
      <c r="A189" s="40"/>
      <c r="B189" s="40"/>
      <c r="C189" s="40"/>
      <c r="D189" s="40"/>
      <c r="E189" s="40"/>
      <c r="F189" s="40"/>
      <c r="G189" s="40"/>
      <c r="H189" s="40"/>
      <c r="I189" s="40"/>
      <c r="J189" s="40"/>
      <c r="K189" s="40"/>
      <c r="L189" s="40"/>
      <c r="M189" s="40"/>
      <c r="N189" s="40"/>
      <c r="O189" s="40"/>
      <c r="P189" s="40"/>
      <c r="Q189" s="40"/>
      <c r="R189" s="40"/>
      <c r="S189" s="40"/>
      <c r="T189" s="40"/>
      <c r="U189" s="40"/>
      <c r="V189" s="40"/>
      <c r="W189" s="40"/>
      <c r="X189" s="40"/>
      <c r="Y189" s="40"/>
      <c r="Z189" s="40"/>
      <c r="AA189" s="40"/>
      <c r="AB189" s="40"/>
      <c r="AC189" s="40"/>
      <c r="AD189" s="40"/>
      <c r="AE189" s="40"/>
      <c r="AF189" s="40"/>
      <c r="AG189" s="40"/>
      <c r="AH189" s="40"/>
      <c r="AI189" s="40"/>
      <c r="AJ189" s="40"/>
      <c r="AK189" s="40"/>
      <c r="AL189" s="40"/>
      <c r="AM189" s="40"/>
      <c r="AN189" s="40"/>
      <c r="AO189" s="40"/>
      <c r="AP189" s="40"/>
      <c r="AQ189" s="40"/>
      <c r="AR189" s="40"/>
      <c r="AS189" s="40"/>
      <c r="AT189" s="40"/>
      <c r="AU189" s="40"/>
      <c r="AV189" s="40"/>
      <c r="AW189" s="40"/>
      <c r="AX189" s="40"/>
      <c r="AY189" s="40"/>
      <c r="AZ189" s="40"/>
      <c r="BA189" s="40"/>
      <c r="BB189" s="40"/>
      <c r="BC189" s="40"/>
      <c r="BD189" s="40"/>
      <c r="BE189" s="40"/>
      <c r="BF189" s="40"/>
      <c r="BG189" s="40"/>
      <c r="BH189" s="40"/>
      <c r="BI189" s="40"/>
      <c r="BJ189" s="40"/>
      <c r="BK189" s="40"/>
      <c r="BL189" s="40"/>
      <c r="BM189" s="40"/>
      <c r="BN189" s="40"/>
      <c r="BO189" s="40"/>
      <c r="BP189" s="40"/>
      <c r="BQ189" s="40"/>
      <c r="BR189" s="40"/>
      <c r="BS189" s="40"/>
      <c r="BT189" s="40"/>
      <c r="BU189" s="40"/>
      <c r="BV189" s="40"/>
      <c r="BW189" s="40"/>
      <c r="BX189" s="40"/>
      <c r="BY189" s="40"/>
      <c r="BZ189" s="40"/>
      <c r="CA189" s="40"/>
      <c r="CB189" s="40"/>
      <c r="CC189" s="40"/>
      <c r="CD189" s="40"/>
      <c r="CE189" s="40"/>
      <c r="CF189" s="40"/>
      <c r="CG189" s="40"/>
      <c r="CH189" s="40"/>
      <c r="CI189" s="40"/>
      <c r="CJ189" s="40"/>
      <c r="CK189" s="40"/>
      <c r="CL189" s="40"/>
    </row>
    <row r="190" spans="1:90" x14ac:dyDescent="0.25">
      <c r="A190" s="40"/>
      <c r="B190" s="40"/>
      <c r="C190" s="40"/>
      <c r="D190" s="40"/>
      <c r="E190" s="40"/>
      <c r="F190" s="40"/>
      <c r="G190" s="40"/>
      <c r="H190" s="40"/>
      <c r="I190" s="40"/>
      <c r="J190" s="40"/>
      <c r="K190" s="40"/>
      <c r="L190" s="40"/>
      <c r="M190" s="40"/>
      <c r="N190" s="40"/>
      <c r="O190" s="40"/>
      <c r="P190" s="40"/>
      <c r="Q190" s="40"/>
      <c r="R190" s="40"/>
      <c r="S190" s="40"/>
      <c r="T190" s="40"/>
      <c r="U190" s="40"/>
      <c r="V190" s="40"/>
      <c r="W190" s="40"/>
      <c r="X190" s="40"/>
      <c r="Y190" s="40"/>
      <c r="Z190" s="40"/>
      <c r="AA190" s="40"/>
      <c r="AB190" s="40"/>
      <c r="AC190" s="40"/>
      <c r="AD190" s="40"/>
      <c r="AE190" s="40"/>
      <c r="AF190" s="40"/>
      <c r="AG190" s="40"/>
      <c r="AH190" s="40"/>
      <c r="AI190" s="40"/>
      <c r="AJ190" s="40"/>
      <c r="AK190" s="40"/>
      <c r="AL190" s="40"/>
      <c r="AM190" s="40"/>
      <c r="AN190" s="40"/>
      <c r="AO190" s="40"/>
      <c r="AP190" s="40"/>
      <c r="AQ190" s="40"/>
      <c r="AR190" s="40"/>
      <c r="AS190" s="40"/>
      <c r="AT190" s="40"/>
      <c r="AU190" s="40"/>
      <c r="AV190" s="40"/>
      <c r="AW190" s="40"/>
      <c r="AX190" s="40"/>
      <c r="AY190" s="40"/>
      <c r="AZ190" s="40"/>
      <c r="BA190" s="40"/>
      <c r="BB190" s="40"/>
      <c r="BC190" s="40"/>
      <c r="BD190" s="40"/>
      <c r="BE190" s="40"/>
      <c r="BF190" s="40"/>
      <c r="BG190" s="40"/>
      <c r="BH190" s="40"/>
      <c r="BI190" s="40"/>
      <c r="BJ190" s="40"/>
      <c r="BK190" s="40"/>
      <c r="BL190" s="40"/>
      <c r="BM190" s="40"/>
      <c r="BN190" s="40"/>
      <c r="BO190" s="40"/>
      <c r="BP190" s="40"/>
      <c r="BQ190" s="40"/>
      <c r="BR190" s="40"/>
      <c r="BS190" s="40"/>
      <c r="BT190" s="40"/>
      <c r="BU190" s="40"/>
      <c r="BV190" s="40"/>
      <c r="BW190" s="40"/>
      <c r="BX190" s="40"/>
      <c r="BY190" s="40"/>
      <c r="BZ190" s="40"/>
      <c r="CA190" s="40"/>
      <c r="CB190" s="40"/>
      <c r="CC190" s="40"/>
      <c r="CD190" s="40"/>
      <c r="CE190" s="40"/>
      <c r="CF190" s="40"/>
      <c r="CG190" s="40"/>
      <c r="CH190" s="40"/>
      <c r="CI190" s="40"/>
      <c r="CJ190" s="40"/>
      <c r="CK190" s="40"/>
      <c r="CL190" s="40"/>
    </row>
    <row r="191" spans="1:90" x14ac:dyDescent="0.25">
      <c r="A191" s="40"/>
      <c r="B191" s="40"/>
      <c r="C191" s="40"/>
      <c r="D191" s="40"/>
      <c r="E191" s="40"/>
      <c r="F191" s="40"/>
      <c r="G191" s="40"/>
      <c r="H191" s="40"/>
      <c r="I191" s="40"/>
      <c r="J191" s="40"/>
      <c r="K191" s="40"/>
      <c r="L191" s="40"/>
      <c r="M191" s="40"/>
      <c r="N191" s="40"/>
      <c r="O191" s="40"/>
      <c r="P191" s="40"/>
      <c r="Q191" s="40"/>
      <c r="R191" s="40"/>
      <c r="S191" s="40"/>
      <c r="T191" s="40"/>
      <c r="U191" s="40"/>
      <c r="V191" s="40"/>
      <c r="W191" s="40"/>
      <c r="X191" s="40"/>
      <c r="Y191" s="40"/>
      <c r="Z191" s="40"/>
      <c r="AA191" s="40"/>
      <c r="AB191" s="40"/>
      <c r="AC191" s="40"/>
      <c r="AD191" s="40"/>
      <c r="AE191" s="40"/>
      <c r="AF191" s="40"/>
      <c r="AG191" s="40"/>
      <c r="AH191" s="40"/>
      <c r="AI191" s="40"/>
      <c r="AJ191" s="40"/>
      <c r="AK191" s="40"/>
      <c r="AL191" s="40"/>
      <c r="AM191" s="40"/>
      <c r="AN191" s="40"/>
      <c r="AO191" s="40"/>
      <c r="AP191" s="40"/>
      <c r="AQ191" s="40"/>
      <c r="AR191" s="40"/>
      <c r="AS191" s="40"/>
      <c r="AT191" s="40"/>
      <c r="AU191" s="40"/>
      <c r="AV191" s="40"/>
      <c r="AW191" s="40"/>
      <c r="AX191" s="40"/>
      <c r="AY191" s="40"/>
      <c r="AZ191" s="40"/>
      <c r="BA191" s="40"/>
      <c r="BB191" s="40"/>
      <c r="BC191" s="40"/>
      <c r="BD191" s="40"/>
      <c r="BE191" s="40"/>
      <c r="BF191" s="40"/>
      <c r="BG191" s="40"/>
      <c r="BH191" s="40"/>
      <c r="BI191" s="40"/>
      <c r="BJ191" s="40"/>
      <c r="BK191" s="40"/>
      <c r="BL191" s="40"/>
      <c r="BM191" s="40"/>
      <c r="BN191" s="40"/>
      <c r="BO191" s="40"/>
      <c r="BP191" s="40"/>
      <c r="BQ191" s="40"/>
      <c r="BR191" s="40"/>
      <c r="BS191" s="40"/>
      <c r="BT191" s="40"/>
      <c r="BU191" s="40"/>
      <c r="BV191" s="40"/>
      <c r="BW191" s="40"/>
      <c r="BX191" s="40"/>
      <c r="BY191" s="40"/>
      <c r="BZ191" s="40"/>
      <c r="CA191" s="40"/>
      <c r="CB191" s="40"/>
      <c r="CC191" s="40"/>
      <c r="CD191" s="40"/>
      <c r="CE191" s="40"/>
      <c r="CF191" s="40"/>
      <c r="CG191" s="40"/>
      <c r="CH191" s="40"/>
      <c r="CI191" s="40"/>
      <c r="CJ191" s="40"/>
      <c r="CK191" s="40"/>
      <c r="CL191" s="40"/>
    </row>
    <row r="192" spans="1:90" x14ac:dyDescent="0.25">
      <c r="A192" s="40"/>
      <c r="B192" s="40"/>
      <c r="C192" s="40"/>
      <c r="D192" s="40"/>
      <c r="E192" s="40"/>
      <c r="F192" s="40"/>
      <c r="G192" s="40"/>
      <c r="H192" s="40"/>
      <c r="I192" s="40"/>
      <c r="J192" s="40"/>
      <c r="K192" s="40"/>
      <c r="L192" s="40"/>
      <c r="M192" s="40"/>
      <c r="N192" s="40"/>
      <c r="O192" s="40"/>
      <c r="P192" s="40"/>
      <c r="Q192" s="40"/>
      <c r="R192" s="40"/>
      <c r="S192" s="40"/>
      <c r="T192" s="40"/>
      <c r="U192" s="40"/>
      <c r="V192" s="40"/>
      <c r="W192" s="40"/>
      <c r="X192" s="40"/>
      <c r="Y192" s="40"/>
      <c r="Z192" s="40"/>
      <c r="AA192" s="40"/>
      <c r="AB192" s="40"/>
      <c r="AC192" s="40"/>
      <c r="AD192" s="40"/>
      <c r="AE192" s="40"/>
      <c r="AF192" s="40"/>
      <c r="AG192" s="40"/>
      <c r="AH192" s="40"/>
      <c r="AI192" s="40"/>
      <c r="AJ192" s="40"/>
      <c r="AK192" s="40"/>
      <c r="AL192" s="40"/>
      <c r="AM192" s="40"/>
      <c r="AN192" s="40"/>
      <c r="AO192" s="40"/>
      <c r="AP192" s="40"/>
      <c r="AQ192" s="40"/>
      <c r="AR192" s="40"/>
      <c r="AS192" s="40"/>
      <c r="AT192" s="40"/>
      <c r="AU192" s="40"/>
      <c r="AV192" s="40"/>
      <c r="AW192" s="40"/>
      <c r="AX192" s="40"/>
      <c r="AY192" s="40"/>
      <c r="AZ192" s="40"/>
      <c r="BA192" s="40"/>
      <c r="BB192" s="40"/>
      <c r="BC192" s="40"/>
      <c r="BD192" s="40"/>
      <c r="BE192" s="40"/>
      <c r="BF192" s="40"/>
      <c r="BG192" s="40"/>
      <c r="BH192" s="40"/>
      <c r="BI192" s="40"/>
      <c r="BJ192" s="40"/>
      <c r="BK192" s="40"/>
      <c r="BL192" s="40"/>
      <c r="BM192" s="40"/>
      <c r="BN192" s="40"/>
      <c r="BO192" s="40"/>
      <c r="BP192" s="40"/>
      <c r="BQ192" s="40"/>
      <c r="BR192" s="40"/>
      <c r="BS192" s="40"/>
      <c r="BT192" s="40"/>
      <c r="BU192" s="40"/>
      <c r="BV192" s="40"/>
      <c r="BW192" s="40"/>
      <c r="BX192" s="40"/>
      <c r="BY192" s="40"/>
      <c r="BZ192" s="40"/>
      <c r="CA192" s="40"/>
      <c r="CB192" s="40"/>
      <c r="CC192" s="40"/>
      <c r="CD192" s="40"/>
      <c r="CE192" s="40"/>
      <c r="CF192" s="40"/>
      <c r="CG192" s="40"/>
      <c r="CH192" s="40"/>
      <c r="CI192" s="40"/>
      <c r="CJ192" s="40"/>
      <c r="CK192" s="40"/>
      <c r="CL192" s="40"/>
    </row>
    <row r="193" spans="1:90" x14ac:dyDescent="0.25">
      <c r="A193" s="40"/>
      <c r="B193" s="40"/>
      <c r="C193" s="40"/>
      <c r="D193" s="40"/>
      <c r="E193" s="40"/>
      <c r="F193" s="40"/>
      <c r="G193" s="40"/>
      <c r="H193" s="40"/>
      <c r="I193" s="40"/>
      <c r="J193" s="40"/>
      <c r="K193" s="40"/>
      <c r="L193" s="40"/>
      <c r="M193" s="40"/>
      <c r="N193" s="40"/>
      <c r="O193" s="40"/>
      <c r="P193" s="40"/>
      <c r="Q193" s="40"/>
      <c r="R193" s="40"/>
      <c r="S193" s="40"/>
      <c r="T193" s="40"/>
      <c r="U193" s="40"/>
      <c r="V193" s="40"/>
      <c r="W193" s="40"/>
      <c r="X193" s="40"/>
      <c r="Y193" s="40"/>
      <c r="Z193" s="40"/>
      <c r="AA193" s="40"/>
      <c r="AB193" s="40"/>
      <c r="AC193" s="40"/>
      <c r="AD193" s="40"/>
      <c r="AE193" s="40"/>
      <c r="AF193" s="40"/>
      <c r="AG193" s="40"/>
      <c r="AH193" s="40"/>
      <c r="AI193" s="40"/>
      <c r="AJ193" s="40"/>
      <c r="AK193" s="40"/>
      <c r="AL193" s="40"/>
      <c r="AM193" s="40"/>
      <c r="AN193" s="40"/>
      <c r="AO193" s="40"/>
      <c r="AP193" s="40"/>
      <c r="AQ193" s="40"/>
      <c r="AR193" s="40"/>
      <c r="AS193" s="40"/>
      <c r="AT193" s="40"/>
      <c r="AU193" s="40"/>
      <c r="AV193" s="40"/>
      <c r="AW193" s="40"/>
      <c r="AX193" s="40"/>
      <c r="AY193" s="40"/>
      <c r="AZ193" s="40"/>
      <c r="BA193" s="40"/>
      <c r="BB193" s="40"/>
      <c r="BC193" s="40"/>
      <c r="BD193" s="40"/>
      <c r="BE193" s="40"/>
      <c r="BF193" s="40"/>
      <c r="BG193" s="40"/>
      <c r="BH193" s="40"/>
      <c r="BI193" s="40"/>
      <c r="BJ193" s="40"/>
      <c r="BK193" s="40"/>
      <c r="BL193" s="40"/>
      <c r="BM193" s="40"/>
      <c r="BN193" s="40"/>
      <c r="BO193" s="40"/>
      <c r="BP193" s="40"/>
      <c r="BQ193" s="40"/>
      <c r="BR193" s="40"/>
      <c r="BS193" s="40"/>
      <c r="BT193" s="40"/>
      <c r="BU193" s="40"/>
      <c r="BV193" s="40"/>
      <c r="BW193" s="40"/>
      <c r="BX193" s="40"/>
      <c r="BY193" s="40"/>
      <c r="BZ193" s="40"/>
      <c r="CA193" s="40"/>
      <c r="CB193" s="40"/>
      <c r="CC193" s="40"/>
      <c r="CD193" s="40"/>
      <c r="CE193" s="40"/>
      <c r="CF193" s="40"/>
      <c r="CG193" s="40"/>
      <c r="CH193" s="40"/>
      <c r="CI193" s="40"/>
      <c r="CJ193" s="40"/>
      <c r="CK193" s="40"/>
      <c r="CL193" s="40"/>
    </row>
    <row r="194" spans="1:90" x14ac:dyDescent="0.25">
      <c r="A194" s="40"/>
      <c r="B194" s="40"/>
      <c r="C194" s="40"/>
      <c r="D194" s="40"/>
      <c r="E194" s="40"/>
      <c r="F194" s="40"/>
      <c r="G194" s="40"/>
      <c r="H194" s="40"/>
      <c r="I194" s="40"/>
      <c r="J194" s="40"/>
      <c r="K194" s="40"/>
      <c r="L194" s="40"/>
      <c r="M194" s="40"/>
      <c r="N194" s="40"/>
      <c r="O194" s="40"/>
      <c r="P194" s="40"/>
      <c r="Q194" s="40"/>
      <c r="R194" s="40"/>
      <c r="S194" s="40"/>
      <c r="T194" s="40"/>
      <c r="U194" s="40"/>
      <c r="V194" s="40"/>
      <c r="W194" s="40"/>
      <c r="X194" s="40"/>
      <c r="Y194" s="40"/>
      <c r="Z194" s="40"/>
      <c r="AA194" s="40"/>
      <c r="AB194" s="40"/>
      <c r="AC194" s="40"/>
      <c r="AD194" s="40"/>
      <c r="AE194" s="40"/>
      <c r="AF194" s="40"/>
      <c r="AG194" s="40"/>
      <c r="AH194" s="40"/>
      <c r="AI194" s="40"/>
      <c r="AJ194" s="40"/>
      <c r="AK194" s="40"/>
      <c r="AL194" s="40"/>
      <c r="AM194" s="40"/>
      <c r="AN194" s="40"/>
      <c r="AO194" s="40"/>
      <c r="AP194" s="40"/>
      <c r="AQ194" s="40"/>
      <c r="AR194" s="40"/>
      <c r="AS194" s="40"/>
      <c r="AT194" s="40"/>
      <c r="AU194" s="40"/>
      <c r="AV194" s="40"/>
      <c r="AW194" s="40"/>
      <c r="AX194" s="40"/>
      <c r="AY194" s="40"/>
      <c r="AZ194" s="40"/>
      <c r="BA194" s="40"/>
      <c r="BB194" s="40"/>
      <c r="BC194" s="40"/>
      <c r="BD194" s="40"/>
      <c r="BE194" s="40"/>
      <c r="BF194" s="40"/>
      <c r="BG194" s="40"/>
      <c r="BH194" s="40"/>
      <c r="BI194" s="40"/>
      <c r="BJ194" s="40"/>
      <c r="BK194" s="40"/>
      <c r="BL194" s="40"/>
      <c r="BM194" s="40"/>
      <c r="BN194" s="40"/>
      <c r="BO194" s="40"/>
      <c r="BP194" s="40"/>
      <c r="BQ194" s="40"/>
      <c r="BR194" s="40"/>
      <c r="BS194" s="40"/>
      <c r="BT194" s="40"/>
      <c r="BU194" s="40"/>
      <c r="BV194" s="40"/>
      <c r="BW194" s="40"/>
      <c r="BX194" s="40"/>
      <c r="BY194" s="40"/>
      <c r="BZ194" s="40"/>
      <c r="CA194" s="40"/>
      <c r="CB194" s="40"/>
      <c r="CC194" s="40"/>
      <c r="CD194" s="40"/>
      <c r="CE194" s="40"/>
      <c r="CF194" s="40"/>
      <c r="CG194" s="40"/>
      <c r="CH194" s="40"/>
      <c r="CI194" s="40"/>
      <c r="CJ194" s="40"/>
      <c r="CK194" s="40"/>
      <c r="CL194" s="40"/>
    </row>
    <row r="195" spans="1:90" x14ac:dyDescent="0.25">
      <c r="A195" s="40"/>
      <c r="B195" s="40"/>
      <c r="C195" s="40"/>
      <c r="D195" s="40"/>
      <c r="E195" s="40"/>
      <c r="F195" s="40"/>
      <c r="G195" s="40"/>
      <c r="H195" s="40"/>
      <c r="I195" s="40"/>
      <c r="J195" s="40"/>
      <c r="K195" s="40"/>
      <c r="L195" s="40"/>
      <c r="M195" s="40"/>
      <c r="N195" s="40"/>
      <c r="O195" s="40"/>
      <c r="P195" s="40"/>
      <c r="Q195" s="40"/>
      <c r="R195" s="40"/>
      <c r="S195" s="40"/>
      <c r="T195" s="40"/>
      <c r="U195" s="40"/>
      <c r="V195" s="40"/>
      <c r="W195" s="40"/>
      <c r="X195" s="40"/>
      <c r="Y195" s="40"/>
      <c r="Z195" s="40"/>
      <c r="AA195" s="40"/>
      <c r="AB195" s="40"/>
      <c r="AC195" s="40"/>
      <c r="AD195" s="40"/>
      <c r="AE195" s="40"/>
      <c r="AF195" s="40"/>
      <c r="AG195" s="40"/>
      <c r="AH195" s="40"/>
      <c r="AI195" s="40"/>
      <c r="AJ195" s="40"/>
      <c r="AK195" s="40"/>
      <c r="AL195" s="40"/>
      <c r="AM195" s="40"/>
      <c r="AN195" s="40"/>
      <c r="AO195" s="40"/>
      <c r="AP195" s="40"/>
      <c r="AQ195" s="40"/>
      <c r="AR195" s="40"/>
      <c r="AS195" s="40"/>
      <c r="AT195" s="40"/>
      <c r="AU195" s="40"/>
      <c r="AV195" s="40"/>
      <c r="AW195" s="40"/>
      <c r="AX195" s="40"/>
      <c r="AY195" s="40"/>
      <c r="AZ195" s="40"/>
      <c r="BA195" s="40"/>
      <c r="BB195" s="40"/>
      <c r="BC195" s="40"/>
      <c r="BD195" s="40"/>
      <c r="BE195" s="40"/>
      <c r="BF195" s="40"/>
      <c r="BG195" s="40"/>
      <c r="BH195" s="40"/>
      <c r="BI195" s="40"/>
      <c r="BJ195" s="40"/>
      <c r="BK195" s="40"/>
      <c r="BL195" s="40"/>
      <c r="BM195" s="40"/>
      <c r="BN195" s="40"/>
      <c r="BO195" s="40"/>
      <c r="BP195" s="40"/>
      <c r="BQ195" s="40"/>
      <c r="BR195" s="40"/>
      <c r="BS195" s="40"/>
      <c r="BT195" s="40"/>
      <c r="BU195" s="40"/>
      <c r="BV195" s="40"/>
      <c r="BW195" s="40"/>
      <c r="BX195" s="40"/>
      <c r="BY195" s="40"/>
      <c r="BZ195" s="40"/>
      <c r="CA195" s="40"/>
      <c r="CB195" s="40"/>
      <c r="CC195" s="40"/>
      <c r="CD195" s="40"/>
      <c r="CE195" s="40"/>
      <c r="CF195" s="40"/>
      <c r="CG195" s="40"/>
      <c r="CH195" s="40"/>
      <c r="CI195" s="40"/>
      <c r="CJ195" s="40"/>
      <c r="CK195" s="40"/>
      <c r="CL195" s="40"/>
    </row>
    <row r="196" spans="1:90" x14ac:dyDescent="0.25">
      <c r="A196" s="40"/>
      <c r="B196" s="40"/>
      <c r="C196" s="40"/>
      <c r="D196" s="40"/>
      <c r="E196" s="40"/>
      <c r="F196" s="40"/>
      <c r="G196" s="40"/>
      <c r="H196" s="40"/>
      <c r="I196" s="40"/>
      <c r="J196" s="40"/>
      <c r="K196" s="40"/>
      <c r="L196" s="40"/>
      <c r="M196" s="40"/>
      <c r="N196" s="40"/>
      <c r="O196" s="40"/>
      <c r="P196" s="40"/>
      <c r="Q196" s="40"/>
      <c r="R196" s="40"/>
      <c r="S196" s="40"/>
      <c r="T196" s="40"/>
      <c r="U196" s="40"/>
      <c r="V196" s="40"/>
      <c r="W196" s="40"/>
      <c r="X196" s="40"/>
      <c r="Y196" s="40"/>
      <c r="Z196" s="40"/>
      <c r="AA196" s="40"/>
      <c r="AB196" s="40"/>
      <c r="AC196" s="40"/>
      <c r="AD196" s="40"/>
      <c r="AE196" s="40"/>
      <c r="AF196" s="40"/>
      <c r="AG196" s="40"/>
      <c r="AH196" s="40"/>
      <c r="AI196" s="40"/>
      <c r="AJ196" s="40"/>
      <c r="AK196" s="40"/>
      <c r="AL196" s="40"/>
      <c r="AM196" s="40"/>
      <c r="AN196" s="40"/>
      <c r="AO196" s="40"/>
      <c r="AP196" s="40"/>
      <c r="AQ196" s="40"/>
      <c r="AR196" s="40"/>
      <c r="AS196" s="40"/>
      <c r="AT196" s="40"/>
      <c r="AU196" s="40"/>
      <c r="AV196" s="40"/>
      <c r="AW196" s="40"/>
      <c r="AX196" s="40"/>
      <c r="AY196" s="40"/>
      <c r="AZ196" s="40"/>
      <c r="BA196" s="40"/>
      <c r="BB196" s="40"/>
      <c r="BC196" s="40"/>
      <c r="BD196" s="40"/>
      <c r="BE196" s="40"/>
      <c r="BF196" s="40"/>
      <c r="BG196" s="40"/>
      <c r="BH196" s="40"/>
      <c r="BI196" s="40"/>
      <c r="BJ196" s="40"/>
      <c r="BK196" s="40"/>
      <c r="BL196" s="40"/>
      <c r="BM196" s="40"/>
      <c r="BN196" s="40"/>
      <c r="BO196" s="40"/>
      <c r="BP196" s="40"/>
      <c r="BQ196" s="40"/>
      <c r="BR196" s="40"/>
      <c r="BS196" s="40"/>
      <c r="BT196" s="40"/>
      <c r="BU196" s="40"/>
      <c r="BV196" s="40"/>
      <c r="BW196" s="40"/>
      <c r="BX196" s="40"/>
      <c r="BY196" s="40"/>
      <c r="BZ196" s="40"/>
      <c r="CA196" s="40"/>
      <c r="CB196" s="40"/>
      <c r="CC196" s="40"/>
      <c r="CD196" s="40"/>
      <c r="CE196" s="40"/>
      <c r="CF196" s="40"/>
      <c r="CG196" s="40"/>
      <c r="CH196" s="40"/>
      <c r="CI196" s="40"/>
      <c r="CJ196" s="40"/>
      <c r="CK196" s="40"/>
      <c r="CL196" s="40"/>
    </row>
    <row r="197" spans="1:90" x14ac:dyDescent="0.25">
      <c r="A197" s="40"/>
      <c r="B197" s="40"/>
      <c r="C197" s="40"/>
      <c r="D197" s="40"/>
      <c r="E197" s="40"/>
      <c r="F197" s="40"/>
      <c r="G197" s="40"/>
      <c r="H197" s="40"/>
      <c r="I197" s="40"/>
      <c r="J197" s="40"/>
      <c r="K197" s="40"/>
      <c r="L197" s="40"/>
      <c r="M197" s="40"/>
      <c r="N197" s="40"/>
      <c r="O197" s="40"/>
      <c r="P197" s="40"/>
      <c r="Q197" s="40"/>
      <c r="R197" s="40"/>
      <c r="S197" s="40"/>
      <c r="T197" s="40"/>
      <c r="U197" s="40"/>
      <c r="V197" s="40"/>
      <c r="W197" s="40"/>
      <c r="X197" s="40"/>
      <c r="Y197" s="40"/>
      <c r="Z197" s="40"/>
      <c r="AA197" s="40"/>
      <c r="AB197" s="40"/>
      <c r="AC197" s="40"/>
      <c r="AD197" s="40"/>
      <c r="AE197" s="40"/>
      <c r="AF197" s="40"/>
      <c r="AG197" s="40"/>
      <c r="AH197" s="40"/>
      <c r="AI197" s="40"/>
      <c r="AJ197" s="40"/>
      <c r="AK197" s="40"/>
      <c r="AL197" s="40"/>
      <c r="AM197" s="40"/>
      <c r="AN197" s="40"/>
      <c r="AO197" s="40"/>
      <c r="AP197" s="40"/>
      <c r="AQ197" s="40"/>
      <c r="AR197" s="40"/>
      <c r="AS197" s="40"/>
      <c r="AT197" s="40"/>
      <c r="AU197" s="40"/>
      <c r="AV197" s="40"/>
      <c r="AW197" s="40"/>
      <c r="AX197" s="40"/>
      <c r="AY197" s="40"/>
      <c r="AZ197" s="40"/>
      <c r="BA197" s="40"/>
      <c r="BB197" s="40"/>
      <c r="BC197" s="40"/>
      <c r="BD197" s="40"/>
      <c r="BE197" s="40"/>
      <c r="BF197" s="40"/>
      <c r="BG197" s="40"/>
      <c r="BH197" s="40"/>
      <c r="BI197" s="40"/>
      <c r="BJ197" s="40"/>
      <c r="BK197" s="40"/>
      <c r="BL197" s="40"/>
      <c r="BM197" s="40"/>
      <c r="BN197" s="40"/>
      <c r="BO197" s="40"/>
      <c r="BP197" s="40"/>
      <c r="BQ197" s="40"/>
      <c r="BR197" s="40"/>
      <c r="BS197" s="40"/>
      <c r="BT197" s="40"/>
      <c r="BU197" s="40"/>
      <c r="BV197" s="40"/>
      <c r="BW197" s="40"/>
      <c r="BX197" s="40"/>
      <c r="BY197" s="40"/>
      <c r="BZ197" s="40"/>
      <c r="CA197" s="40"/>
      <c r="CB197" s="40"/>
      <c r="CC197" s="40"/>
      <c r="CD197" s="40"/>
      <c r="CE197" s="40"/>
      <c r="CF197" s="40"/>
      <c r="CG197" s="40"/>
      <c r="CH197" s="40"/>
      <c r="CI197" s="40"/>
      <c r="CJ197" s="40"/>
      <c r="CK197" s="40"/>
      <c r="CL197" s="40"/>
    </row>
    <row r="198" spans="1:90" x14ac:dyDescent="0.25">
      <c r="A198" s="40"/>
      <c r="B198" s="40"/>
      <c r="C198" s="40"/>
      <c r="D198" s="40"/>
      <c r="E198" s="40"/>
      <c r="F198" s="40"/>
      <c r="G198" s="40"/>
      <c r="H198" s="40"/>
      <c r="I198" s="40"/>
      <c r="J198" s="40"/>
      <c r="K198" s="40"/>
      <c r="L198" s="40"/>
      <c r="M198" s="40"/>
      <c r="N198" s="40"/>
      <c r="O198" s="40"/>
      <c r="P198" s="40"/>
      <c r="Q198" s="40"/>
      <c r="R198" s="40"/>
      <c r="S198" s="40"/>
      <c r="T198" s="40"/>
      <c r="U198" s="40"/>
      <c r="V198" s="40"/>
      <c r="W198" s="40"/>
      <c r="X198" s="40"/>
      <c r="Y198" s="40"/>
      <c r="Z198" s="40"/>
      <c r="AA198" s="40"/>
      <c r="AB198" s="40"/>
      <c r="AC198" s="40"/>
      <c r="AD198" s="40"/>
      <c r="AE198" s="40"/>
      <c r="AF198" s="40"/>
      <c r="AG198" s="40"/>
      <c r="AH198" s="40"/>
      <c r="AI198" s="40"/>
      <c r="AJ198" s="40"/>
      <c r="AK198" s="40"/>
      <c r="AL198" s="40"/>
      <c r="AM198" s="40"/>
      <c r="AN198" s="40"/>
      <c r="AO198" s="40"/>
      <c r="AP198" s="40"/>
      <c r="AQ198" s="40"/>
      <c r="AR198" s="40"/>
      <c r="AS198" s="40"/>
      <c r="AT198" s="40"/>
      <c r="AU198" s="40"/>
      <c r="AV198" s="40"/>
      <c r="AW198" s="40"/>
      <c r="AX198" s="40"/>
      <c r="AY198" s="40"/>
      <c r="AZ198" s="40"/>
      <c r="BA198" s="40"/>
      <c r="BB198" s="40"/>
      <c r="BC198" s="40"/>
      <c r="BD198" s="40"/>
      <c r="BE198" s="40"/>
      <c r="BF198" s="40"/>
      <c r="BG198" s="40"/>
      <c r="BH198" s="40"/>
      <c r="BI198" s="40"/>
      <c r="BJ198" s="40"/>
      <c r="BK198" s="40"/>
      <c r="BL198" s="40"/>
      <c r="BM198" s="40"/>
      <c r="BN198" s="40"/>
      <c r="BO198" s="40"/>
      <c r="BP198" s="40"/>
      <c r="BQ198" s="40"/>
      <c r="BR198" s="40"/>
      <c r="BS198" s="40"/>
      <c r="BT198" s="40"/>
      <c r="BU198" s="40"/>
      <c r="BV198" s="40"/>
      <c r="BW198" s="40"/>
      <c r="BX198" s="40"/>
      <c r="BY198" s="40"/>
      <c r="BZ198" s="40"/>
      <c r="CA198" s="40"/>
      <c r="CB198" s="40"/>
      <c r="CC198" s="40"/>
      <c r="CD198" s="40"/>
      <c r="CE198" s="40"/>
      <c r="CF198" s="40"/>
      <c r="CG198" s="40"/>
      <c r="CH198" s="40"/>
      <c r="CI198" s="40"/>
      <c r="CJ198" s="40"/>
      <c r="CK198" s="40"/>
      <c r="CL198" s="40"/>
    </row>
    <row r="199" spans="1:90" x14ac:dyDescent="0.25">
      <c r="A199" s="40"/>
      <c r="B199" s="40"/>
      <c r="C199" s="40"/>
      <c r="D199" s="40"/>
      <c r="E199" s="40"/>
      <c r="F199" s="40"/>
      <c r="G199" s="40"/>
      <c r="H199" s="40"/>
      <c r="I199" s="40"/>
      <c r="J199" s="40"/>
      <c r="K199" s="40"/>
      <c r="L199" s="40"/>
      <c r="M199" s="40"/>
      <c r="N199" s="40"/>
      <c r="O199" s="40"/>
      <c r="P199" s="40"/>
      <c r="Q199" s="40"/>
      <c r="R199" s="40"/>
      <c r="S199" s="40"/>
      <c r="T199" s="40"/>
      <c r="U199" s="40"/>
      <c r="V199" s="40"/>
      <c r="W199" s="40"/>
      <c r="X199" s="40"/>
      <c r="Y199" s="40"/>
      <c r="Z199" s="40"/>
      <c r="AA199" s="40"/>
      <c r="AB199" s="40"/>
      <c r="AC199" s="40"/>
      <c r="AD199" s="40"/>
      <c r="AE199" s="40"/>
      <c r="AF199" s="40"/>
      <c r="AG199" s="40"/>
      <c r="AH199" s="40"/>
      <c r="AI199" s="40"/>
      <c r="AJ199" s="40"/>
      <c r="AK199" s="40"/>
      <c r="AL199" s="40"/>
      <c r="AM199" s="40"/>
      <c r="AN199" s="40"/>
      <c r="AO199" s="40"/>
      <c r="AP199" s="40"/>
      <c r="AQ199" s="40"/>
      <c r="AR199" s="40"/>
      <c r="AS199" s="40"/>
      <c r="AT199" s="40"/>
      <c r="AU199" s="40"/>
      <c r="AV199" s="40"/>
      <c r="AW199" s="40"/>
      <c r="AX199" s="40"/>
      <c r="AY199" s="40"/>
      <c r="AZ199" s="40"/>
      <c r="BA199" s="40"/>
      <c r="BB199" s="40"/>
      <c r="BC199" s="40"/>
      <c r="BD199" s="40"/>
      <c r="BE199" s="40"/>
      <c r="BF199" s="40"/>
      <c r="BG199" s="40"/>
      <c r="BH199" s="40"/>
      <c r="BI199" s="40"/>
      <c r="BJ199" s="40"/>
      <c r="BK199" s="40"/>
      <c r="BL199" s="40"/>
      <c r="BM199" s="40"/>
      <c r="BN199" s="40"/>
      <c r="BO199" s="40"/>
      <c r="BP199" s="40"/>
      <c r="BQ199" s="40"/>
      <c r="BR199" s="40"/>
      <c r="BS199" s="40"/>
      <c r="BT199" s="40"/>
      <c r="BU199" s="40"/>
      <c r="BV199" s="40"/>
      <c r="BW199" s="40"/>
      <c r="BX199" s="40"/>
      <c r="BY199" s="40"/>
      <c r="BZ199" s="40"/>
      <c r="CA199" s="40"/>
      <c r="CB199" s="40"/>
      <c r="CC199" s="40"/>
      <c r="CD199" s="40"/>
      <c r="CE199" s="40"/>
      <c r="CF199" s="40"/>
      <c r="CG199" s="40"/>
      <c r="CH199" s="40"/>
      <c r="CI199" s="40"/>
      <c r="CJ199" s="40"/>
      <c r="CK199" s="40"/>
      <c r="CL199" s="40"/>
    </row>
    <row r="200" spans="1:90" x14ac:dyDescent="0.25">
      <c r="A200" s="40"/>
      <c r="B200" s="40"/>
      <c r="C200" s="40"/>
      <c r="D200" s="40"/>
      <c r="E200" s="40"/>
      <c r="F200" s="40"/>
      <c r="G200" s="40"/>
      <c r="H200" s="40"/>
      <c r="I200" s="40"/>
      <c r="J200" s="40"/>
      <c r="K200" s="40"/>
      <c r="L200" s="40"/>
      <c r="M200" s="40"/>
      <c r="N200" s="40"/>
      <c r="O200" s="40"/>
      <c r="P200" s="40"/>
      <c r="Q200" s="40"/>
      <c r="R200" s="40"/>
      <c r="S200" s="40"/>
      <c r="T200" s="40"/>
      <c r="U200" s="40"/>
      <c r="V200" s="40"/>
      <c r="W200" s="40"/>
      <c r="X200" s="40"/>
      <c r="Y200" s="40"/>
      <c r="Z200" s="40"/>
      <c r="AA200" s="40"/>
      <c r="AB200" s="40"/>
      <c r="AC200" s="40"/>
      <c r="AD200" s="40"/>
      <c r="AE200" s="40"/>
      <c r="AF200" s="40"/>
      <c r="AG200" s="40"/>
      <c r="AH200" s="40"/>
      <c r="AI200" s="40"/>
      <c r="AJ200" s="40"/>
      <c r="AK200" s="40"/>
      <c r="AL200" s="40"/>
      <c r="AM200" s="40"/>
      <c r="AN200" s="40"/>
      <c r="AO200" s="40"/>
      <c r="AP200" s="40"/>
      <c r="AQ200" s="40"/>
      <c r="AR200" s="40"/>
      <c r="AS200" s="40"/>
      <c r="AT200" s="40"/>
      <c r="AU200" s="40"/>
      <c r="AV200" s="40"/>
      <c r="AW200" s="40"/>
      <c r="AX200" s="40"/>
      <c r="AY200" s="40"/>
      <c r="AZ200" s="40"/>
      <c r="BA200" s="40"/>
      <c r="BB200" s="40"/>
      <c r="BC200" s="40"/>
      <c r="BD200" s="40"/>
      <c r="BE200" s="40"/>
      <c r="BF200" s="40"/>
      <c r="BG200" s="40"/>
      <c r="BH200" s="40"/>
      <c r="BI200" s="40"/>
      <c r="BJ200" s="40"/>
      <c r="BK200" s="40"/>
      <c r="BL200" s="40"/>
      <c r="BM200" s="40"/>
      <c r="BN200" s="40"/>
      <c r="BO200" s="40"/>
      <c r="BP200" s="40"/>
      <c r="BQ200" s="40"/>
      <c r="BR200" s="40"/>
      <c r="BS200" s="40"/>
      <c r="BT200" s="40"/>
      <c r="BU200" s="40"/>
      <c r="BV200" s="40"/>
      <c r="BW200" s="40"/>
      <c r="BX200" s="40"/>
      <c r="BY200" s="40"/>
      <c r="BZ200" s="40"/>
      <c r="CA200" s="40"/>
      <c r="CB200" s="40"/>
      <c r="CC200" s="40"/>
      <c r="CD200" s="40"/>
      <c r="CE200" s="40"/>
      <c r="CF200" s="40"/>
      <c r="CG200" s="40"/>
      <c r="CH200" s="40"/>
      <c r="CI200" s="40"/>
      <c r="CJ200" s="40"/>
      <c r="CK200" s="40"/>
      <c r="CL200" s="40"/>
    </row>
    <row r="201" spans="1:90" x14ac:dyDescent="0.25">
      <c r="A201" s="40"/>
      <c r="B201" s="40"/>
      <c r="C201" s="40"/>
      <c r="D201" s="40"/>
      <c r="E201" s="40"/>
      <c r="F201" s="40"/>
      <c r="G201" s="40"/>
      <c r="H201" s="40"/>
      <c r="I201" s="40"/>
      <c r="J201" s="40"/>
      <c r="K201" s="40"/>
      <c r="L201" s="40"/>
      <c r="M201" s="40"/>
      <c r="N201" s="40"/>
      <c r="O201" s="40"/>
      <c r="P201" s="40"/>
      <c r="Q201" s="40"/>
      <c r="R201" s="40"/>
      <c r="S201" s="40"/>
      <c r="T201" s="40"/>
      <c r="U201" s="40"/>
      <c r="V201" s="40"/>
      <c r="W201" s="40"/>
      <c r="X201" s="40"/>
      <c r="Y201" s="40"/>
      <c r="Z201" s="40"/>
      <c r="AA201" s="40"/>
      <c r="AB201" s="40"/>
      <c r="AC201" s="40"/>
      <c r="AD201" s="40"/>
      <c r="AE201" s="40"/>
      <c r="AF201" s="40"/>
      <c r="AG201" s="40"/>
      <c r="AH201" s="40"/>
      <c r="AI201" s="40"/>
      <c r="AJ201" s="40"/>
      <c r="AK201" s="40"/>
      <c r="AL201" s="40"/>
      <c r="AM201" s="40"/>
      <c r="AN201" s="40"/>
      <c r="AO201" s="40"/>
      <c r="AP201" s="40"/>
      <c r="AQ201" s="40"/>
      <c r="AR201" s="40"/>
      <c r="AS201" s="40"/>
      <c r="AT201" s="40"/>
      <c r="AU201" s="40"/>
      <c r="AV201" s="40"/>
      <c r="AW201" s="40"/>
      <c r="AX201" s="40"/>
      <c r="AY201" s="40"/>
      <c r="AZ201" s="40"/>
      <c r="BA201" s="40"/>
      <c r="BB201" s="40"/>
      <c r="BC201" s="40"/>
      <c r="BD201" s="40"/>
      <c r="BE201" s="40"/>
      <c r="BF201" s="40"/>
      <c r="BG201" s="40"/>
      <c r="BH201" s="40"/>
      <c r="BI201" s="40"/>
      <c r="BJ201" s="40"/>
      <c r="BK201" s="40"/>
      <c r="BL201" s="40"/>
      <c r="BM201" s="40"/>
      <c r="BN201" s="40"/>
      <c r="BO201" s="40"/>
      <c r="BP201" s="40"/>
      <c r="BQ201" s="40"/>
      <c r="BR201" s="40"/>
      <c r="BS201" s="40"/>
      <c r="BT201" s="40"/>
      <c r="BU201" s="40"/>
      <c r="BV201" s="40"/>
      <c r="BW201" s="40"/>
      <c r="BX201" s="40"/>
      <c r="BY201" s="40"/>
      <c r="BZ201" s="40"/>
      <c r="CA201" s="40"/>
      <c r="CB201" s="40"/>
      <c r="CC201" s="40"/>
      <c r="CD201" s="40"/>
      <c r="CE201" s="40"/>
      <c r="CF201" s="40"/>
      <c r="CG201" s="40"/>
      <c r="CH201" s="40"/>
      <c r="CI201" s="40"/>
      <c r="CJ201" s="40"/>
      <c r="CK201" s="40"/>
      <c r="CL201" s="40"/>
    </row>
    <row r="202" spans="1:90" x14ac:dyDescent="0.25">
      <c r="A202" s="40"/>
      <c r="B202" s="40"/>
      <c r="C202" s="40"/>
      <c r="D202" s="40"/>
      <c r="E202" s="40"/>
      <c r="F202" s="40"/>
      <c r="G202" s="40"/>
      <c r="H202" s="40"/>
      <c r="I202" s="40"/>
      <c r="J202" s="40"/>
      <c r="K202" s="40"/>
      <c r="L202" s="40"/>
      <c r="M202" s="40"/>
      <c r="N202" s="40"/>
      <c r="O202" s="40"/>
      <c r="P202" s="40"/>
      <c r="Q202" s="40"/>
      <c r="R202" s="40"/>
      <c r="S202" s="40"/>
      <c r="T202" s="40"/>
      <c r="U202" s="40"/>
      <c r="V202" s="40"/>
      <c r="W202" s="40"/>
      <c r="X202" s="40"/>
      <c r="Y202" s="40"/>
      <c r="Z202" s="40"/>
      <c r="AA202" s="40"/>
      <c r="AB202" s="40"/>
      <c r="AC202" s="40"/>
      <c r="AD202" s="40"/>
      <c r="AE202" s="40"/>
      <c r="AF202" s="40"/>
      <c r="AG202" s="40"/>
      <c r="AH202" s="40"/>
      <c r="AI202" s="40"/>
      <c r="AJ202" s="40"/>
      <c r="AK202" s="40"/>
      <c r="AL202" s="40"/>
      <c r="AM202" s="40"/>
      <c r="AN202" s="40"/>
      <c r="AO202" s="40"/>
      <c r="AP202" s="40"/>
      <c r="AQ202" s="40"/>
      <c r="AR202" s="40"/>
      <c r="AS202" s="40"/>
      <c r="AT202" s="40"/>
      <c r="AU202" s="40"/>
      <c r="AV202" s="40"/>
      <c r="AW202" s="40"/>
      <c r="AX202" s="40"/>
      <c r="AY202" s="40"/>
      <c r="AZ202" s="40"/>
      <c r="BA202" s="40"/>
      <c r="BB202" s="40"/>
      <c r="BC202" s="40"/>
      <c r="BD202" s="40"/>
      <c r="BE202" s="40"/>
      <c r="BF202" s="40"/>
      <c r="BG202" s="40"/>
      <c r="BH202" s="40"/>
      <c r="BI202" s="40"/>
      <c r="BJ202" s="40"/>
      <c r="BK202" s="40"/>
      <c r="BL202" s="40"/>
      <c r="BM202" s="40"/>
      <c r="BN202" s="40"/>
      <c r="BO202" s="40"/>
      <c r="BP202" s="40"/>
      <c r="BQ202" s="40"/>
      <c r="BR202" s="40"/>
      <c r="BS202" s="40"/>
      <c r="BT202" s="40"/>
      <c r="BU202" s="40"/>
      <c r="BV202" s="40"/>
      <c r="BW202" s="40"/>
      <c r="BX202" s="40"/>
      <c r="BY202" s="40"/>
      <c r="BZ202" s="40"/>
      <c r="CA202" s="40"/>
      <c r="CB202" s="40"/>
      <c r="CC202" s="40"/>
      <c r="CD202" s="40"/>
      <c r="CE202" s="40"/>
      <c r="CF202" s="40"/>
      <c r="CG202" s="40"/>
      <c r="CH202" s="40"/>
      <c r="CI202" s="40"/>
      <c r="CJ202" s="40"/>
      <c r="CK202" s="40"/>
      <c r="CL202" s="40"/>
    </row>
    <row r="203" spans="1:90" x14ac:dyDescent="0.25">
      <c r="A203" s="40"/>
      <c r="B203" s="40"/>
      <c r="C203" s="40"/>
      <c r="D203" s="40"/>
      <c r="E203" s="40"/>
      <c r="F203" s="40"/>
      <c r="G203" s="40"/>
      <c r="H203" s="40"/>
      <c r="I203" s="40"/>
      <c r="J203" s="40"/>
      <c r="K203" s="40"/>
      <c r="L203" s="40"/>
      <c r="M203" s="40"/>
      <c r="N203" s="40"/>
      <c r="O203" s="40"/>
      <c r="P203" s="40"/>
      <c r="Q203" s="40"/>
      <c r="R203" s="40"/>
      <c r="S203" s="40"/>
      <c r="T203" s="40"/>
      <c r="U203" s="40"/>
      <c r="V203" s="40"/>
      <c r="W203" s="40"/>
      <c r="X203" s="40"/>
      <c r="Y203" s="40"/>
      <c r="Z203" s="40"/>
      <c r="AA203" s="40"/>
      <c r="AB203" s="40"/>
      <c r="AC203" s="40"/>
      <c r="AD203" s="40"/>
      <c r="AE203" s="40"/>
      <c r="AF203" s="40"/>
      <c r="AG203" s="40"/>
      <c r="AH203" s="40"/>
      <c r="AI203" s="40"/>
      <c r="AJ203" s="40"/>
      <c r="AK203" s="40"/>
      <c r="AL203" s="40"/>
      <c r="AM203" s="40"/>
      <c r="AN203" s="40"/>
      <c r="AO203" s="40"/>
      <c r="AP203" s="40"/>
      <c r="AQ203" s="40"/>
      <c r="AR203" s="40"/>
      <c r="AS203" s="40"/>
      <c r="AT203" s="40"/>
      <c r="AU203" s="40"/>
      <c r="AV203" s="40"/>
      <c r="AW203" s="40"/>
      <c r="AX203" s="40"/>
      <c r="AY203" s="40"/>
      <c r="AZ203" s="40"/>
      <c r="BA203" s="40"/>
      <c r="BB203" s="40"/>
      <c r="BC203" s="40"/>
      <c r="BD203" s="40"/>
      <c r="BE203" s="40"/>
      <c r="BF203" s="40"/>
      <c r="BG203" s="40"/>
      <c r="BH203" s="40"/>
      <c r="BI203" s="40"/>
      <c r="BJ203" s="40"/>
      <c r="BK203" s="40"/>
      <c r="BL203" s="40"/>
      <c r="BM203" s="40"/>
      <c r="BN203" s="40"/>
      <c r="BO203" s="40"/>
      <c r="BP203" s="40"/>
      <c r="BQ203" s="40"/>
      <c r="BR203" s="40"/>
      <c r="BS203" s="40"/>
      <c r="BT203" s="40"/>
      <c r="BU203" s="40"/>
      <c r="BV203" s="40"/>
      <c r="BW203" s="40"/>
      <c r="BX203" s="40"/>
      <c r="BY203" s="40"/>
      <c r="BZ203" s="40"/>
      <c r="CA203" s="40"/>
      <c r="CB203" s="40"/>
      <c r="CC203" s="40"/>
      <c r="CD203" s="40"/>
      <c r="CE203" s="40"/>
      <c r="CF203" s="40"/>
      <c r="CG203" s="40"/>
      <c r="CH203" s="40"/>
      <c r="CI203" s="40"/>
      <c r="CJ203" s="40"/>
      <c r="CK203" s="40"/>
      <c r="CL203" s="40"/>
    </row>
    <row r="204" spans="1:90" x14ac:dyDescent="0.25">
      <c r="A204" s="40"/>
      <c r="B204" s="40"/>
      <c r="C204" s="40"/>
      <c r="D204" s="40"/>
      <c r="E204" s="40"/>
      <c r="F204" s="40"/>
      <c r="G204" s="40"/>
      <c r="H204" s="40"/>
      <c r="I204" s="40"/>
      <c r="J204" s="40"/>
      <c r="K204" s="40"/>
      <c r="L204" s="40"/>
      <c r="M204" s="40"/>
      <c r="N204" s="40"/>
      <c r="O204" s="40"/>
      <c r="P204" s="40"/>
      <c r="Q204" s="40"/>
      <c r="R204" s="40"/>
      <c r="S204" s="40"/>
      <c r="T204" s="40"/>
      <c r="U204" s="40"/>
      <c r="V204" s="40"/>
      <c r="W204" s="40"/>
      <c r="X204" s="40"/>
      <c r="Y204" s="40"/>
      <c r="Z204" s="40"/>
      <c r="AA204" s="40"/>
      <c r="AB204" s="40"/>
      <c r="AC204" s="40"/>
      <c r="AD204" s="40"/>
      <c r="AE204" s="40"/>
      <c r="AF204" s="40"/>
      <c r="AG204" s="40"/>
      <c r="AH204" s="40"/>
      <c r="AI204" s="40"/>
      <c r="AJ204" s="40"/>
      <c r="AK204" s="40"/>
      <c r="AL204" s="40"/>
      <c r="AM204" s="40"/>
      <c r="AN204" s="40"/>
      <c r="AO204" s="40"/>
      <c r="AP204" s="40"/>
      <c r="AQ204" s="40"/>
      <c r="AR204" s="40"/>
      <c r="AS204" s="40"/>
      <c r="AT204" s="40"/>
      <c r="AU204" s="40"/>
      <c r="AV204" s="40"/>
      <c r="AW204" s="40"/>
      <c r="AX204" s="40"/>
      <c r="AY204" s="40"/>
      <c r="AZ204" s="40"/>
      <c r="BA204" s="40"/>
      <c r="BB204" s="40"/>
      <c r="BC204" s="40"/>
      <c r="BD204" s="40"/>
      <c r="BE204" s="40"/>
      <c r="BF204" s="40"/>
      <c r="BG204" s="40"/>
      <c r="BH204" s="40"/>
      <c r="BI204" s="40"/>
      <c r="BJ204" s="40"/>
      <c r="BK204" s="40"/>
      <c r="BL204" s="40"/>
      <c r="BM204" s="40"/>
      <c r="BN204" s="40"/>
      <c r="BO204" s="40"/>
      <c r="BP204" s="40"/>
      <c r="BQ204" s="40"/>
      <c r="BR204" s="40"/>
      <c r="BS204" s="40"/>
      <c r="BT204" s="40"/>
      <c r="BU204" s="40"/>
      <c r="BV204" s="40"/>
      <c r="BW204" s="40"/>
      <c r="BX204" s="40"/>
      <c r="BY204" s="40"/>
      <c r="BZ204" s="40"/>
      <c r="CA204" s="40"/>
      <c r="CB204" s="40"/>
      <c r="CC204" s="40"/>
      <c r="CD204" s="40"/>
      <c r="CE204" s="40"/>
      <c r="CF204" s="40"/>
      <c r="CG204" s="40"/>
      <c r="CH204" s="40"/>
      <c r="CI204" s="40"/>
      <c r="CJ204" s="40"/>
      <c r="CK204" s="40"/>
      <c r="CL204" s="40"/>
    </row>
    <row r="205" spans="1:90" x14ac:dyDescent="0.25">
      <c r="A205" s="40"/>
      <c r="B205" s="40"/>
      <c r="C205" s="40"/>
      <c r="D205" s="40"/>
      <c r="E205" s="40"/>
      <c r="F205" s="40"/>
      <c r="G205" s="40"/>
      <c r="H205" s="40"/>
      <c r="I205" s="40"/>
      <c r="J205" s="40"/>
      <c r="K205" s="40"/>
      <c r="L205" s="40"/>
      <c r="M205" s="40"/>
      <c r="N205" s="40"/>
      <c r="O205" s="40"/>
      <c r="P205" s="40"/>
      <c r="Q205" s="40"/>
      <c r="R205" s="40"/>
      <c r="S205" s="40"/>
      <c r="T205" s="40"/>
      <c r="U205" s="40"/>
      <c r="V205" s="40"/>
      <c r="W205" s="40"/>
      <c r="X205" s="40"/>
      <c r="Y205" s="40"/>
      <c r="Z205" s="40"/>
      <c r="AA205" s="40"/>
      <c r="AB205" s="40"/>
      <c r="AC205" s="40"/>
      <c r="AD205" s="40"/>
      <c r="AE205" s="40"/>
      <c r="AF205" s="40"/>
      <c r="AG205" s="40"/>
      <c r="AH205" s="40"/>
      <c r="AI205" s="40"/>
      <c r="AJ205" s="40"/>
      <c r="AK205" s="40"/>
      <c r="AL205" s="40"/>
      <c r="AM205" s="40"/>
      <c r="AN205" s="40"/>
      <c r="AO205" s="40"/>
      <c r="AP205" s="40"/>
      <c r="AQ205" s="40"/>
      <c r="AR205" s="40"/>
      <c r="AS205" s="40"/>
      <c r="AT205" s="40"/>
      <c r="AU205" s="40"/>
      <c r="AV205" s="40"/>
      <c r="AW205" s="40"/>
      <c r="AX205" s="40"/>
      <c r="AY205" s="40"/>
      <c r="AZ205" s="40"/>
      <c r="BA205" s="40"/>
      <c r="BB205" s="40"/>
      <c r="BC205" s="40"/>
      <c r="BD205" s="40"/>
      <c r="BE205" s="40"/>
      <c r="BF205" s="40"/>
      <c r="BG205" s="40"/>
      <c r="BH205" s="40"/>
      <c r="BI205" s="40"/>
      <c r="BJ205" s="40"/>
      <c r="BK205" s="40"/>
      <c r="BL205" s="40"/>
      <c r="BM205" s="40"/>
      <c r="BN205" s="40"/>
      <c r="BO205" s="40"/>
      <c r="BP205" s="40"/>
      <c r="BQ205" s="40"/>
      <c r="BR205" s="40"/>
      <c r="BS205" s="40"/>
      <c r="BT205" s="40"/>
      <c r="BU205" s="40"/>
      <c r="BV205" s="40"/>
      <c r="BW205" s="40"/>
      <c r="BX205" s="40"/>
      <c r="BY205" s="40"/>
      <c r="BZ205" s="40"/>
      <c r="CA205" s="40"/>
      <c r="CB205" s="40"/>
      <c r="CC205" s="40"/>
      <c r="CD205" s="40"/>
      <c r="CE205" s="40"/>
      <c r="CF205" s="40"/>
      <c r="CG205" s="40"/>
      <c r="CH205" s="40"/>
      <c r="CI205" s="40"/>
      <c r="CJ205" s="40"/>
      <c r="CK205" s="40"/>
      <c r="CL205" s="40"/>
    </row>
    <row r="206" spans="1:90" x14ac:dyDescent="0.25">
      <c r="A206" s="40"/>
      <c r="B206" s="40"/>
      <c r="C206" s="40"/>
      <c r="D206" s="40"/>
      <c r="E206" s="40"/>
      <c r="F206" s="40"/>
      <c r="G206" s="40"/>
      <c r="H206" s="40"/>
      <c r="I206" s="40"/>
      <c r="J206" s="40"/>
      <c r="K206" s="40"/>
      <c r="L206" s="40"/>
      <c r="M206" s="40"/>
      <c r="N206" s="40"/>
      <c r="O206" s="40"/>
      <c r="P206" s="40"/>
      <c r="Q206" s="40"/>
      <c r="R206" s="40"/>
      <c r="S206" s="40"/>
      <c r="T206" s="40"/>
      <c r="U206" s="40"/>
      <c r="V206" s="40"/>
      <c r="W206" s="40"/>
      <c r="X206" s="40"/>
      <c r="Y206" s="40"/>
      <c r="Z206" s="40"/>
      <c r="AA206" s="40"/>
      <c r="AB206" s="40"/>
      <c r="AC206" s="40"/>
      <c r="AD206" s="40"/>
      <c r="AE206" s="40"/>
      <c r="AF206" s="40"/>
      <c r="AG206" s="40"/>
      <c r="AH206" s="40"/>
      <c r="AI206" s="40"/>
      <c r="AJ206" s="40"/>
      <c r="AK206" s="40"/>
      <c r="AL206" s="40"/>
      <c r="AM206" s="40"/>
      <c r="AN206" s="40"/>
      <c r="AO206" s="40"/>
      <c r="AP206" s="40"/>
      <c r="AQ206" s="40"/>
      <c r="AR206" s="40"/>
      <c r="AS206" s="40"/>
      <c r="AT206" s="40"/>
      <c r="AU206" s="40"/>
      <c r="AV206" s="40"/>
      <c r="AW206" s="40"/>
      <c r="AX206" s="40"/>
      <c r="AY206" s="40"/>
      <c r="AZ206" s="40"/>
      <c r="BA206" s="40"/>
      <c r="BB206" s="40"/>
      <c r="BC206" s="40"/>
      <c r="BD206" s="40"/>
      <c r="BE206" s="40"/>
      <c r="BF206" s="40"/>
      <c r="BG206" s="40"/>
      <c r="BH206" s="40"/>
      <c r="BI206" s="40"/>
      <c r="BJ206" s="40"/>
      <c r="BK206" s="40"/>
      <c r="BL206" s="40"/>
      <c r="BM206" s="40"/>
      <c r="BN206" s="40"/>
      <c r="BO206" s="40"/>
      <c r="BP206" s="40"/>
      <c r="BQ206" s="40"/>
      <c r="BR206" s="40"/>
      <c r="BS206" s="40"/>
      <c r="BT206" s="40"/>
      <c r="BU206" s="40"/>
      <c r="BV206" s="40"/>
      <c r="BW206" s="40"/>
      <c r="BX206" s="40"/>
      <c r="BY206" s="40"/>
      <c r="BZ206" s="40"/>
      <c r="CA206" s="40"/>
      <c r="CB206" s="40"/>
      <c r="CC206" s="40"/>
      <c r="CD206" s="40"/>
      <c r="CE206" s="40"/>
      <c r="CF206" s="40"/>
      <c r="CG206" s="40"/>
      <c r="CH206" s="40"/>
      <c r="CI206" s="40"/>
      <c r="CJ206" s="40"/>
      <c r="CK206" s="40"/>
      <c r="CL206" s="40"/>
    </row>
    <row r="207" spans="1:90" x14ac:dyDescent="0.25">
      <c r="A207" s="40"/>
      <c r="B207" s="40"/>
      <c r="C207" s="40"/>
      <c r="D207" s="40"/>
      <c r="E207" s="40"/>
      <c r="F207" s="40"/>
      <c r="G207" s="40"/>
      <c r="H207" s="40"/>
      <c r="I207" s="40"/>
      <c r="J207" s="40"/>
      <c r="K207" s="40"/>
      <c r="L207" s="40"/>
      <c r="M207" s="40"/>
      <c r="N207" s="40"/>
      <c r="O207" s="40"/>
      <c r="P207" s="40"/>
      <c r="Q207" s="40"/>
      <c r="R207" s="40"/>
      <c r="S207" s="40"/>
      <c r="T207" s="40"/>
      <c r="U207" s="40"/>
      <c r="V207" s="40"/>
      <c r="W207" s="40"/>
      <c r="X207" s="40"/>
      <c r="Y207" s="40"/>
      <c r="Z207" s="40"/>
      <c r="AA207" s="40"/>
      <c r="AB207" s="40"/>
      <c r="AC207" s="40"/>
      <c r="AD207" s="40"/>
      <c r="AE207" s="40"/>
      <c r="AF207" s="40"/>
      <c r="AG207" s="40"/>
      <c r="AH207" s="40"/>
      <c r="AI207" s="40"/>
      <c r="AJ207" s="40"/>
      <c r="AK207" s="40"/>
      <c r="AL207" s="40"/>
      <c r="AM207" s="40"/>
      <c r="AN207" s="40"/>
      <c r="AO207" s="40"/>
      <c r="AP207" s="40"/>
      <c r="AQ207" s="40"/>
      <c r="AR207" s="40"/>
      <c r="AS207" s="40"/>
      <c r="AT207" s="40"/>
      <c r="AU207" s="40"/>
      <c r="AV207" s="40"/>
      <c r="AW207" s="40"/>
      <c r="AX207" s="40"/>
      <c r="AY207" s="40"/>
      <c r="AZ207" s="40"/>
      <c r="BA207" s="40"/>
      <c r="BB207" s="40"/>
      <c r="BC207" s="40"/>
      <c r="BD207" s="40"/>
      <c r="BE207" s="40"/>
      <c r="BF207" s="40"/>
      <c r="BG207" s="40"/>
      <c r="BH207" s="40"/>
      <c r="BI207" s="40"/>
      <c r="BJ207" s="40"/>
      <c r="BK207" s="40"/>
      <c r="BL207" s="40"/>
      <c r="BM207" s="40"/>
      <c r="BN207" s="40"/>
      <c r="BO207" s="40"/>
      <c r="BP207" s="40"/>
      <c r="BQ207" s="40"/>
      <c r="BR207" s="40"/>
      <c r="BS207" s="40"/>
      <c r="BT207" s="40"/>
      <c r="BU207" s="40"/>
      <c r="BV207" s="40"/>
      <c r="BW207" s="40"/>
      <c r="BX207" s="40"/>
      <c r="BY207" s="40"/>
      <c r="BZ207" s="40"/>
      <c r="CA207" s="40"/>
      <c r="CB207" s="40"/>
      <c r="CC207" s="40"/>
      <c r="CD207" s="40"/>
      <c r="CE207" s="40"/>
      <c r="CF207" s="40"/>
      <c r="CG207" s="40"/>
      <c r="CH207" s="40"/>
      <c r="CI207" s="40"/>
      <c r="CJ207" s="40"/>
      <c r="CK207" s="40"/>
      <c r="CL207" s="40"/>
    </row>
    <row r="208" spans="1:90" x14ac:dyDescent="0.25">
      <c r="A208" s="40"/>
      <c r="B208" s="40"/>
      <c r="C208" s="40"/>
      <c r="D208" s="40"/>
      <c r="E208" s="40"/>
      <c r="F208" s="40"/>
      <c r="G208" s="40"/>
      <c r="H208" s="40"/>
      <c r="I208" s="40"/>
      <c r="J208" s="40"/>
      <c r="K208" s="40"/>
      <c r="L208" s="40"/>
      <c r="M208" s="40"/>
      <c r="N208" s="40"/>
      <c r="O208" s="40"/>
      <c r="P208" s="40"/>
      <c r="Q208" s="40"/>
      <c r="R208" s="40"/>
      <c r="S208" s="40"/>
      <c r="T208" s="40"/>
      <c r="U208" s="40"/>
      <c r="V208" s="40"/>
      <c r="W208" s="40"/>
      <c r="X208" s="40"/>
      <c r="Y208" s="40"/>
      <c r="Z208" s="40"/>
      <c r="AA208" s="40"/>
      <c r="AB208" s="40"/>
      <c r="AC208" s="40"/>
      <c r="AD208" s="40"/>
      <c r="AE208" s="40"/>
      <c r="AF208" s="40"/>
      <c r="AG208" s="40"/>
      <c r="AH208" s="40"/>
      <c r="AI208" s="40"/>
      <c r="AJ208" s="40"/>
      <c r="AK208" s="40"/>
      <c r="AL208" s="40"/>
      <c r="AM208" s="40"/>
      <c r="AN208" s="40"/>
      <c r="AO208" s="40"/>
      <c r="AP208" s="40"/>
      <c r="AQ208" s="40"/>
      <c r="AR208" s="40"/>
      <c r="AS208" s="40"/>
      <c r="AT208" s="40"/>
      <c r="AU208" s="40"/>
      <c r="AV208" s="40"/>
      <c r="AW208" s="40"/>
      <c r="AX208" s="40"/>
      <c r="AY208" s="40"/>
      <c r="AZ208" s="40"/>
      <c r="BA208" s="40"/>
      <c r="BB208" s="40"/>
      <c r="BC208" s="40"/>
      <c r="BD208" s="40"/>
      <c r="BE208" s="40"/>
      <c r="BF208" s="40"/>
      <c r="BG208" s="40"/>
      <c r="BH208" s="40"/>
      <c r="BI208" s="40"/>
      <c r="BJ208" s="40"/>
      <c r="BK208" s="40"/>
      <c r="BL208" s="40"/>
      <c r="BM208" s="40"/>
      <c r="BN208" s="40"/>
      <c r="BO208" s="40"/>
      <c r="BP208" s="40"/>
      <c r="BQ208" s="40"/>
      <c r="BR208" s="40"/>
      <c r="BS208" s="40"/>
      <c r="BT208" s="40"/>
      <c r="BU208" s="40"/>
      <c r="BV208" s="40"/>
      <c r="BW208" s="40"/>
      <c r="BX208" s="40"/>
      <c r="BY208" s="40"/>
      <c r="BZ208" s="40"/>
      <c r="CA208" s="40"/>
      <c r="CB208" s="40"/>
      <c r="CC208" s="40"/>
      <c r="CD208" s="40"/>
      <c r="CE208" s="40"/>
      <c r="CF208" s="40"/>
      <c r="CG208" s="40"/>
      <c r="CH208" s="40"/>
      <c r="CI208" s="40"/>
      <c r="CJ208" s="40"/>
      <c r="CK208" s="40"/>
      <c r="CL208" s="40"/>
    </row>
    <row r="209" spans="1:90" x14ac:dyDescent="0.25">
      <c r="A209" s="40"/>
      <c r="B209" s="40"/>
      <c r="C209" s="40"/>
      <c r="D209" s="40"/>
      <c r="E209" s="40"/>
      <c r="F209" s="40"/>
      <c r="G209" s="40"/>
      <c r="H209" s="40"/>
      <c r="I209" s="40"/>
      <c r="J209" s="40"/>
      <c r="K209" s="40"/>
      <c r="L209" s="40"/>
      <c r="M209" s="40"/>
      <c r="N209" s="40"/>
      <c r="O209" s="40"/>
      <c r="P209" s="40"/>
      <c r="Q209" s="40"/>
      <c r="R209" s="40"/>
      <c r="S209" s="40"/>
      <c r="T209" s="40"/>
      <c r="U209" s="40"/>
      <c r="V209" s="40"/>
      <c r="W209" s="40"/>
      <c r="X209" s="40"/>
      <c r="Y209" s="40"/>
      <c r="Z209" s="40"/>
      <c r="AA209" s="40"/>
      <c r="AB209" s="40"/>
      <c r="AC209" s="40"/>
      <c r="AD209" s="40"/>
      <c r="AE209" s="40"/>
      <c r="AF209" s="40"/>
      <c r="AG209" s="40"/>
      <c r="AH209" s="40"/>
      <c r="AI209" s="40"/>
      <c r="AJ209" s="40"/>
      <c r="AK209" s="40"/>
      <c r="AL209" s="40"/>
      <c r="AM209" s="40"/>
      <c r="AN209" s="40"/>
      <c r="AO209" s="40"/>
      <c r="AP209" s="40"/>
      <c r="AQ209" s="40"/>
      <c r="AR209" s="40"/>
      <c r="AS209" s="40"/>
      <c r="AT209" s="40"/>
      <c r="AU209" s="40"/>
      <c r="AV209" s="40"/>
      <c r="AW209" s="40"/>
      <c r="AX209" s="40"/>
      <c r="AY209" s="40"/>
      <c r="AZ209" s="40"/>
      <c r="BA209" s="40"/>
      <c r="BB209" s="40"/>
      <c r="BC209" s="40"/>
      <c r="BD209" s="40"/>
      <c r="BE209" s="40"/>
      <c r="BF209" s="40"/>
      <c r="BG209" s="40"/>
      <c r="BH209" s="40"/>
      <c r="BI209" s="40"/>
      <c r="BJ209" s="40"/>
      <c r="BK209" s="40"/>
      <c r="BL209" s="40"/>
      <c r="BM209" s="40"/>
      <c r="BN209" s="40"/>
      <c r="BO209" s="40"/>
      <c r="BP209" s="40"/>
      <c r="BQ209" s="40"/>
      <c r="BR209" s="40"/>
      <c r="BS209" s="40"/>
      <c r="BT209" s="40"/>
      <c r="BU209" s="40"/>
      <c r="BV209" s="40"/>
      <c r="BW209" s="40"/>
      <c r="BX209" s="40"/>
      <c r="BY209" s="40"/>
      <c r="BZ209" s="40"/>
      <c r="CA209" s="40"/>
      <c r="CB209" s="40"/>
      <c r="CC209" s="40"/>
      <c r="CD209" s="40"/>
      <c r="CE209" s="40"/>
      <c r="CF209" s="40"/>
      <c r="CG209" s="40"/>
      <c r="CH209" s="40"/>
      <c r="CI209" s="40"/>
      <c r="CJ209" s="40"/>
      <c r="CK209" s="40"/>
      <c r="CL209" s="40"/>
    </row>
    <row r="210" spans="1:90" x14ac:dyDescent="0.25">
      <c r="A210" s="40"/>
      <c r="B210" s="40"/>
      <c r="C210" s="40"/>
      <c r="D210" s="40"/>
      <c r="E210" s="40"/>
      <c r="F210" s="40"/>
      <c r="G210" s="40"/>
      <c r="H210" s="40"/>
      <c r="I210" s="40"/>
      <c r="J210" s="40"/>
      <c r="K210" s="40"/>
      <c r="L210" s="40"/>
      <c r="M210" s="40"/>
      <c r="N210" s="40"/>
      <c r="O210" s="40"/>
      <c r="P210" s="40"/>
      <c r="Q210" s="40"/>
      <c r="R210" s="40"/>
      <c r="S210" s="40"/>
      <c r="T210" s="40"/>
      <c r="U210" s="40"/>
      <c r="V210" s="40"/>
      <c r="W210" s="40"/>
      <c r="X210" s="40"/>
      <c r="Y210" s="40"/>
      <c r="Z210" s="40"/>
      <c r="AA210" s="40"/>
      <c r="AB210" s="40"/>
      <c r="AC210" s="40"/>
      <c r="AD210" s="40"/>
      <c r="AE210" s="40"/>
      <c r="AF210" s="40"/>
      <c r="AG210" s="40"/>
      <c r="AH210" s="40"/>
      <c r="AI210" s="40"/>
      <c r="AJ210" s="40"/>
      <c r="AK210" s="40"/>
      <c r="AL210" s="40"/>
      <c r="AM210" s="40"/>
      <c r="AN210" s="40"/>
      <c r="AO210" s="40"/>
      <c r="AP210" s="40"/>
      <c r="AQ210" s="40"/>
      <c r="AR210" s="40"/>
      <c r="AS210" s="40"/>
      <c r="AT210" s="40"/>
      <c r="AU210" s="40"/>
      <c r="AV210" s="40"/>
      <c r="AW210" s="40"/>
      <c r="AX210" s="40"/>
      <c r="AY210" s="40"/>
      <c r="AZ210" s="40"/>
      <c r="BA210" s="40"/>
      <c r="BB210" s="40"/>
      <c r="BC210" s="40"/>
      <c r="BD210" s="40"/>
      <c r="BE210" s="40"/>
      <c r="BF210" s="40"/>
      <c r="BG210" s="40"/>
      <c r="BH210" s="40"/>
      <c r="BI210" s="40"/>
      <c r="BJ210" s="40"/>
      <c r="BK210" s="40"/>
      <c r="BL210" s="40"/>
      <c r="BM210" s="40"/>
      <c r="BN210" s="40"/>
      <c r="BO210" s="40"/>
      <c r="BP210" s="40"/>
      <c r="BQ210" s="40"/>
      <c r="BR210" s="40"/>
      <c r="BS210" s="40"/>
      <c r="BT210" s="40"/>
      <c r="BU210" s="40"/>
      <c r="BV210" s="40"/>
      <c r="BW210" s="40"/>
      <c r="BX210" s="40"/>
      <c r="BY210" s="40"/>
      <c r="BZ210" s="40"/>
      <c r="CA210" s="40"/>
      <c r="CB210" s="40"/>
      <c r="CC210" s="40"/>
      <c r="CD210" s="40"/>
      <c r="CE210" s="40"/>
      <c r="CF210" s="40"/>
      <c r="CG210" s="40"/>
      <c r="CH210" s="40"/>
      <c r="CI210" s="40"/>
      <c r="CJ210" s="40"/>
      <c r="CK210" s="40"/>
      <c r="CL210" s="40"/>
    </row>
    <row r="211" spans="1:90" x14ac:dyDescent="0.25">
      <c r="A211" s="40"/>
      <c r="B211" s="40"/>
      <c r="C211" s="40"/>
      <c r="D211" s="40"/>
      <c r="E211" s="40"/>
      <c r="F211" s="40"/>
      <c r="G211" s="40"/>
      <c r="H211" s="40"/>
      <c r="I211" s="40"/>
      <c r="J211" s="40"/>
      <c r="K211" s="40"/>
      <c r="L211" s="40"/>
      <c r="M211" s="40"/>
      <c r="N211" s="40"/>
      <c r="O211" s="40"/>
      <c r="P211" s="40"/>
      <c r="Q211" s="40"/>
      <c r="R211" s="40"/>
      <c r="S211" s="40"/>
      <c r="T211" s="40"/>
      <c r="U211" s="40"/>
      <c r="V211" s="40"/>
      <c r="W211" s="40"/>
      <c r="X211" s="40"/>
      <c r="Y211" s="40"/>
      <c r="Z211" s="40"/>
      <c r="AA211" s="40"/>
      <c r="AB211" s="40"/>
      <c r="AC211" s="40"/>
      <c r="AD211" s="40"/>
      <c r="AE211" s="40"/>
      <c r="AF211" s="40"/>
      <c r="AG211" s="40"/>
      <c r="AH211" s="40"/>
      <c r="AI211" s="40"/>
      <c r="AJ211" s="40"/>
      <c r="AK211" s="40"/>
      <c r="AL211" s="40"/>
      <c r="AM211" s="40"/>
      <c r="AN211" s="40"/>
      <c r="AO211" s="40"/>
      <c r="AP211" s="40"/>
      <c r="AQ211" s="40"/>
      <c r="AR211" s="40"/>
      <c r="AS211" s="40"/>
      <c r="AT211" s="40"/>
      <c r="AU211" s="40"/>
      <c r="AV211" s="40"/>
      <c r="AW211" s="40"/>
      <c r="AX211" s="40"/>
      <c r="AY211" s="40"/>
      <c r="AZ211" s="40"/>
      <c r="BA211" s="40"/>
      <c r="BB211" s="40"/>
      <c r="BC211" s="40"/>
      <c r="BD211" s="40"/>
      <c r="BE211" s="40"/>
      <c r="BF211" s="40"/>
      <c r="BG211" s="40"/>
      <c r="BH211" s="40"/>
      <c r="BI211" s="40"/>
      <c r="BJ211" s="40"/>
      <c r="BK211" s="40"/>
      <c r="BL211" s="40"/>
      <c r="BM211" s="40"/>
      <c r="BN211" s="40"/>
      <c r="BO211" s="40"/>
      <c r="BP211" s="40"/>
      <c r="BQ211" s="40"/>
      <c r="BR211" s="40"/>
      <c r="BS211" s="40"/>
      <c r="BT211" s="40"/>
      <c r="BU211" s="40"/>
      <c r="BV211" s="40"/>
      <c r="BW211" s="40"/>
      <c r="BX211" s="40"/>
      <c r="BY211" s="40"/>
      <c r="BZ211" s="40"/>
      <c r="CA211" s="40"/>
      <c r="CB211" s="40"/>
      <c r="CC211" s="40"/>
      <c r="CD211" s="40"/>
      <c r="CE211" s="40"/>
      <c r="CF211" s="40"/>
      <c r="CG211" s="40"/>
      <c r="CH211" s="40"/>
      <c r="CI211" s="40"/>
      <c r="CJ211" s="40"/>
      <c r="CK211" s="40"/>
      <c r="CL211" s="40"/>
    </row>
    <row r="212" spans="1:90" x14ac:dyDescent="0.25">
      <c r="A212" s="40"/>
      <c r="B212" s="40"/>
      <c r="C212" s="40"/>
      <c r="D212" s="40"/>
      <c r="E212" s="40"/>
      <c r="F212" s="40"/>
      <c r="G212" s="40"/>
      <c r="H212" s="40"/>
      <c r="I212" s="40"/>
      <c r="J212" s="40"/>
      <c r="K212" s="40"/>
      <c r="L212" s="40"/>
      <c r="M212" s="40"/>
      <c r="N212" s="40"/>
      <c r="O212" s="40"/>
      <c r="P212" s="40"/>
      <c r="Q212" s="40"/>
      <c r="R212" s="40"/>
      <c r="S212" s="40"/>
      <c r="T212" s="40"/>
      <c r="U212" s="40"/>
      <c r="V212" s="40"/>
      <c r="W212" s="40"/>
      <c r="X212" s="40"/>
      <c r="Y212" s="40"/>
      <c r="Z212" s="40"/>
      <c r="AA212" s="40"/>
      <c r="AB212" s="40"/>
      <c r="AC212" s="40"/>
      <c r="AD212" s="40"/>
      <c r="AE212" s="40"/>
      <c r="AF212" s="40"/>
      <c r="AG212" s="40"/>
      <c r="AH212" s="40"/>
      <c r="AI212" s="40"/>
      <c r="AJ212" s="40"/>
      <c r="AK212" s="40"/>
      <c r="AL212" s="40"/>
      <c r="AM212" s="40"/>
      <c r="AN212" s="40"/>
      <c r="AO212" s="40"/>
      <c r="AP212" s="40"/>
      <c r="AQ212" s="40"/>
      <c r="AR212" s="40"/>
      <c r="AS212" s="40"/>
      <c r="AT212" s="40"/>
      <c r="AU212" s="40"/>
      <c r="AV212" s="40"/>
      <c r="AW212" s="40"/>
      <c r="AX212" s="40"/>
      <c r="AY212" s="40"/>
      <c r="AZ212" s="40"/>
      <c r="BA212" s="40"/>
      <c r="BB212" s="40"/>
      <c r="BC212" s="40"/>
      <c r="BD212" s="40"/>
      <c r="BE212" s="40"/>
      <c r="BF212" s="40"/>
      <c r="BG212" s="40"/>
      <c r="BH212" s="40"/>
      <c r="BI212" s="40"/>
      <c r="BJ212" s="40"/>
      <c r="BK212" s="40"/>
      <c r="BL212" s="40"/>
      <c r="BM212" s="40"/>
      <c r="BN212" s="40"/>
      <c r="BO212" s="40"/>
      <c r="BP212" s="40"/>
      <c r="BQ212" s="40"/>
      <c r="BR212" s="40"/>
      <c r="BS212" s="40"/>
      <c r="BT212" s="40"/>
      <c r="BU212" s="40"/>
      <c r="BV212" s="40"/>
      <c r="BW212" s="40"/>
      <c r="BX212" s="40"/>
      <c r="BY212" s="40"/>
      <c r="BZ212" s="40"/>
      <c r="CA212" s="40"/>
      <c r="CB212" s="40"/>
      <c r="CC212" s="40"/>
      <c r="CD212" s="40"/>
      <c r="CE212" s="40"/>
      <c r="CF212" s="40"/>
      <c r="CG212" s="40"/>
      <c r="CH212" s="40"/>
      <c r="CI212" s="40"/>
      <c r="CJ212" s="40"/>
      <c r="CK212" s="40"/>
      <c r="CL212" s="40"/>
    </row>
    <row r="213" spans="1:90" x14ac:dyDescent="0.25">
      <c r="A213" s="40"/>
      <c r="B213" s="40"/>
      <c r="C213" s="40"/>
      <c r="D213" s="40"/>
      <c r="E213" s="40"/>
      <c r="F213" s="40"/>
      <c r="G213" s="40"/>
      <c r="H213" s="40"/>
      <c r="I213" s="40"/>
      <c r="J213" s="40"/>
      <c r="K213" s="40"/>
      <c r="L213" s="40"/>
      <c r="M213" s="40"/>
      <c r="N213" s="40"/>
      <c r="O213" s="40"/>
      <c r="P213" s="40"/>
      <c r="Q213" s="40"/>
      <c r="R213" s="40"/>
      <c r="S213" s="40"/>
      <c r="T213" s="40"/>
      <c r="U213" s="40"/>
      <c r="V213" s="40"/>
      <c r="W213" s="40"/>
      <c r="X213" s="40"/>
      <c r="Y213" s="40"/>
      <c r="Z213" s="40"/>
      <c r="AA213" s="40"/>
      <c r="AB213" s="40"/>
      <c r="AC213" s="40"/>
      <c r="AD213" s="40"/>
      <c r="AE213" s="40"/>
      <c r="AF213" s="40"/>
      <c r="AG213" s="40"/>
      <c r="AH213" s="40"/>
      <c r="AI213" s="40"/>
      <c r="AJ213" s="40"/>
      <c r="AK213" s="40"/>
      <c r="AL213" s="40"/>
      <c r="AM213" s="40"/>
      <c r="AN213" s="40"/>
      <c r="AO213" s="40"/>
      <c r="AP213" s="40"/>
      <c r="AQ213" s="40"/>
      <c r="AR213" s="40"/>
      <c r="AS213" s="40"/>
      <c r="AT213" s="40"/>
      <c r="AU213" s="40"/>
      <c r="AV213" s="40"/>
      <c r="AW213" s="40"/>
      <c r="AX213" s="40"/>
      <c r="AY213" s="40"/>
      <c r="AZ213" s="40"/>
      <c r="BA213" s="40"/>
      <c r="BB213" s="40"/>
      <c r="BC213" s="40"/>
      <c r="BD213" s="40"/>
      <c r="BE213" s="40"/>
      <c r="BF213" s="40"/>
      <c r="BG213" s="40"/>
      <c r="BH213" s="40"/>
      <c r="BI213" s="40"/>
      <c r="BJ213" s="40"/>
      <c r="BK213" s="40"/>
      <c r="BL213" s="40"/>
      <c r="BM213" s="40"/>
      <c r="BN213" s="40"/>
      <c r="BO213" s="40"/>
      <c r="BP213" s="40"/>
      <c r="BQ213" s="40"/>
      <c r="BR213" s="40"/>
      <c r="BS213" s="40"/>
      <c r="BT213" s="40"/>
      <c r="BU213" s="40"/>
      <c r="BV213" s="40"/>
      <c r="BW213" s="40"/>
      <c r="BX213" s="40"/>
      <c r="BY213" s="40"/>
      <c r="BZ213" s="40"/>
      <c r="CA213" s="40"/>
      <c r="CB213" s="40"/>
      <c r="CC213" s="40"/>
      <c r="CD213" s="40"/>
      <c r="CE213" s="40"/>
      <c r="CF213" s="40"/>
      <c r="CG213" s="40"/>
      <c r="CH213" s="40"/>
      <c r="CI213" s="40"/>
      <c r="CJ213" s="40"/>
      <c r="CK213" s="40"/>
      <c r="CL213" s="40"/>
    </row>
    <row r="214" spans="1:90" x14ac:dyDescent="0.25">
      <c r="A214" s="40"/>
      <c r="B214" s="40"/>
      <c r="C214" s="40"/>
      <c r="D214" s="40"/>
      <c r="E214" s="40"/>
      <c r="F214" s="40"/>
      <c r="G214" s="40"/>
      <c r="H214" s="40"/>
      <c r="I214" s="40"/>
      <c r="J214" s="40"/>
      <c r="K214" s="40"/>
      <c r="L214" s="40"/>
      <c r="M214" s="40"/>
      <c r="N214" s="40"/>
      <c r="O214" s="40"/>
      <c r="P214" s="40"/>
      <c r="Q214" s="40"/>
      <c r="R214" s="40"/>
      <c r="S214" s="40"/>
      <c r="T214" s="40"/>
      <c r="U214" s="40"/>
      <c r="V214" s="40"/>
      <c r="W214" s="40"/>
      <c r="X214" s="40"/>
      <c r="Y214" s="40"/>
      <c r="Z214" s="40"/>
      <c r="AA214" s="40"/>
      <c r="AB214" s="40"/>
      <c r="AC214" s="40"/>
      <c r="AD214" s="40"/>
      <c r="AE214" s="40"/>
      <c r="AF214" s="40"/>
      <c r="AG214" s="40"/>
      <c r="AH214" s="40"/>
      <c r="AI214" s="40"/>
      <c r="AJ214" s="40"/>
      <c r="AK214" s="40"/>
      <c r="AL214" s="40"/>
      <c r="AM214" s="40"/>
      <c r="AN214" s="40"/>
      <c r="AO214" s="40"/>
      <c r="AP214" s="40"/>
      <c r="AQ214" s="40"/>
      <c r="AR214" s="40"/>
      <c r="AS214" s="40"/>
      <c r="AT214" s="40"/>
      <c r="AU214" s="40"/>
      <c r="AV214" s="40"/>
      <c r="AW214" s="40"/>
      <c r="AX214" s="40"/>
      <c r="AY214" s="40"/>
      <c r="AZ214" s="40"/>
      <c r="BA214" s="40"/>
      <c r="BB214" s="40"/>
      <c r="BC214" s="40"/>
      <c r="BD214" s="40"/>
      <c r="BE214" s="40"/>
      <c r="BF214" s="40"/>
      <c r="BG214" s="40"/>
      <c r="BH214" s="40"/>
      <c r="BI214" s="40"/>
      <c r="BJ214" s="40"/>
      <c r="BK214" s="40"/>
      <c r="BL214" s="40"/>
      <c r="BM214" s="40"/>
      <c r="BN214" s="40"/>
      <c r="BO214" s="40"/>
      <c r="BP214" s="40"/>
      <c r="BQ214" s="40"/>
      <c r="BR214" s="40"/>
      <c r="BS214" s="40"/>
      <c r="BT214" s="40"/>
      <c r="BU214" s="40"/>
      <c r="BV214" s="40"/>
      <c r="BW214" s="40"/>
      <c r="BX214" s="40"/>
      <c r="BY214" s="40"/>
      <c r="BZ214" s="40"/>
      <c r="CA214" s="40"/>
      <c r="CB214" s="40"/>
      <c r="CC214" s="40"/>
      <c r="CD214" s="40"/>
      <c r="CE214" s="40"/>
      <c r="CF214" s="40"/>
      <c r="CG214" s="40"/>
      <c r="CH214" s="40"/>
      <c r="CI214" s="40"/>
      <c r="CJ214" s="40"/>
      <c r="CK214" s="40"/>
      <c r="CL214" s="40"/>
    </row>
    <row r="215" spans="1:90" x14ac:dyDescent="0.25">
      <c r="A215" s="40"/>
      <c r="B215" s="40"/>
      <c r="C215" s="40"/>
      <c r="D215" s="40"/>
      <c r="E215" s="40"/>
      <c r="F215" s="40"/>
      <c r="G215" s="40"/>
      <c r="H215" s="40"/>
      <c r="I215" s="40"/>
      <c r="J215" s="40"/>
      <c r="K215" s="40"/>
      <c r="L215" s="40"/>
      <c r="M215" s="40"/>
      <c r="N215" s="40"/>
      <c r="O215" s="40"/>
      <c r="P215" s="40"/>
      <c r="Q215" s="40"/>
      <c r="R215" s="40"/>
      <c r="S215" s="40"/>
      <c r="T215" s="40"/>
      <c r="U215" s="40"/>
      <c r="V215" s="40"/>
      <c r="W215" s="40"/>
      <c r="X215" s="40"/>
      <c r="Y215" s="40"/>
      <c r="Z215" s="40"/>
      <c r="AA215" s="40"/>
      <c r="AB215" s="40"/>
      <c r="AC215" s="40"/>
      <c r="AD215" s="40"/>
      <c r="AE215" s="40"/>
      <c r="AF215" s="40"/>
      <c r="AG215" s="40"/>
      <c r="AH215" s="40"/>
      <c r="AI215" s="40"/>
      <c r="AJ215" s="40"/>
      <c r="AK215" s="40"/>
      <c r="AL215" s="40"/>
      <c r="AM215" s="40"/>
      <c r="AN215" s="40"/>
      <c r="AO215" s="40"/>
      <c r="AP215" s="40"/>
      <c r="AQ215" s="40"/>
      <c r="AR215" s="40"/>
      <c r="AS215" s="40"/>
      <c r="AT215" s="40"/>
      <c r="AU215" s="40"/>
      <c r="AV215" s="40"/>
      <c r="AW215" s="40"/>
      <c r="AX215" s="40"/>
      <c r="AY215" s="40"/>
      <c r="AZ215" s="40"/>
      <c r="BA215" s="40"/>
      <c r="BB215" s="40"/>
      <c r="BC215" s="40"/>
      <c r="BD215" s="40"/>
      <c r="BE215" s="40"/>
      <c r="BF215" s="40"/>
      <c r="BG215" s="40"/>
      <c r="BH215" s="40"/>
      <c r="BI215" s="40"/>
      <c r="BJ215" s="40"/>
      <c r="BK215" s="40"/>
      <c r="BL215" s="40"/>
      <c r="BM215" s="40"/>
      <c r="BN215" s="40"/>
      <c r="BO215" s="40"/>
      <c r="BP215" s="40"/>
      <c r="BQ215" s="40"/>
      <c r="BR215" s="40"/>
      <c r="BS215" s="40"/>
      <c r="BT215" s="40"/>
      <c r="BU215" s="40"/>
      <c r="BV215" s="40"/>
      <c r="BW215" s="40"/>
      <c r="BX215" s="40"/>
      <c r="BY215" s="40"/>
      <c r="BZ215" s="40"/>
      <c r="CA215" s="40"/>
      <c r="CB215" s="40"/>
      <c r="CC215" s="40"/>
      <c r="CD215" s="40"/>
      <c r="CE215" s="40"/>
      <c r="CF215" s="40"/>
      <c r="CG215" s="40"/>
      <c r="CH215" s="40"/>
      <c r="CI215" s="40"/>
      <c r="CJ215" s="40"/>
      <c r="CK215" s="40"/>
      <c r="CL215" s="40"/>
    </row>
    <row r="216" spans="1:90" x14ac:dyDescent="0.25">
      <c r="A216" s="40"/>
      <c r="B216" s="40"/>
      <c r="C216" s="40"/>
      <c r="D216" s="40"/>
      <c r="E216" s="40"/>
      <c r="F216" s="40"/>
      <c r="G216" s="40"/>
      <c r="H216" s="40"/>
      <c r="I216" s="40"/>
      <c r="J216" s="40"/>
      <c r="K216" s="40"/>
      <c r="L216" s="40"/>
      <c r="M216" s="40"/>
      <c r="N216" s="40"/>
      <c r="O216" s="40"/>
      <c r="P216" s="40"/>
      <c r="Q216" s="40"/>
      <c r="R216" s="40"/>
      <c r="S216" s="40"/>
      <c r="T216" s="40"/>
      <c r="U216" s="40"/>
      <c r="V216" s="40"/>
      <c r="W216" s="40"/>
      <c r="X216" s="40"/>
      <c r="Y216" s="40"/>
      <c r="Z216" s="40"/>
      <c r="AA216" s="40"/>
      <c r="AB216" s="40"/>
      <c r="AC216" s="40"/>
      <c r="AD216" s="40"/>
      <c r="AE216" s="40"/>
      <c r="AF216" s="40"/>
      <c r="AG216" s="40"/>
      <c r="AH216" s="40"/>
      <c r="AI216" s="40"/>
      <c r="AJ216" s="40"/>
      <c r="AK216" s="40"/>
      <c r="AL216" s="40"/>
      <c r="AM216" s="40"/>
      <c r="AN216" s="40"/>
      <c r="AO216" s="40"/>
      <c r="AP216" s="40"/>
      <c r="AQ216" s="40"/>
      <c r="AR216" s="40"/>
      <c r="AS216" s="40"/>
      <c r="AT216" s="40"/>
      <c r="AU216" s="40"/>
      <c r="AV216" s="40"/>
      <c r="AW216" s="40"/>
      <c r="AX216" s="40"/>
      <c r="AY216" s="40"/>
      <c r="AZ216" s="40"/>
      <c r="BA216" s="40"/>
      <c r="BB216" s="40"/>
      <c r="BC216" s="40"/>
      <c r="BD216" s="40"/>
      <c r="BE216" s="40"/>
      <c r="BF216" s="40"/>
      <c r="BG216" s="40"/>
      <c r="BH216" s="40"/>
      <c r="BI216" s="40"/>
      <c r="BJ216" s="40"/>
      <c r="BK216" s="40"/>
      <c r="BL216" s="40"/>
      <c r="BM216" s="40"/>
      <c r="BN216" s="40"/>
      <c r="BO216" s="40"/>
      <c r="BP216" s="40"/>
      <c r="BQ216" s="40"/>
      <c r="BR216" s="40"/>
      <c r="BS216" s="40"/>
      <c r="BT216" s="40"/>
      <c r="BU216" s="40"/>
      <c r="BV216" s="40"/>
      <c r="BW216" s="40"/>
      <c r="BX216" s="40"/>
      <c r="BY216" s="40"/>
      <c r="BZ216" s="40"/>
      <c r="CA216" s="40"/>
      <c r="CB216" s="40"/>
      <c r="CC216" s="40"/>
      <c r="CD216" s="40"/>
      <c r="CE216" s="40"/>
      <c r="CF216" s="40"/>
      <c r="CG216" s="40"/>
      <c r="CH216" s="40"/>
      <c r="CI216" s="40"/>
      <c r="CJ216" s="40"/>
      <c r="CK216" s="40"/>
      <c r="CL216" s="40"/>
    </row>
    <row r="217" spans="1:90" x14ac:dyDescent="0.25">
      <c r="A217" s="40"/>
      <c r="B217" s="40"/>
      <c r="C217" s="40"/>
      <c r="D217" s="40"/>
      <c r="E217" s="40"/>
      <c r="F217" s="40"/>
      <c r="G217" s="40"/>
      <c r="H217" s="40"/>
      <c r="I217" s="40"/>
      <c r="J217" s="40"/>
      <c r="K217" s="40"/>
      <c r="L217" s="40"/>
      <c r="M217" s="40"/>
      <c r="N217" s="40"/>
      <c r="O217" s="40"/>
      <c r="P217" s="40"/>
      <c r="Q217" s="40"/>
      <c r="R217" s="40"/>
      <c r="S217" s="40"/>
      <c r="T217" s="40"/>
      <c r="U217" s="40"/>
      <c r="V217" s="40"/>
      <c r="W217" s="40"/>
      <c r="X217" s="40"/>
      <c r="Y217" s="40"/>
      <c r="Z217" s="40"/>
      <c r="AA217" s="40"/>
      <c r="AB217" s="40"/>
      <c r="AC217" s="40"/>
      <c r="AD217" s="40"/>
      <c r="AE217" s="40"/>
      <c r="AF217" s="40"/>
      <c r="AG217" s="40"/>
      <c r="AH217" s="40"/>
      <c r="AI217" s="40"/>
      <c r="AJ217" s="40"/>
      <c r="AK217" s="40"/>
      <c r="AL217" s="40"/>
      <c r="AM217" s="40"/>
      <c r="AN217" s="40"/>
      <c r="AO217" s="40"/>
      <c r="AP217" s="40"/>
      <c r="AQ217" s="40"/>
      <c r="AR217" s="40"/>
      <c r="AS217" s="40"/>
      <c r="AT217" s="40"/>
      <c r="AU217" s="40"/>
      <c r="AV217" s="40"/>
      <c r="AW217" s="40"/>
      <c r="AX217" s="40"/>
      <c r="AY217" s="40"/>
      <c r="AZ217" s="40"/>
      <c r="BA217" s="40"/>
      <c r="BB217" s="40"/>
      <c r="BC217" s="40"/>
      <c r="BD217" s="40"/>
      <c r="BE217" s="40"/>
      <c r="BF217" s="40"/>
      <c r="BG217" s="40"/>
      <c r="BH217" s="40"/>
      <c r="BI217" s="40"/>
      <c r="BJ217" s="40"/>
      <c r="BK217" s="40"/>
      <c r="BL217" s="40"/>
      <c r="BM217" s="40"/>
      <c r="BN217" s="40"/>
      <c r="BO217" s="40"/>
      <c r="BP217" s="40"/>
      <c r="BQ217" s="40"/>
      <c r="BR217" s="40"/>
      <c r="BS217" s="40"/>
      <c r="BT217" s="40"/>
      <c r="BU217" s="40"/>
      <c r="BV217" s="40"/>
      <c r="BW217" s="40"/>
      <c r="BX217" s="40"/>
      <c r="BY217" s="40"/>
      <c r="BZ217" s="40"/>
      <c r="CA217" s="40"/>
      <c r="CB217" s="40"/>
      <c r="CC217" s="40"/>
      <c r="CD217" s="40"/>
      <c r="CE217" s="40"/>
      <c r="CF217" s="40"/>
      <c r="CG217" s="40"/>
      <c r="CH217" s="40"/>
      <c r="CI217" s="40"/>
      <c r="CJ217" s="40"/>
      <c r="CK217" s="40"/>
      <c r="CL217" s="40"/>
    </row>
    <row r="218" spans="1:90" x14ac:dyDescent="0.25">
      <c r="A218" s="40"/>
      <c r="B218" s="40"/>
      <c r="C218" s="40"/>
      <c r="D218" s="40"/>
      <c r="E218" s="40"/>
      <c r="F218" s="40"/>
      <c r="G218" s="40"/>
      <c r="H218" s="40"/>
      <c r="I218" s="40"/>
      <c r="J218" s="40"/>
      <c r="K218" s="40"/>
      <c r="L218" s="40"/>
      <c r="M218" s="40"/>
      <c r="N218" s="40"/>
      <c r="O218" s="40"/>
      <c r="P218" s="40"/>
      <c r="Q218" s="40"/>
      <c r="R218" s="40"/>
      <c r="S218" s="40"/>
      <c r="T218" s="40"/>
      <c r="U218" s="40"/>
      <c r="V218" s="40"/>
      <c r="W218" s="40"/>
      <c r="X218" s="40"/>
      <c r="Y218" s="40"/>
      <c r="Z218" s="40"/>
      <c r="AA218" s="40"/>
      <c r="AB218" s="40"/>
      <c r="AC218" s="40"/>
      <c r="AD218" s="40"/>
      <c r="AE218" s="40"/>
      <c r="AF218" s="40"/>
      <c r="AG218" s="40"/>
      <c r="AH218" s="40"/>
      <c r="AI218" s="40"/>
      <c r="AJ218" s="40"/>
      <c r="AK218" s="40"/>
      <c r="AL218" s="40"/>
      <c r="AM218" s="40"/>
      <c r="AN218" s="40"/>
      <c r="AO218" s="40"/>
      <c r="AP218" s="40"/>
      <c r="AQ218" s="40"/>
      <c r="AR218" s="40"/>
      <c r="AS218" s="40"/>
      <c r="AT218" s="40"/>
      <c r="AU218" s="40"/>
      <c r="AV218" s="40"/>
      <c r="AW218" s="40"/>
      <c r="AX218" s="40"/>
      <c r="AY218" s="40"/>
      <c r="AZ218" s="40"/>
      <c r="BA218" s="40"/>
      <c r="BB218" s="40"/>
      <c r="BC218" s="40"/>
      <c r="BD218" s="40"/>
      <c r="BE218" s="40"/>
      <c r="BF218" s="40"/>
      <c r="BG218" s="40"/>
      <c r="BH218" s="40"/>
      <c r="BI218" s="40"/>
      <c r="BJ218" s="40"/>
      <c r="BK218" s="40"/>
      <c r="BL218" s="40"/>
      <c r="BM218" s="40"/>
      <c r="BN218" s="40"/>
      <c r="BO218" s="40"/>
      <c r="BP218" s="40"/>
      <c r="BQ218" s="40"/>
      <c r="BR218" s="40"/>
      <c r="BS218" s="40"/>
      <c r="BT218" s="40"/>
      <c r="BU218" s="40"/>
      <c r="BV218" s="40"/>
      <c r="BW218" s="40"/>
      <c r="BX218" s="40"/>
      <c r="BY218" s="40"/>
      <c r="BZ218" s="40"/>
      <c r="CA218" s="40"/>
      <c r="CB218" s="40"/>
      <c r="CC218" s="40"/>
      <c r="CD218" s="40"/>
      <c r="CE218" s="40"/>
      <c r="CF218" s="40"/>
      <c r="CG218" s="40"/>
      <c r="CH218" s="40"/>
      <c r="CI218" s="40"/>
      <c r="CJ218" s="40"/>
      <c r="CK218" s="40"/>
      <c r="CL218" s="40"/>
    </row>
    <row r="219" spans="1:90" x14ac:dyDescent="0.25">
      <c r="A219" s="40"/>
      <c r="B219" s="40"/>
      <c r="C219" s="40"/>
      <c r="D219" s="40"/>
      <c r="E219" s="40"/>
      <c r="F219" s="40"/>
      <c r="G219" s="40"/>
      <c r="H219" s="40"/>
      <c r="I219" s="40"/>
      <c r="J219" s="40"/>
      <c r="K219" s="40"/>
      <c r="L219" s="40"/>
      <c r="M219" s="40"/>
      <c r="N219" s="40"/>
      <c r="O219" s="40"/>
      <c r="P219" s="40"/>
      <c r="Q219" s="40"/>
      <c r="R219" s="40"/>
      <c r="S219" s="40"/>
      <c r="T219" s="40"/>
      <c r="U219" s="40"/>
      <c r="V219" s="40"/>
      <c r="W219" s="40"/>
      <c r="X219" s="40"/>
      <c r="Y219" s="40"/>
      <c r="Z219" s="40"/>
      <c r="AA219" s="40"/>
      <c r="AB219" s="40"/>
      <c r="AC219" s="40"/>
      <c r="AD219" s="40"/>
      <c r="AE219" s="40"/>
      <c r="AF219" s="40"/>
      <c r="AG219" s="40"/>
      <c r="AH219" s="40"/>
      <c r="AI219" s="40"/>
      <c r="AJ219" s="40"/>
      <c r="AK219" s="40"/>
      <c r="AL219" s="40"/>
      <c r="AM219" s="40"/>
      <c r="AN219" s="40"/>
      <c r="AO219" s="40"/>
      <c r="AP219" s="40"/>
      <c r="AQ219" s="40"/>
      <c r="AR219" s="40"/>
      <c r="AS219" s="40"/>
      <c r="AT219" s="40"/>
      <c r="AU219" s="40"/>
      <c r="AV219" s="40"/>
      <c r="AW219" s="40"/>
      <c r="AX219" s="40"/>
      <c r="AY219" s="40"/>
      <c r="AZ219" s="40"/>
      <c r="BA219" s="40"/>
      <c r="BB219" s="40"/>
      <c r="BC219" s="40"/>
      <c r="BD219" s="40"/>
      <c r="BE219" s="40"/>
      <c r="BF219" s="40"/>
      <c r="BG219" s="40"/>
      <c r="BH219" s="40"/>
      <c r="BI219" s="40"/>
      <c r="BJ219" s="40"/>
      <c r="BK219" s="40"/>
      <c r="BL219" s="40"/>
      <c r="BM219" s="40"/>
      <c r="BN219" s="40"/>
      <c r="BO219" s="40"/>
      <c r="BP219" s="40"/>
      <c r="BQ219" s="40"/>
      <c r="BR219" s="40"/>
      <c r="BS219" s="40"/>
      <c r="BT219" s="40"/>
      <c r="BU219" s="40"/>
      <c r="BV219" s="40"/>
      <c r="BW219" s="40"/>
      <c r="BX219" s="40"/>
      <c r="BY219" s="40"/>
      <c r="BZ219" s="40"/>
      <c r="CA219" s="40"/>
      <c r="CB219" s="40"/>
      <c r="CC219" s="40"/>
      <c r="CD219" s="40"/>
      <c r="CE219" s="40"/>
      <c r="CF219" s="40"/>
      <c r="CG219" s="40"/>
      <c r="CH219" s="40"/>
      <c r="CI219" s="40"/>
      <c r="CJ219" s="40"/>
      <c r="CK219" s="40"/>
      <c r="CL219" s="40"/>
    </row>
    <row r="220" spans="1:90" x14ac:dyDescent="0.25">
      <c r="A220" s="40"/>
      <c r="B220" s="40"/>
      <c r="C220" s="40"/>
      <c r="D220" s="40"/>
      <c r="E220" s="40"/>
      <c r="F220" s="40"/>
      <c r="G220" s="40"/>
      <c r="H220" s="40"/>
      <c r="I220" s="40"/>
      <c r="J220" s="40"/>
      <c r="K220" s="40"/>
      <c r="L220" s="40"/>
      <c r="M220" s="40"/>
      <c r="N220" s="40"/>
      <c r="O220" s="40"/>
      <c r="P220" s="40"/>
      <c r="Q220" s="40"/>
      <c r="R220" s="40"/>
      <c r="S220" s="40"/>
      <c r="T220" s="40"/>
      <c r="U220" s="40"/>
      <c r="V220" s="40"/>
      <c r="W220" s="40"/>
      <c r="X220" s="40"/>
      <c r="Y220" s="40"/>
      <c r="Z220" s="40"/>
      <c r="AA220" s="40"/>
      <c r="AB220" s="40"/>
      <c r="AC220" s="40"/>
      <c r="AD220" s="40"/>
      <c r="AE220" s="40"/>
      <c r="AF220" s="40"/>
      <c r="AG220" s="40"/>
      <c r="AH220" s="40"/>
      <c r="AI220" s="40"/>
      <c r="AJ220" s="40"/>
      <c r="AK220" s="40"/>
      <c r="AL220" s="40"/>
      <c r="AM220" s="40"/>
      <c r="AN220" s="40"/>
      <c r="AO220" s="40"/>
      <c r="AP220" s="40"/>
      <c r="AQ220" s="40"/>
      <c r="AR220" s="40"/>
      <c r="AS220" s="40"/>
      <c r="AT220" s="40"/>
      <c r="AU220" s="40"/>
      <c r="AV220" s="40"/>
      <c r="AW220" s="40"/>
      <c r="AX220" s="40"/>
      <c r="AY220" s="40"/>
      <c r="AZ220" s="40"/>
      <c r="BA220" s="40"/>
      <c r="BB220" s="40"/>
      <c r="BC220" s="40"/>
      <c r="BD220" s="40"/>
      <c r="BE220" s="40"/>
      <c r="BF220" s="40"/>
      <c r="BG220" s="40"/>
      <c r="BH220" s="40"/>
      <c r="BI220" s="40"/>
      <c r="BJ220" s="40"/>
      <c r="BK220" s="40"/>
      <c r="BL220" s="40"/>
      <c r="BM220" s="40"/>
      <c r="BN220" s="40"/>
      <c r="BO220" s="40"/>
      <c r="BP220" s="40"/>
      <c r="BQ220" s="40"/>
      <c r="BR220" s="40"/>
      <c r="BS220" s="40"/>
      <c r="BT220" s="40"/>
      <c r="BU220" s="40"/>
      <c r="BV220" s="40"/>
      <c r="BW220" s="40"/>
      <c r="BX220" s="40"/>
      <c r="BY220" s="40"/>
      <c r="BZ220" s="40"/>
      <c r="CA220" s="40"/>
      <c r="CB220" s="40"/>
      <c r="CC220" s="40"/>
      <c r="CD220" s="40"/>
      <c r="CE220" s="40"/>
      <c r="CF220" s="40"/>
      <c r="CG220" s="40"/>
      <c r="CH220" s="40"/>
      <c r="CI220" s="40"/>
      <c r="CJ220" s="40"/>
      <c r="CK220" s="40"/>
      <c r="CL220" s="40"/>
    </row>
    <row r="221" spans="1:90" x14ac:dyDescent="0.25">
      <c r="A221" s="40"/>
      <c r="B221" s="40"/>
      <c r="C221" s="40"/>
      <c r="D221" s="40"/>
      <c r="E221" s="40"/>
      <c r="F221" s="40"/>
      <c r="G221" s="40"/>
      <c r="H221" s="40"/>
      <c r="I221" s="40"/>
      <c r="J221" s="40"/>
      <c r="K221" s="40"/>
      <c r="L221" s="40"/>
      <c r="M221" s="40"/>
      <c r="N221" s="40"/>
      <c r="O221" s="40"/>
      <c r="P221" s="40"/>
      <c r="Q221" s="40"/>
      <c r="R221" s="40"/>
      <c r="S221" s="40"/>
      <c r="T221" s="40"/>
      <c r="U221" s="40"/>
      <c r="V221" s="40"/>
      <c r="W221" s="40"/>
      <c r="X221" s="40"/>
      <c r="Y221" s="40"/>
      <c r="Z221" s="40"/>
      <c r="AA221" s="40"/>
      <c r="AB221" s="40"/>
      <c r="AC221" s="40"/>
      <c r="AD221" s="40"/>
      <c r="AE221" s="40"/>
      <c r="AF221" s="40"/>
      <c r="AG221" s="40"/>
      <c r="AH221" s="40"/>
      <c r="AI221" s="40"/>
      <c r="AJ221" s="40"/>
      <c r="AK221" s="40"/>
      <c r="AL221" s="40"/>
      <c r="AM221" s="40"/>
      <c r="AN221" s="40"/>
      <c r="AO221" s="40"/>
      <c r="AP221" s="40"/>
      <c r="AQ221" s="40"/>
      <c r="AR221" s="40"/>
      <c r="AS221" s="40"/>
      <c r="AT221" s="40"/>
      <c r="AU221" s="40"/>
      <c r="AV221" s="40"/>
      <c r="AW221" s="40"/>
      <c r="AX221" s="40"/>
      <c r="AY221" s="40"/>
      <c r="AZ221" s="40"/>
      <c r="BA221" s="40"/>
      <c r="BB221" s="40"/>
      <c r="BC221" s="40"/>
      <c r="BD221" s="40"/>
      <c r="BE221" s="40"/>
      <c r="BF221" s="40"/>
      <c r="BG221" s="40"/>
      <c r="BH221" s="40"/>
      <c r="BI221" s="40"/>
      <c r="BJ221" s="40"/>
      <c r="BK221" s="40"/>
      <c r="BL221" s="40"/>
      <c r="BM221" s="40"/>
      <c r="BN221" s="40"/>
      <c r="BO221" s="40"/>
      <c r="BP221" s="40"/>
      <c r="BQ221" s="40"/>
      <c r="BR221" s="40"/>
      <c r="BS221" s="40"/>
      <c r="BT221" s="40"/>
      <c r="BU221" s="40"/>
      <c r="BV221" s="40"/>
      <c r="BW221" s="40"/>
      <c r="BX221" s="40"/>
      <c r="BY221" s="40"/>
      <c r="BZ221" s="40"/>
      <c r="CA221" s="40"/>
      <c r="CB221" s="40"/>
      <c r="CC221" s="40"/>
      <c r="CD221" s="40"/>
      <c r="CE221" s="40"/>
      <c r="CF221" s="40"/>
      <c r="CG221" s="40"/>
      <c r="CH221" s="40"/>
      <c r="CI221" s="40"/>
      <c r="CJ221" s="40"/>
      <c r="CK221" s="40"/>
      <c r="CL221" s="40"/>
    </row>
    <row r="222" spans="1:90" x14ac:dyDescent="0.25">
      <c r="A222" s="40"/>
      <c r="B222" s="40"/>
      <c r="C222" s="40"/>
      <c r="D222" s="40"/>
      <c r="E222" s="40"/>
      <c r="F222" s="40"/>
      <c r="G222" s="40"/>
      <c r="H222" s="40"/>
      <c r="I222" s="40"/>
      <c r="J222" s="40"/>
      <c r="K222" s="40"/>
      <c r="L222" s="40"/>
      <c r="M222" s="40"/>
      <c r="N222" s="40"/>
      <c r="O222" s="40"/>
      <c r="P222" s="40"/>
      <c r="Q222" s="40"/>
      <c r="R222" s="40"/>
      <c r="S222" s="40"/>
      <c r="T222" s="40"/>
      <c r="U222" s="40"/>
      <c r="V222" s="40"/>
      <c r="W222" s="40"/>
      <c r="X222" s="40"/>
      <c r="Y222" s="40"/>
      <c r="Z222" s="40"/>
      <c r="AA222" s="40"/>
      <c r="AB222" s="40"/>
      <c r="AC222" s="40"/>
      <c r="AD222" s="40"/>
      <c r="AE222" s="40"/>
      <c r="AF222" s="40"/>
      <c r="AG222" s="40"/>
      <c r="AH222" s="40"/>
      <c r="AI222" s="40"/>
      <c r="AJ222" s="40"/>
      <c r="AK222" s="40"/>
      <c r="AL222" s="40"/>
      <c r="AM222" s="40"/>
      <c r="AN222" s="40"/>
      <c r="AO222" s="40"/>
      <c r="AP222" s="40"/>
      <c r="AQ222" s="40"/>
      <c r="AR222" s="40"/>
      <c r="AS222" s="40"/>
      <c r="AT222" s="40"/>
      <c r="AU222" s="40"/>
      <c r="AV222" s="40"/>
      <c r="AW222" s="40"/>
      <c r="AX222" s="40"/>
      <c r="AY222" s="40"/>
      <c r="AZ222" s="40"/>
      <c r="BA222" s="40"/>
      <c r="BB222" s="40"/>
      <c r="BC222" s="40"/>
      <c r="BD222" s="40"/>
      <c r="BE222" s="40"/>
      <c r="BF222" s="40"/>
      <c r="BG222" s="40"/>
      <c r="BH222" s="40"/>
      <c r="BI222" s="40"/>
      <c r="BJ222" s="40"/>
      <c r="BK222" s="40"/>
      <c r="BL222" s="40"/>
      <c r="BM222" s="40"/>
      <c r="BN222" s="40"/>
      <c r="BO222" s="40"/>
      <c r="BP222" s="40"/>
      <c r="BQ222" s="40"/>
      <c r="BR222" s="40"/>
      <c r="BS222" s="40"/>
      <c r="BT222" s="40"/>
      <c r="BU222" s="40"/>
      <c r="BV222" s="40"/>
      <c r="BW222" s="40"/>
      <c r="BX222" s="40"/>
      <c r="BY222" s="40"/>
      <c r="BZ222" s="40"/>
      <c r="CA222" s="40"/>
      <c r="CB222" s="40"/>
      <c r="CC222" s="40"/>
      <c r="CD222" s="40"/>
      <c r="CE222" s="40"/>
      <c r="CF222" s="40"/>
      <c r="CG222" s="40"/>
      <c r="CH222" s="40"/>
      <c r="CI222" s="40"/>
      <c r="CJ222" s="40"/>
      <c r="CK222" s="40"/>
      <c r="CL222" s="40"/>
    </row>
    <row r="223" spans="1:90" x14ac:dyDescent="0.25">
      <c r="A223" s="40"/>
      <c r="B223" s="40"/>
      <c r="C223" s="40"/>
      <c r="D223" s="40"/>
      <c r="E223" s="40"/>
      <c r="F223" s="40"/>
      <c r="G223" s="40"/>
      <c r="H223" s="40"/>
      <c r="I223" s="40"/>
      <c r="J223" s="40"/>
      <c r="K223" s="40"/>
      <c r="L223" s="40"/>
      <c r="M223" s="40"/>
      <c r="N223" s="40"/>
      <c r="O223" s="40"/>
      <c r="P223" s="40"/>
      <c r="Q223" s="40"/>
      <c r="R223" s="40"/>
      <c r="S223" s="40"/>
      <c r="T223" s="40"/>
      <c r="U223" s="40"/>
      <c r="V223" s="40"/>
      <c r="W223" s="40"/>
      <c r="X223" s="40"/>
      <c r="Y223" s="40"/>
      <c r="Z223" s="40"/>
      <c r="AA223" s="40"/>
      <c r="AB223" s="40"/>
      <c r="AC223" s="40"/>
      <c r="AD223" s="40"/>
      <c r="AE223" s="40"/>
      <c r="AF223" s="40"/>
      <c r="AG223" s="40"/>
      <c r="AH223" s="40"/>
      <c r="AI223" s="40"/>
      <c r="AJ223" s="40"/>
      <c r="AK223" s="40"/>
      <c r="AL223" s="40"/>
      <c r="AM223" s="40"/>
      <c r="AN223" s="40"/>
      <c r="AO223" s="40"/>
      <c r="AP223" s="40"/>
      <c r="AQ223" s="40"/>
      <c r="AR223" s="40"/>
      <c r="AS223" s="40"/>
      <c r="AT223" s="40"/>
      <c r="AU223" s="40"/>
      <c r="AV223" s="40"/>
      <c r="AW223" s="40"/>
      <c r="AX223" s="40"/>
      <c r="AY223" s="40"/>
      <c r="AZ223" s="40"/>
      <c r="BA223" s="40"/>
      <c r="BB223" s="40"/>
      <c r="BC223" s="40"/>
      <c r="BD223" s="40"/>
      <c r="BE223" s="40"/>
      <c r="BF223" s="40"/>
      <c r="BG223" s="40"/>
      <c r="BH223" s="40"/>
      <c r="BI223" s="40"/>
      <c r="BJ223" s="40"/>
      <c r="BK223" s="40"/>
      <c r="BL223" s="40"/>
      <c r="BM223" s="40"/>
      <c r="BN223" s="40"/>
      <c r="BO223" s="40"/>
      <c r="BP223" s="40"/>
      <c r="BQ223" s="40"/>
      <c r="BR223" s="40"/>
      <c r="BS223" s="40"/>
      <c r="BT223" s="40"/>
      <c r="BU223" s="40"/>
      <c r="BV223" s="40"/>
      <c r="BW223" s="40"/>
      <c r="BX223" s="40"/>
      <c r="BY223" s="40"/>
      <c r="BZ223" s="40"/>
      <c r="CA223" s="40"/>
      <c r="CB223" s="40"/>
      <c r="CC223" s="40"/>
      <c r="CD223" s="40"/>
      <c r="CE223" s="40"/>
      <c r="CF223" s="40"/>
      <c r="CG223" s="40"/>
      <c r="CH223" s="40"/>
      <c r="CI223" s="40"/>
      <c r="CJ223" s="40"/>
      <c r="CK223" s="40"/>
      <c r="CL223" s="40"/>
    </row>
    <row r="224" spans="1:90" x14ac:dyDescent="0.25">
      <c r="A224" s="40"/>
      <c r="B224" s="40"/>
      <c r="C224" s="40"/>
      <c r="D224" s="40"/>
      <c r="E224" s="40"/>
      <c r="F224" s="40"/>
      <c r="G224" s="40"/>
      <c r="H224" s="40"/>
      <c r="I224" s="40"/>
      <c r="J224" s="40"/>
      <c r="K224" s="40"/>
      <c r="L224" s="40"/>
      <c r="M224" s="40"/>
      <c r="N224" s="40"/>
      <c r="O224" s="40"/>
      <c r="P224" s="40"/>
      <c r="Q224" s="40"/>
      <c r="R224" s="40"/>
      <c r="S224" s="40"/>
      <c r="T224" s="40"/>
      <c r="U224" s="40"/>
      <c r="V224" s="40"/>
      <c r="W224" s="40"/>
      <c r="X224" s="40"/>
      <c r="Y224" s="40"/>
      <c r="Z224" s="40"/>
      <c r="AA224" s="40"/>
      <c r="AB224" s="40"/>
      <c r="AC224" s="40"/>
      <c r="AD224" s="40"/>
      <c r="AE224" s="40"/>
      <c r="AF224" s="40"/>
      <c r="AG224" s="40"/>
      <c r="AH224" s="40"/>
      <c r="AI224" s="40"/>
      <c r="AJ224" s="40"/>
      <c r="AK224" s="40"/>
      <c r="AL224" s="40"/>
      <c r="AM224" s="40"/>
      <c r="AN224" s="40"/>
      <c r="AO224" s="40"/>
      <c r="AP224" s="40"/>
      <c r="AQ224" s="40"/>
      <c r="AR224" s="40"/>
      <c r="AS224" s="40"/>
      <c r="AT224" s="40"/>
      <c r="AU224" s="40"/>
      <c r="AV224" s="40"/>
      <c r="AW224" s="40"/>
      <c r="AX224" s="40"/>
      <c r="AY224" s="40"/>
      <c r="AZ224" s="40"/>
      <c r="BA224" s="40"/>
      <c r="BB224" s="40"/>
      <c r="BC224" s="40"/>
      <c r="BD224" s="40"/>
      <c r="BE224" s="40"/>
      <c r="BF224" s="40"/>
      <c r="BG224" s="40"/>
      <c r="BH224" s="40"/>
      <c r="BI224" s="40"/>
      <c r="BJ224" s="40"/>
      <c r="BK224" s="40"/>
      <c r="BL224" s="40"/>
      <c r="BM224" s="40"/>
      <c r="BN224" s="40"/>
      <c r="BO224" s="40"/>
      <c r="BP224" s="40"/>
      <c r="BQ224" s="40"/>
      <c r="BR224" s="40"/>
      <c r="BS224" s="40"/>
      <c r="BT224" s="40"/>
      <c r="BU224" s="40"/>
      <c r="BV224" s="40"/>
      <c r="BW224" s="40"/>
      <c r="BX224" s="40"/>
      <c r="BY224" s="40"/>
      <c r="BZ224" s="40"/>
      <c r="CA224" s="40"/>
      <c r="CB224" s="40"/>
      <c r="CC224" s="40"/>
      <c r="CD224" s="40"/>
      <c r="CE224" s="40"/>
      <c r="CF224" s="40"/>
      <c r="CG224" s="40"/>
      <c r="CH224" s="40"/>
      <c r="CI224" s="40"/>
      <c r="CJ224" s="40"/>
      <c r="CK224" s="40"/>
      <c r="CL224" s="40"/>
    </row>
    <row r="225" spans="1:90" x14ac:dyDescent="0.25">
      <c r="A225" s="40"/>
      <c r="B225" s="40"/>
      <c r="C225" s="40"/>
      <c r="D225" s="40"/>
      <c r="E225" s="40"/>
      <c r="F225" s="40"/>
      <c r="G225" s="40"/>
      <c r="H225" s="40"/>
      <c r="I225" s="40"/>
      <c r="J225" s="40"/>
      <c r="K225" s="40"/>
      <c r="L225" s="40"/>
      <c r="M225" s="40"/>
      <c r="N225" s="40"/>
      <c r="O225" s="40"/>
      <c r="P225" s="40"/>
      <c r="Q225" s="40"/>
      <c r="R225" s="40"/>
      <c r="S225" s="40"/>
      <c r="T225" s="40"/>
      <c r="U225" s="40"/>
      <c r="V225" s="40"/>
      <c r="W225" s="40"/>
      <c r="X225" s="40"/>
      <c r="Y225" s="40"/>
      <c r="Z225" s="40"/>
      <c r="AA225" s="40"/>
      <c r="AB225" s="40"/>
      <c r="AC225" s="40"/>
      <c r="AD225" s="40"/>
      <c r="AE225" s="40"/>
      <c r="AF225" s="40"/>
      <c r="AG225" s="40"/>
      <c r="AH225" s="40"/>
      <c r="AI225" s="40"/>
      <c r="AJ225" s="40"/>
      <c r="AK225" s="40"/>
      <c r="AL225" s="40"/>
      <c r="AM225" s="40"/>
      <c r="AN225" s="40"/>
      <c r="AO225" s="40"/>
      <c r="AP225" s="40"/>
      <c r="AQ225" s="40"/>
      <c r="AR225" s="40"/>
      <c r="AS225" s="40"/>
      <c r="AT225" s="40"/>
      <c r="AU225" s="40"/>
      <c r="AV225" s="40"/>
      <c r="AW225" s="40"/>
      <c r="AX225" s="40"/>
      <c r="AY225" s="40"/>
      <c r="AZ225" s="40"/>
      <c r="BA225" s="40"/>
      <c r="BB225" s="40"/>
      <c r="BC225" s="40"/>
      <c r="BD225" s="40"/>
      <c r="BE225" s="40"/>
      <c r="BF225" s="40"/>
      <c r="BG225" s="40"/>
      <c r="BH225" s="40"/>
      <c r="BI225" s="40"/>
      <c r="BJ225" s="40"/>
      <c r="BK225" s="40"/>
      <c r="BL225" s="40"/>
      <c r="BM225" s="40"/>
      <c r="BN225" s="40"/>
      <c r="BO225" s="40"/>
      <c r="BP225" s="40"/>
      <c r="BQ225" s="40"/>
      <c r="BR225" s="40"/>
      <c r="BS225" s="40"/>
      <c r="BT225" s="40"/>
      <c r="BU225" s="40"/>
      <c r="BV225" s="40"/>
      <c r="BW225" s="40"/>
      <c r="BX225" s="40"/>
      <c r="BY225" s="40"/>
      <c r="BZ225" s="40"/>
      <c r="CA225" s="40"/>
      <c r="CB225" s="40"/>
      <c r="CC225" s="40"/>
      <c r="CD225" s="40"/>
      <c r="CE225" s="40"/>
      <c r="CF225" s="40"/>
      <c r="CG225" s="40"/>
      <c r="CH225" s="40"/>
      <c r="CI225" s="40"/>
      <c r="CJ225" s="40"/>
      <c r="CK225" s="40"/>
      <c r="CL225" s="40"/>
    </row>
    <row r="226" spans="1:90" x14ac:dyDescent="0.25">
      <c r="A226" s="40"/>
      <c r="B226" s="40"/>
      <c r="C226" s="40"/>
      <c r="D226" s="40"/>
      <c r="E226" s="40"/>
      <c r="F226" s="40"/>
      <c r="G226" s="40"/>
      <c r="H226" s="40"/>
      <c r="I226" s="40"/>
      <c r="J226" s="40"/>
      <c r="K226" s="40"/>
      <c r="L226" s="40"/>
      <c r="M226" s="40"/>
      <c r="N226" s="40"/>
      <c r="O226" s="40"/>
      <c r="P226" s="40"/>
      <c r="Q226" s="40"/>
      <c r="R226" s="40"/>
      <c r="S226" s="40"/>
      <c r="T226" s="40"/>
      <c r="U226" s="40"/>
      <c r="V226" s="40"/>
      <c r="W226" s="40"/>
      <c r="X226" s="40"/>
      <c r="Y226" s="40"/>
      <c r="Z226" s="40"/>
      <c r="AA226" s="40"/>
      <c r="AB226" s="40"/>
      <c r="AC226" s="40"/>
      <c r="AD226" s="40"/>
      <c r="AE226" s="40"/>
      <c r="AF226" s="40"/>
      <c r="AG226" s="40"/>
      <c r="AH226" s="40"/>
      <c r="AI226" s="40"/>
      <c r="AJ226" s="40"/>
      <c r="AK226" s="40"/>
      <c r="AL226" s="40"/>
      <c r="AM226" s="40"/>
      <c r="AN226" s="40"/>
      <c r="AO226" s="40"/>
      <c r="AP226" s="40"/>
      <c r="AQ226" s="40"/>
      <c r="AR226" s="40"/>
      <c r="AS226" s="40"/>
      <c r="AT226" s="40"/>
      <c r="AU226" s="40"/>
      <c r="AV226" s="40"/>
      <c r="AW226" s="40"/>
      <c r="AX226" s="40"/>
      <c r="AY226" s="40"/>
      <c r="AZ226" s="40"/>
      <c r="BA226" s="40"/>
      <c r="BB226" s="40"/>
      <c r="BC226" s="40"/>
      <c r="BD226" s="40"/>
      <c r="BE226" s="40"/>
      <c r="BF226" s="40"/>
      <c r="BG226" s="40"/>
      <c r="BH226" s="40"/>
      <c r="BI226" s="40"/>
      <c r="BJ226" s="40"/>
      <c r="BK226" s="40"/>
      <c r="BL226" s="40"/>
      <c r="BM226" s="40"/>
      <c r="BN226" s="40"/>
      <c r="BO226" s="40"/>
      <c r="BP226" s="40"/>
      <c r="BQ226" s="40"/>
      <c r="BR226" s="40"/>
      <c r="BS226" s="40"/>
      <c r="BT226" s="40"/>
      <c r="BU226" s="40"/>
      <c r="BV226" s="40"/>
      <c r="BW226" s="40"/>
      <c r="BX226" s="40"/>
      <c r="BY226" s="40"/>
      <c r="BZ226" s="40"/>
      <c r="CA226" s="40"/>
      <c r="CB226" s="40"/>
      <c r="CC226" s="40"/>
      <c r="CD226" s="40"/>
      <c r="CE226" s="40"/>
      <c r="CF226" s="40"/>
      <c r="CG226" s="40"/>
      <c r="CH226" s="40"/>
      <c r="CI226" s="40"/>
      <c r="CJ226" s="40"/>
      <c r="CK226" s="40"/>
      <c r="CL226" s="40"/>
    </row>
    <row r="227" spans="1:90" x14ac:dyDescent="0.25">
      <c r="A227" s="40"/>
      <c r="B227" s="40"/>
      <c r="C227" s="40"/>
      <c r="D227" s="40"/>
      <c r="E227" s="40"/>
      <c r="F227" s="40"/>
      <c r="G227" s="40"/>
      <c r="H227" s="40"/>
      <c r="I227" s="40"/>
      <c r="J227" s="40"/>
      <c r="K227" s="40"/>
      <c r="L227" s="40"/>
      <c r="M227" s="40"/>
      <c r="N227" s="40"/>
      <c r="O227" s="40"/>
      <c r="P227" s="40"/>
      <c r="Q227" s="40"/>
      <c r="R227" s="40"/>
      <c r="S227" s="40"/>
      <c r="T227" s="40"/>
      <c r="U227" s="40"/>
      <c r="V227" s="40"/>
      <c r="W227" s="40"/>
      <c r="X227" s="40"/>
      <c r="Y227" s="40"/>
      <c r="Z227" s="40"/>
      <c r="AA227" s="40"/>
      <c r="AB227" s="40"/>
      <c r="AC227" s="40"/>
      <c r="AD227" s="40"/>
      <c r="AE227" s="40"/>
      <c r="AF227" s="40"/>
      <c r="AG227" s="40"/>
      <c r="AH227" s="40"/>
      <c r="AI227" s="40"/>
      <c r="AJ227" s="40"/>
      <c r="AK227" s="40"/>
      <c r="AL227" s="40"/>
      <c r="AM227" s="40"/>
      <c r="AN227" s="40"/>
      <c r="AO227" s="40"/>
      <c r="AP227" s="40"/>
      <c r="AQ227" s="40"/>
      <c r="AR227" s="40"/>
      <c r="AS227" s="40"/>
      <c r="AT227" s="40"/>
      <c r="AU227" s="40"/>
      <c r="AV227" s="40"/>
      <c r="AW227" s="40"/>
      <c r="AX227" s="40"/>
      <c r="AY227" s="40"/>
      <c r="AZ227" s="40"/>
      <c r="BA227" s="40"/>
      <c r="BB227" s="40"/>
      <c r="BC227" s="40"/>
      <c r="BD227" s="40"/>
      <c r="BE227" s="40"/>
      <c r="BF227" s="40"/>
      <c r="BG227" s="40"/>
      <c r="BH227" s="40"/>
      <c r="BI227" s="40"/>
      <c r="BJ227" s="40"/>
      <c r="BK227" s="40"/>
      <c r="BL227" s="40"/>
      <c r="BM227" s="40"/>
      <c r="BN227" s="40"/>
      <c r="BO227" s="40"/>
      <c r="BP227" s="40"/>
      <c r="BQ227" s="40"/>
      <c r="BR227" s="40"/>
      <c r="BS227" s="40"/>
      <c r="BT227" s="40"/>
      <c r="BU227" s="40"/>
      <c r="BV227" s="40"/>
      <c r="BW227" s="40"/>
      <c r="BX227" s="40"/>
      <c r="BY227" s="40"/>
      <c r="BZ227" s="40"/>
      <c r="CA227" s="40"/>
      <c r="CB227" s="40"/>
      <c r="CC227" s="40"/>
      <c r="CD227" s="40"/>
      <c r="CE227" s="40"/>
      <c r="CF227" s="40"/>
      <c r="CG227" s="40"/>
      <c r="CH227" s="40"/>
      <c r="CI227" s="40"/>
      <c r="CJ227" s="40"/>
      <c r="CK227" s="40"/>
      <c r="CL227" s="40"/>
    </row>
    <row r="228" spans="1:90" x14ac:dyDescent="0.25">
      <c r="A228" s="40"/>
      <c r="B228" s="40"/>
      <c r="C228" s="40"/>
      <c r="D228" s="40"/>
      <c r="E228" s="40"/>
      <c r="F228" s="40"/>
      <c r="G228" s="40"/>
      <c r="H228" s="40"/>
      <c r="I228" s="40"/>
      <c r="J228" s="40"/>
      <c r="K228" s="40"/>
      <c r="L228" s="40"/>
      <c r="M228" s="40"/>
      <c r="N228" s="40"/>
      <c r="O228" s="40"/>
      <c r="P228" s="40"/>
      <c r="Q228" s="40"/>
      <c r="R228" s="40"/>
      <c r="S228" s="40"/>
      <c r="T228" s="40"/>
      <c r="U228" s="40"/>
      <c r="V228" s="40"/>
      <c r="W228" s="40"/>
      <c r="X228" s="40"/>
      <c r="Y228" s="40"/>
      <c r="Z228" s="40"/>
      <c r="AA228" s="40"/>
      <c r="AB228" s="40"/>
      <c r="AC228" s="40"/>
      <c r="AD228" s="40"/>
      <c r="AE228" s="40"/>
      <c r="AF228" s="40"/>
      <c r="AG228" s="40"/>
      <c r="AH228" s="40"/>
      <c r="AI228" s="40"/>
      <c r="AJ228" s="40"/>
      <c r="AK228" s="40"/>
      <c r="AL228" s="40"/>
      <c r="AM228" s="40"/>
      <c r="AN228" s="40"/>
      <c r="AO228" s="40"/>
      <c r="AP228" s="40"/>
      <c r="AQ228" s="40"/>
      <c r="AR228" s="40"/>
      <c r="AS228" s="40"/>
      <c r="AT228" s="40"/>
      <c r="AU228" s="40"/>
      <c r="AV228" s="40"/>
      <c r="AW228" s="40"/>
      <c r="AX228" s="40"/>
      <c r="AY228" s="40"/>
      <c r="AZ228" s="40"/>
      <c r="BA228" s="40"/>
      <c r="BB228" s="40"/>
      <c r="BC228" s="40"/>
      <c r="BD228" s="40"/>
      <c r="BE228" s="40"/>
      <c r="BF228" s="40"/>
      <c r="BG228" s="40"/>
      <c r="BH228" s="40"/>
      <c r="BI228" s="40"/>
      <c r="BJ228" s="40"/>
      <c r="BK228" s="40"/>
      <c r="BL228" s="40"/>
      <c r="BM228" s="40"/>
      <c r="BN228" s="40"/>
      <c r="BO228" s="40"/>
      <c r="BP228" s="40"/>
      <c r="BQ228" s="40"/>
      <c r="BR228" s="40"/>
      <c r="BS228" s="40"/>
      <c r="BT228" s="40"/>
      <c r="BU228" s="40"/>
      <c r="BV228" s="40"/>
      <c r="BW228" s="40"/>
      <c r="BX228" s="40"/>
      <c r="BY228" s="40"/>
      <c r="BZ228" s="40"/>
      <c r="CA228" s="40"/>
      <c r="CB228" s="40"/>
      <c r="CC228" s="40"/>
      <c r="CD228" s="40"/>
      <c r="CE228" s="40"/>
      <c r="CF228" s="40"/>
      <c r="CG228" s="40"/>
      <c r="CH228" s="40"/>
      <c r="CI228" s="40"/>
      <c r="CJ228" s="40"/>
      <c r="CK228" s="40"/>
      <c r="CL228" s="40"/>
    </row>
    <row r="229" spans="1:90" x14ac:dyDescent="0.25">
      <c r="A229" s="40"/>
      <c r="B229" s="40"/>
      <c r="C229" s="40"/>
      <c r="D229" s="40"/>
      <c r="E229" s="40"/>
      <c r="F229" s="40"/>
      <c r="G229" s="40"/>
      <c r="H229" s="40"/>
      <c r="I229" s="40"/>
      <c r="J229" s="40"/>
      <c r="K229" s="40"/>
      <c r="L229" s="40"/>
      <c r="M229" s="40"/>
      <c r="N229" s="40"/>
      <c r="O229" s="40"/>
      <c r="P229" s="40"/>
      <c r="Q229" s="40"/>
      <c r="R229" s="40"/>
      <c r="S229" s="40"/>
      <c r="T229" s="40"/>
      <c r="U229" s="40"/>
      <c r="V229" s="40"/>
      <c r="W229" s="40"/>
      <c r="X229" s="40"/>
      <c r="Y229" s="40"/>
      <c r="Z229" s="40"/>
      <c r="AA229" s="40"/>
      <c r="AB229" s="40"/>
      <c r="AC229" s="40"/>
      <c r="AD229" s="40"/>
      <c r="AE229" s="40"/>
      <c r="AF229" s="40"/>
      <c r="AG229" s="40"/>
      <c r="AH229" s="40"/>
      <c r="AI229" s="40"/>
      <c r="AJ229" s="40"/>
      <c r="AK229" s="40"/>
      <c r="AL229" s="40"/>
      <c r="AM229" s="40"/>
      <c r="AN229" s="40"/>
      <c r="AO229" s="40"/>
      <c r="AP229" s="40"/>
      <c r="AQ229" s="40"/>
      <c r="AR229" s="40"/>
      <c r="AS229" s="40"/>
      <c r="AT229" s="40"/>
      <c r="AU229" s="40"/>
      <c r="AV229" s="40"/>
      <c r="AW229" s="40"/>
      <c r="AX229" s="40"/>
      <c r="AY229" s="40"/>
      <c r="AZ229" s="40"/>
      <c r="BA229" s="40"/>
      <c r="BB229" s="40"/>
      <c r="BC229" s="40"/>
      <c r="BD229" s="40"/>
      <c r="BE229" s="40"/>
      <c r="BF229" s="40"/>
      <c r="BG229" s="40"/>
      <c r="BH229" s="40"/>
      <c r="BI229" s="40"/>
      <c r="BJ229" s="40"/>
      <c r="BK229" s="40"/>
      <c r="BL229" s="40"/>
      <c r="BM229" s="40"/>
      <c r="BN229" s="40"/>
      <c r="BO229" s="40"/>
      <c r="BP229" s="40"/>
      <c r="BQ229" s="40"/>
      <c r="BR229" s="40"/>
      <c r="BS229" s="40"/>
      <c r="BT229" s="40"/>
      <c r="BU229" s="40"/>
      <c r="BV229" s="40"/>
      <c r="BW229" s="40"/>
      <c r="BX229" s="40"/>
      <c r="BY229" s="40"/>
      <c r="BZ229" s="40"/>
      <c r="CA229" s="40"/>
      <c r="CB229" s="40"/>
      <c r="CC229" s="40"/>
      <c r="CD229" s="40"/>
      <c r="CE229" s="40"/>
      <c r="CF229" s="40"/>
      <c r="CG229" s="40"/>
      <c r="CH229" s="40"/>
      <c r="CI229" s="40"/>
      <c r="CJ229" s="40"/>
      <c r="CK229" s="40"/>
      <c r="CL229" s="40"/>
    </row>
    <row r="230" spans="1:90" x14ac:dyDescent="0.25">
      <c r="A230" s="40"/>
      <c r="B230" s="40"/>
      <c r="C230" s="40"/>
      <c r="D230" s="40"/>
      <c r="E230" s="40"/>
      <c r="F230" s="40"/>
      <c r="G230" s="40"/>
      <c r="H230" s="40"/>
      <c r="I230" s="40"/>
      <c r="J230" s="40"/>
      <c r="K230" s="40"/>
      <c r="L230" s="40"/>
      <c r="M230" s="40"/>
      <c r="N230" s="40"/>
      <c r="O230" s="40"/>
      <c r="P230" s="40"/>
      <c r="Q230" s="40"/>
      <c r="R230" s="40"/>
      <c r="S230" s="40"/>
      <c r="T230" s="40"/>
      <c r="U230" s="40"/>
      <c r="V230" s="40"/>
      <c r="W230" s="40"/>
      <c r="X230" s="40"/>
      <c r="Y230" s="40"/>
      <c r="Z230" s="40"/>
      <c r="AA230" s="40"/>
      <c r="AB230" s="40"/>
      <c r="AC230" s="40"/>
      <c r="AD230" s="40"/>
      <c r="AE230" s="40"/>
      <c r="AF230" s="40"/>
      <c r="AG230" s="40"/>
      <c r="AH230" s="40"/>
      <c r="AI230" s="40"/>
      <c r="AJ230" s="40"/>
      <c r="AK230" s="40"/>
      <c r="AL230" s="40"/>
      <c r="AM230" s="40"/>
      <c r="AN230" s="40"/>
      <c r="AO230" s="40"/>
      <c r="AP230" s="40"/>
      <c r="AQ230" s="40"/>
      <c r="AR230" s="40"/>
      <c r="AS230" s="40"/>
      <c r="AT230" s="40"/>
      <c r="AU230" s="40"/>
      <c r="AV230" s="40"/>
      <c r="AW230" s="40"/>
      <c r="AX230" s="40"/>
      <c r="AY230" s="40"/>
      <c r="AZ230" s="40"/>
      <c r="BA230" s="40"/>
      <c r="BB230" s="40"/>
      <c r="BC230" s="40"/>
      <c r="BD230" s="40"/>
      <c r="BE230" s="40"/>
      <c r="BF230" s="40"/>
      <c r="BG230" s="40"/>
      <c r="BH230" s="40"/>
      <c r="BI230" s="40"/>
      <c r="BJ230" s="40"/>
      <c r="BK230" s="40"/>
      <c r="BL230" s="40"/>
      <c r="BM230" s="40"/>
      <c r="BN230" s="40"/>
      <c r="BO230" s="40"/>
      <c r="BP230" s="40"/>
      <c r="BQ230" s="40"/>
      <c r="BR230" s="40"/>
      <c r="BS230" s="40"/>
      <c r="BT230" s="40"/>
      <c r="BU230" s="40"/>
      <c r="BV230" s="40"/>
      <c r="BW230" s="40"/>
      <c r="BX230" s="40"/>
      <c r="BY230" s="40"/>
      <c r="BZ230" s="40"/>
      <c r="CA230" s="40"/>
      <c r="CB230" s="40"/>
      <c r="CC230" s="40"/>
      <c r="CD230" s="40"/>
      <c r="CE230" s="40"/>
      <c r="CF230" s="40"/>
      <c r="CG230" s="40"/>
      <c r="CH230" s="40"/>
      <c r="CI230" s="40"/>
      <c r="CJ230" s="40"/>
      <c r="CK230" s="40"/>
      <c r="CL230" s="40"/>
    </row>
    <row r="231" spans="1:90" x14ac:dyDescent="0.25">
      <c r="A231" s="40"/>
      <c r="B231" s="40"/>
      <c r="C231" s="40"/>
      <c r="D231" s="40"/>
      <c r="E231" s="40"/>
      <c r="F231" s="40"/>
      <c r="G231" s="40"/>
      <c r="H231" s="40"/>
      <c r="I231" s="40"/>
      <c r="J231" s="40"/>
      <c r="K231" s="40"/>
      <c r="L231" s="40"/>
      <c r="M231" s="40"/>
      <c r="N231" s="40"/>
      <c r="O231" s="40"/>
      <c r="P231" s="40"/>
      <c r="Q231" s="40"/>
      <c r="R231" s="40"/>
      <c r="S231" s="40"/>
      <c r="T231" s="40"/>
      <c r="U231" s="40"/>
      <c r="V231" s="40"/>
      <c r="W231" s="40"/>
      <c r="X231" s="40"/>
      <c r="Y231" s="40"/>
      <c r="Z231" s="40"/>
      <c r="AA231" s="40"/>
      <c r="AB231" s="40"/>
      <c r="AC231" s="40"/>
      <c r="AD231" s="40"/>
      <c r="AE231" s="40"/>
      <c r="AF231" s="40"/>
      <c r="AG231" s="40"/>
      <c r="AH231" s="40"/>
      <c r="AI231" s="40"/>
      <c r="AJ231" s="40"/>
      <c r="AK231" s="40"/>
      <c r="AL231" s="40"/>
      <c r="AM231" s="40"/>
      <c r="AN231" s="40"/>
      <c r="AO231" s="40"/>
      <c r="AP231" s="40"/>
      <c r="AQ231" s="40"/>
      <c r="AR231" s="40"/>
      <c r="AS231" s="40"/>
      <c r="AT231" s="40"/>
      <c r="AU231" s="40"/>
      <c r="AV231" s="40"/>
      <c r="AW231" s="40"/>
      <c r="AX231" s="40"/>
      <c r="AY231" s="40"/>
      <c r="AZ231" s="40"/>
      <c r="BA231" s="40"/>
      <c r="BB231" s="40"/>
      <c r="BC231" s="40"/>
      <c r="BD231" s="40"/>
      <c r="BE231" s="40"/>
      <c r="BF231" s="40"/>
      <c r="BG231" s="40"/>
      <c r="BH231" s="40"/>
      <c r="BI231" s="40"/>
      <c r="BJ231" s="40"/>
      <c r="BK231" s="40"/>
      <c r="BL231" s="40"/>
      <c r="BM231" s="40"/>
      <c r="BN231" s="40"/>
      <c r="BO231" s="40"/>
      <c r="BP231" s="40"/>
      <c r="BQ231" s="40"/>
      <c r="BR231" s="40"/>
      <c r="BS231" s="40"/>
      <c r="BT231" s="40"/>
      <c r="BU231" s="40"/>
      <c r="BV231" s="40"/>
      <c r="BW231" s="40"/>
      <c r="BX231" s="40"/>
      <c r="BY231" s="40"/>
      <c r="BZ231" s="40"/>
      <c r="CA231" s="40"/>
      <c r="CB231" s="40"/>
      <c r="CC231" s="40"/>
      <c r="CD231" s="40"/>
      <c r="CE231" s="40"/>
      <c r="CF231" s="40"/>
      <c r="CG231" s="40"/>
      <c r="CH231" s="40"/>
      <c r="CI231" s="40"/>
      <c r="CJ231" s="40"/>
      <c r="CK231" s="40"/>
      <c r="CL231" s="40"/>
    </row>
    <row r="232" spans="1:90" x14ac:dyDescent="0.25">
      <c r="A232" s="40"/>
      <c r="B232" s="40"/>
      <c r="C232" s="40"/>
      <c r="D232" s="40"/>
      <c r="E232" s="40"/>
      <c r="F232" s="40"/>
      <c r="G232" s="40"/>
      <c r="H232" s="40"/>
      <c r="I232" s="40"/>
      <c r="J232" s="40"/>
      <c r="K232" s="40"/>
      <c r="L232" s="40"/>
      <c r="M232" s="40"/>
      <c r="N232" s="40"/>
      <c r="O232" s="40"/>
      <c r="P232" s="40"/>
      <c r="Q232" s="40"/>
      <c r="R232" s="40"/>
      <c r="S232" s="40"/>
      <c r="T232" s="40"/>
      <c r="U232" s="40"/>
      <c r="V232" s="40"/>
      <c r="W232" s="40"/>
      <c r="X232" s="40"/>
      <c r="Y232" s="40"/>
      <c r="Z232" s="40"/>
      <c r="AA232" s="40"/>
      <c r="AB232" s="40"/>
      <c r="AC232" s="40"/>
      <c r="AD232" s="40"/>
      <c r="AE232" s="40"/>
      <c r="AF232" s="40"/>
      <c r="AG232" s="40"/>
      <c r="AH232" s="40"/>
      <c r="AI232" s="40"/>
      <c r="AJ232" s="40"/>
      <c r="AK232" s="40"/>
      <c r="AL232" s="40"/>
      <c r="AM232" s="40"/>
      <c r="AN232" s="40"/>
      <c r="AO232" s="40"/>
      <c r="AP232" s="40"/>
      <c r="AQ232" s="40"/>
      <c r="AR232" s="40"/>
      <c r="AS232" s="40"/>
      <c r="AT232" s="40"/>
      <c r="AU232" s="40"/>
      <c r="AV232" s="40"/>
      <c r="AW232" s="40"/>
      <c r="AX232" s="40"/>
      <c r="AY232" s="40"/>
      <c r="AZ232" s="40"/>
      <c r="BA232" s="40"/>
      <c r="BB232" s="40"/>
      <c r="BC232" s="40"/>
      <c r="BD232" s="40"/>
      <c r="BE232" s="40"/>
      <c r="BF232" s="40"/>
      <c r="BG232" s="40"/>
      <c r="BH232" s="40"/>
      <c r="BI232" s="40"/>
      <c r="BJ232" s="40"/>
      <c r="BK232" s="40"/>
      <c r="BL232" s="40"/>
      <c r="BM232" s="40"/>
      <c r="BN232" s="40"/>
      <c r="BO232" s="40"/>
      <c r="BP232" s="40"/>
      <c r="BQ232" s="40"/>
      <c r="BR232" s="40"/>
      <c r="BS232" s="40"/>
      <c r="BT232" s="40"/>
      <c r="BU232" s="40"/>
      <c r="BV232" s="40"/>
      <c r="BW232" s="40"/>
      <c r="BX232" s="40"/>
      <c r="BY232" s="40"/>
      <c r="BZ232" s="40"/>
      <c r="CA232" s="40"/>
      <c r="CB232" s="40"/>
      <c r="CC232" s="40"/>
      <c r="CD232" s="40"/>
      <c r="CE232" s="40"/>
      <c r="CF232" s="40"/>
      <c r="CG232" s="40"/>
      <c r="CH232" s="40"/>
      <c r="CI232" s="40"/>
      <c r="CJ232" s="40"/>
      <c r="CK232" s="40"/>
      <c r="CL232" s="40"/>
    </row>
    <row r="233" spans="1:90" x14ac:dyDescent="0.25">
      <c r="A233" s="40"/>
      <c r="B233" s="40"/>
      <c r="C233" s="40"/>
      <c r="D233" s="40"/>
      <c r="E233" s="40"/>
      <c r="F233" s="40"/>
      <c r="G233" s="40"/>
      <c r="H233" s="40"/>
      <c r="I233" s="40"/>
      <c r="J233" s="40"/>
      <c r="K233" s="40"/>
      <c r="L233" s="40"/>
      <c r="M233" s="40"/>
      <c r="N233" s="40"/>
      <c r="O233" s="40"/>
      <c r="P233" s="40"/>
      <c r="Q233" s="40"/>
      <c r="R233" s="40"/>
      <c r="S233" s="40"/>
      <c r="T233" s="40"/>
      <c r="U233" s="40"/>
      <c r="V233" s="40"/>
      <c r="W233" s="40"/>
      <c r="X233" s="40"/>
      <c r="Y233" s="40"/>
      <c r="Z233" s="40"/>
      <c r="AA233" s="40"/>
      <c r="AB233" s="40"/>
      <c r="AC233" s="40"/>
      <c r="AD233" s="40"/>
      <c r="AE233" s="40"/>
      <c r="AF233" s="40"/>
      <c r="AG233" s="40"/>
      <c r="AH233" s="40"/>
      <c r="AI233" s="40"/>
      <c r="AJ233" s="40"/>
      <c r="AK233" s="40"/>
      <c r="AL233" s="40"/>
      <c r="AM233" s="40"/>
      <c r="AN233" s="40"/>
      <c r="AO233" s="40"/>
      <c r="AP233" s="40"/>
      <c r="AQ233" s="40"/>
      <c r="AR233" s="40"/>
      <c r="AS233" s="40"/>
      <c r="AT233" s="40"/>
      <c r="AU233" s="40"/>
      <c r="AV233" s="40"/>
      <c r="AW233" s="40"/>
      <c r="AX233" s="40"/>
      <c r="AY233" s="40"/>
      <c r="AZ233" s="40"/>
      <c r="BA233" s="40"/>
      <c r="BB233" s="40"/>
      <c r="BC233" s="40"/>
      <c r="BD233" s="40"/>
      <c r="BE233" s="40"/>
      <c r="BF233" s="40"/>
      <c r="BG233" s="40"/>
      <c r="BH233" s="40"/>
      <c r="BI233" s="40"/>
      <c r="BJ233" s="40"/>
      <c r="BK233" s="40"/>
      <c r="BL233" s="40"/>
      <c r="BM233" s="40"/>
      <c r="BN233" s="40"/>
      <c r="BO233" s="40"/>
      <c r="BP233" s="40"/>
      <c r="BQ233" s="40"/>
      <c r="BR233" s="40"/>
      <c r="BS233" s="40"/>
      <c r="BT233" s="40"/>
      <c r="BU233" s="40"/>
      <c r="BV233" s="40"/>
      <c r="BW233" s="40"/>
      <c r="BX233" s="40"/>
      <c r="BY233" s="40"/>
      <c r="BZ233" s="40"/>
      <c r="CA233" s="40"/>
      <c r="CB233" s="40"/>
      <c r="CC233" s="40"/>
      <c r="CD233" s="40"/>
      <c r="CE233" s="40"/>
      <c r="CF233" s="40"/>
      <c r="CG233" s="40"/>
      <c r="CH233" s="40"/>
      <c r="CI233" s="40"/>
      <c r="CJ233" s="40"/>
      <c r="CK233" s="40"/>
      <c r="CL233" s="40"/>
    </row>
    <row r="234" spans="1:90" x14ac:dyDescent="0.25">
      <c r="A234" s="40"/>
      <c r="B234" s="40"/>
      <c r="C234" s="40"/>
      <c r="D234" s="40"/>
      <c r="E234" s="40"/>
      <c r="F234" s="40"/>
      <c r="G234" s="40"/>
      <c r="H234" s="40"/>
      <c r="I234" s="40"/>
      <c r="J234" s="40"/>
      <c r="K234" s="40"/>
      <c r="L234" s="40"/>
      <c r="M234" s="40"/>
      <c r="N234" s="40"/>
      <c r="O234" s="40"/>
      <c r="P234" s="40"/>
      <c r="Q234" s="40"/>
      <c r="R234" s="40"/>
      <c r="S234" s="40"/>
      <c r="T234" s="40"/>
      <c r="U234" s="40"/>
      <c r="V234" s="40"/>
      <c r="W234" s="40"/>
      <c r="X234" s="40"/>
      <c r="Y234" s="40"/>
      <c r="Z234" s="40"/>
      <c r="AA234" s="40"/>
      <c r="AB234" s="40"/>
      <c r="AC234" s="40"/>
      <c r="AD234" s="40"/>
      <c r="AE234" s="40"/>
      <c r="AF234" s="40"/>
      <c r="AG234" s="40"/>
      <c r="AH234" s="40"/>
      <c r="AI234" s="40"/>
      <c r="AJ234" s="40"/>
      <c r="AK234" s="40"/>
      <c r="AL234" s="40"/>
      <c r="AM234" s="40"/>
      <c r="AN234" s="40"/>
      <c r="AO234" s="40"/>
      <c r="AP234" s="40"/>
      <c r="AQ234" s="40"/>
      <c r="AR234" s="40"/>
      <c r="AS234" s="40"/>
      <c r="AT234" s="40"/>
      <c r="AU234" s="40"/>
      <c r="AV234" s="40"/>
      <c r="AW234" s="40"/>
      <c r="AX234" s="40"/>
      <c r="AY234" s="40"/>
      <c r="AZ234" s="40"/>
      <c r="BA234" s="40"/>
      <c r="BB234" s="40"/>
      <c r="BC234" s="40"/>
      <c r="BD234" s="40"/>
      <c r="BE234" s="40"/>
      <c r="BF234" s="40"/>
      <c r="BG234" s="40"/>
      <c r="BH234" s="40"/>
      <c r="BI234" s="40"/>
      <c r="BJ234" s="40"/>
      <c r="BK234" s="40"/>
      <c r="BL234" s="40"/>
      <c r="BM234" s="40"/>
      <c r="BN234" s="40"/>
      <c r="BO234" s="40"/>
      <c r="BP234" s="40"/>
      <c r="BQ234" s="40"/>
      <c r="BR234" s="40"/>
      <c r="BS234" s="40"/>
      <c r="BT234" s="40"/>
      <c r="BU234" s="40"/>
      <c r="BV234" s="40"/>
      <c r="BW234" s="40"/>
      <c r="BX234" s="40"/>
      <c r="BY234" s="40"/>
      <c r="BZ234" s="40"/>
      <c r="CA234" s="40"/>
      <c r="CB234" s="40"/>
      <c r="CC234" s="40"/>
      <c r="CD234" s="40"/>
      <c r="CE234" s="40"/>
      <c r="CF234" s="40"/>
      <c r="CG234" s="40"/>
      <c r="CH234" s="40"/>
      <c r="CI234" s="40"/>
      <c r="CJ234" s="40"/>
      <c r="CK234" s="40"/>
      <c r="CL234" s="40"/>
    </row>
    <row r="235" spans="1:90" x14ac:dyDescent="0.25">
      <c r="A235" s="40"/>
      <c r="B235" s="40"/>
      <c r="C235" s="40"/>
      <c r="D235" s="40"/>
      <c r="E235" s="40"/>
      <c r="F235" s="40"/>
      <c r="G235" s="40"/>
      <c r="H235" s="40"/>
      <c r="I235" s="40"/>
      <c r="J235" s="40"/>
      <c r="K235" s="40"/>
      <c r="L235" s="40"/>
      <c r="M235" s="40"/>
      <c r="N235" s="40"/>
      <c r="O235" s="40"/>
      <c r="P235" s="40"/>
      <c r="Q235" s="40"/>
      <c r="R235" s="40"/>
      <c r="S235" s="40"/>
      <c r="T235" s="40"/>
      <c r="U235" s="40"/>
      <c r="V235" s="40"/>
      <c r="W235" s="40"/>
      <c r="X235" s="40"/>
      <c r="Y235" s="40"/>
      <c r="Z235" s="40"/>
      <c r="AA235" s="40"/>
      <c r="AB235" s="40"/>
      <c r="AC235" s="40"/>
      <c r="AD235" s="40"/>
      <c r="AE235" s="40"/>
      <c r="AF235" s="40"/>
      <c r="AG235" s="40"/>
      <c r="AH235" s="40"/>
      <c r="AI235" s="40"/>
      <c r="AJ235" s="40"/>
      <c r="AK235" s="40"/>
      <c r="AL235" s="40"/>
      <c r="AM235" s="40"/>
      <c r="AN235" s="40"/>
      <c r="AO235" s="40"/>
      <c r="AP235" s="40"/>
      <c r="AQ235" s="40"/>
      <c r="AR235" s="40"/>
      <c r="AS235" s="40"/>
      <c r="AT235" s="40"/>
      <c r="AU235" s="40"/>
      <c r="AV235" s="40"/>
      <c r="AW235" s="40"/>
      <c r="AX235" s="40"/>
      <c r="AY235" s="40"/>
      <c r="AZ235" s="40"/>
      <c r="BA235" s="40"/>
      <c r="BB235" s="40"/>
      <c r="BC235" s="40"/>
      <c r="BD235" s="40"/>
      <c r="BE235" s="40"/>
      <c r="BF235" s="40"/>
      <c r="BG235" s="40"/>
      <c r="BH235" s="40"/>
      <c r="BI235" s="40"/>
      <c r="BJ235" s="40"/>
      <c r="BK235" s="40"/>
      <c r="BL235" s="40"/>
      <c r="BM235" s="40"/>
      <c r="BN235" s="40"/>
      <c r="BO235" s="40"/>
      <c r="BP235" s="40"/>
      <c r="BQ235" s="40"/>
      <c r="BR235" s="40"/>
      <c r="BS235" s="40"/>
      <c r="BT235" s="40"/>
      <c r="BU235" s="40"/>
      <c r="BV235" s="40"/>
      <c r="BW235" s="40"/>
      <c r="BX235" s="40"/>
      <c r="BY235" s="40"/>
      <c r="BZ235" s="40"/>
      <c r="CA235" s="40"/>
      <c r="CB235" s="40"/>
      <c r="CC235" s="40"/>
      <c r="CD235" s="40"/>
      <c r="CE235" s="40"/>
      <c r="CF235" s="40"/>
      <c r="CG235" s="40"/>
      <c r="CH235" s="40"/>
      <c r="CI235" s="40"/>
      <c r="CJ235" s="40"/>
      <c r="CK235" s="40"/>
      <c r="CL235" s="40"/>
    </row>
    <row r="236" spans="1:90" x14ac:dyDescent="0.25">
      <c r="A236" s="40"/>
      <c r="B236" s="40"/>
      <c r="C236" s="40"/>
      <c r="D236" s="40"/>
      <c r="E236" s="40"/>
      <c r="F236" s="40"/>
      <c r="G236" s="40"/>
      <c r="H236" s="40"/>
      <c r="I236" s="40"/>
      <c r="J236" s="40"/>
      <c r="K236" s="40"/>
      <c r="L236" s="40"/>
      <c r="M236" s="40"/>
      <c r="N236" s="40"/>
      <c r="O236" s="40"/>
      <c r="P236" s="40"/>
      <c r="Q236" s="40"/>
      <c r="R236" s="40"/>
      <c r="S236" s="40"/>
      <c r="T236" s="40"/>
      <c r="U236" s="40"/>
      <c r="V236" s="40"/>
      <c r="W236" s="40"/>
      <c r="X236" s="40"/>
      <c r="Y236" s="40"/>
      <c r="Z236" s="40"/>
      <c r="AA236" s="40"/>
      <c r="AB236" s="40"/>
      <c r="AC236" s="40"/>
      <c r="AD236" s="40"/>
      <c r="AE236" s="40"/>
      <c r="AF236" s="40"/>
      <c r="AG236" s="40"/>
      <c r="AH236" s="40"/>
      <c r="AI236" s="40"/>
      <c r="AJ236" s="40"/>
      <c r="AK236" s="40"/>
      <c r="AL236" s="40"/>
      <c r="AM236" s="40"/>
      <c r="AN236" s="40"/>
      <c r="AO236" s="40"/>
      <c r="AP236" s="40"/>
      <c r="AQ236" s="40"/>
      <c r="AR236" s="40"/>
      <c r="AS236" s="40"/>
      <c r="AT236" s="40"/>
      <c r="AU236" s="40"/>
      <c r="AV236" s="40"/>
      <c r="AW236" s="40"/>
      <c r="AX236" s="40"/>
      <c r="AY236" s="40"/>
      <c r="AZ236" s="40"/>
      <c r="BA236" s="40"/>
      <c r="BB236" s="40"/>
      <c r="BC236" s="40"/>
      <c r="BD236" s="40"/>
      <c r="BE236" s="40"/>
      <c r="BF236" s="40"/>
      <c r="BG236" s="40"/>
      <c r="BH236" s="40"/>
      <c r="BI236" s="40"/>
      <c r="BJ236" s="40"/>
      <c r="BK236" s="40"/>
      <c r="BL236" s="40"/>
      <c r="BM236" s="40"/>
      <c r="BN236" s="40"/>
      <c r="BO236" s="40"/>
      <c r="BP236" s="40"/>
      <c r="BQ236" s="40"/>
      <c r="BR236" s="40"/>
      <c r="BS236" s="40"/>
      <c r="BT236" s="40"/>
      <c r="BU236" s="40"/>
      <c r="BV236" s="40"/>
      <c r="BW236" s="40"/>
      <c r="BX236" s="40"/>
      <c r="BY236" s="40"/>
      <c r="BZ236" s="40"/>
      <c r="CA236" s="40"/>
      <c r="CB236" s="40"/>
      <c r="CC236" s="40"/>
      <c r="CD236" s="40"/>
      <c r="CE236" s="40"/>
      <c r="CF236" s="40"/>
      <c r="CG236" s="40"/>
      <c r="CH236" s="40"/>
      <c r="CI236" s="40"/>
      <c r="CJ236" s="40"/>
      <c r="CK236" s="40"/>
      <c r="CL236" s="40"/>
    </row>
    <row r="237" spans="1:90" x14ac:dyDescent="0.25">
      <c r="A237" s="40"/>
      <c r="B237" s="40"/>
      <c r="C237" s="40"/>
      <c r="D237" s="40"/>
      <c r="E237" s="40"/>
      <c r="F237" s="40"/>
      <c r="G237" s="40"/>
      <c r="H237" s="40"/>
      <c r="I237" s="40"/>
      <c r="J237" s="40"/>
      <c r="K237" s="40"/>
      <c r="L237" s="40"/>
      <c r="M237" s="40"/>
      <c r="N237" s="40"/>
      <c r="O237" s="40"/>
      <c r="P237" s="40"/>
      <c r="Q237" s="40"/>
      <c r="R237" s="40"/>
      <c r="S237" s="40"/>
      <c r="T237" s="40"/>
      <c r="U237" s="40"/>
      <c r="V237" s="40"/>
      <c r="W237" s="40"/>
      <c r="X237" s="40"/>
      <c r="Y237" s="40"/>
      <c r="Z237" s="40"/>
      <c r="AA237" s="40"/>
      <c r="AB237" s="40"/>
      <c r="AC237" s="40"/>
      <c r="AD237" s="40"/>
      <c r="AE237" s="40"/>
      <c r="AF237" s="40"/>
      <c r="AG237" s="40"/>
      <c r="AH237" s="40"/>
      <c r="AI237" s="40"/>
      <c r="AJ237" s="40"/>
      <c r="AK237" s="40"/>
      <c r="AL237" s="40"/>
      <c r="AM237" s="40"/>
      <c r="AN237" s="40"/>
      <c r="AO237" s="40"/>
      <c r="AP237" s="40"/>
      <c r="AQ237" s="40"/>
      <c r="AR237" s="40"/>
      <c r="AS237" s="40"/>
      <c r="AT237" s="40"/>
      <c r="AU237" s="40"/>
      <c r="AV237" s="40"/>
      <c r="AW237" s="40"/>
      <c r="AX237" s="40"/>
      <c r="AY237" s="40"/>
      <c r="AZ237" s="40"/>
      <c r="BA237" s="40"/>
      <c r="BB237" s="40"/>
      <c r="BC237" s="40"/>
      <c r="BD237" s="40"/>
      <c r="BE237" s="40"/>
      <c r="BF237" s="40"/>
      <c r="BG237" s="40"/>
      <c r="BH237" s="40"/>
      <c r="BI237" s="40"/>
      <c r="BJ237" s="40"/>
      <c r="BK237" s="40"/>
      <c r="BL237" s="40"/>
      <c r="BM237" s="40"/>
      <c r="BN237" s="40"/>
      <c r="BO237" s="40"/>
      <c r="BP237" s="40"/>
      <c r="BQ237" s="40"/>
      <c r="BR237" s="40"/>
      <c r="BS237" s="40"/>
      <c r="BT237" s="40"/>
      <c r="BU237" s="40"/>
      <c r="BV237" s="40"/>
      <c r="BW237" s="40"/>
      <c r="BX237" s="40"/>
      <c r="BY237" s="40"/>
      <c r="BZ237" s="40"/>
      <c r="CA237" s="40"/>
      <c r="CB237" s="40"/>
      <c r="CC237" s="40"/>
      <c r="CD237" s="40"/>
      <c r="CE237" s="40"/>
      <c r="CF237" s="40"/>
      <c r="CG237" s="40"/>
      <c r="CH237" s="40"/>
      <c r="CI237" s="40"/>
      <c r="CJ237" s="40"/>
      <c r="CK237" s="40"/>
      <c r="CL237" s="40"/>
    </row>
    <row r="238" spans="1:90" x14ac:dyDescent="0.25">
      <c r="A238" s="40"/>
      <c r="B238" s="40"/>
      <c r="C238" s="40"/>
      <c r="D238" s="40"/>
      <c r="E238" s="40"/>
      <c r="F238" s="40"/>
      <c r="G238" s="40"/>
      <c r="H238" s="40"/>
      <c r="I238" s="40"/>
      <c r="J238" s="40"/>
      <c r="K238" s="40"/>
      <c r="L238" s="40"/>
      <c r="M238" s="40"/>
      <c r="N238" s="40"/>
      <c r="O238" s="40"/>
      <c r="P238" s="40"/>
      <c r="Q238" s="40"/>
      <c r="R238" s="40"/>
      <c r="S238" s="40"/>
      <c r="T238" s="40"/>
      <c r="U238" s="40"/>
      <c r="V238" s="40"/>
      <c r="W238" s="40"/>
      <c r="X238" s="40"/>
      <c r="Y238" s="40"/>
      <c r="Z238" s="40"/>
      <c r="AA238" s="40"/>
      <c r="AB238" s="40"/>
      <c r="AC238" s="40"/>
      <c r="AD238" s="40"/>
      <c r="AE238" s="40"/>
      <c r="AF238" s="40"/>
      <c r="AG238" s="40"/>
      <c r="AH238" s="40"/>
      <c r="AI238" s="40"/>
      <c r="AJ238" s="40"/>
      <c r="AK238" s="40"/>
      <c r="AL238" s="40"/>
      <c r="AM238" s="40"/>
      <c r="AN238" s="40"/>
      <c r="AO238" s="40"/>
      <c r="AP238" s="40"/>
      <c r="AQ238" s="40"/>
      <c r="AR238" s="40"/>
      <c r="AS238" s="40"/>
      <c r="AT238" s="40"/>
      <c r="AU238" s="40"/>
      <c r="AV238" s="40"/>
      <c r="AW238" s="40"/>
      <c r="AX238" s="40"/>
      <c r="AY238" s="40"/>
      <c r="AZ238" s="40"/>
      <c r="BA238" s="40"/>
      <c r="BB238" s="40"/>
      <c r="BC238" s="40"/>
      <c r="BD238" s="40"/>
      <c r="BE238" s="40"/>
      <c r="BF238" s="40"/>
      <c r="BG238" s="40"/>
      <c r="BH238" s="40"/>
      <c r="BI238" s="40"/>
      <c r="BJ238" s="40"/>
      <c r="BK238" s="40"/>
      <c r="BL238" s="40"/>
      <c r="BM238" s="40"/>
      <c r="BN238" s="40"/>
      <c r="BO238" s="40"/>
      <c r="BP238" s="40"/>
      <c r="BQ238" s="40"/>
      <c r="BR238" s="40"/>
      <c r="BS238" s="40"/>
      <c r="BT238" s="40"/>
      <c r="BU238" s="40"/>
      <c r="BV238" s="40"/>
      <c r="BW238" s="40"/>
      <c r="BX238" s="40"/>
      <c r="BY238" s="40"/>
      <c r="BZ238" s="40"/>
      <c r="CA238" s="40"/>
      <c r="CB238" s="40"/>
      <c r="CC238" s="40"/>
      <c r="CD238" s="40"/>
      <c r="CE238" s="40"/>
      <c r="CF238" s="40"/>
      <c r="CG238" s="40"/>
      <c r="CH238" s="40"/>
      <c r="CI238" s="40"/>
      <c r="CJ238" s="40"/>
      <c r="CK238" s="40"/>
      <c r="CL238" s="40"/>
    </row>
    <row r="239" spans="1:90" x14ac:dyDescent="0.25">
      <c r="A239" s="40"/>
      <c r="B239" s="40"/>
      <c r="C239" s="40"/>
      <c r="D239" s="40"/>
      <c r="E239" s="40"/>
      <c r="F239" s="40"/>
      <c r="G239" s="40"/>
      <c r="H239" s="40"/>
      <c r="I239" s="40"/>
      <c r="J239" s="40"/>
      <c r="K239" s="40"/>
      <c r="L239" s="40"/>
      <c r="M239" s="40"/>
      <c r="N239" s="40"/>
      <c r="O239" s="40"/>
      <c r="P239" s="40"/>
      <c r="Q239" s="40"/>
      <c r="R239" s="40"/>
      <c r="S239" s="40"/>
      <c r="T239" s="40"/>
      <c r="U239" s="40"/>
      <c r="V239" s="40"/>
      <c r="W239" s="40"/>
      <c r="X239" s="40"/>
      <c r="Y239" s="40"/>
      <c r="Z239" s="40"/>
      <c r="AA239" s="40"/>
      <c r="AB239" s="40"/>
      <c r="AC239" s="40"/>
      <c r="AD239" s="40"/>
      <c r="AE239" s="40"/>
      <c r="AF239" s="40"/>
      <c r="AG239" s="40"/>
      <c r="AH239" s="40"/>
      <c r="AI239" s="40"/>
      <c r="AJ239" s="40"/>
      <c r="AK239" s="40"/>
      <c r="AL239" s="40"/>
      <c r="AM239" s="40"/>
      <c r="AN239" s="40"/>
      <c r="AO239" s="40"/>
      <c r="AP239" s="40"/>
      <c r="AQ239" s="40"/>
      <c r="AR239" s="40"/>
      <c r="AS239" s="40"/>
      <c r="AT239" s="40"/>
      <c r="AU239" s="40"/>
      <c r="AV239" s="40"/>
      <c r="AW239" s="40"/>
      <c r="AX239" s="40"/>
      <c r="AY239" s="40"/>
      <c r="AZ239" s="40"/>
      <c r="BA239" s="40"/>
      <c r="BB239" s="40"/>
      <c r="BC239" s="40"/>
      <c r="BD239" s="40"/>
      <c r="BE239" s="40"/>
      <c r="BF239" s="40"/>
      <c r="BG239" s="40"/>
      <c r="BH239" s="40"/>
      <c r="BI239" s="40"/>
      <c r="BJ239" s="40"/>
      <c r="BK239" s="40"/>
      <c r="BL239" s="40"/>
      <c r="BM239" s="40"/>
      <c r="BN239" s="40"/>
      <c r="BO239" s="40"/>
      <c r="BP239" s="40"/>
      <c r="BQ239" s="40"/>
      <c r="BR239" s="40"/>
      <c r="BS239" s="40"/>
      <c r="BT239" s="40"/>
      <c r="BU239" s="40"/>
      <c r="BV239" s="40"/>
      <c r="BW239" s="40"/>
      <c r="BX239" s="40"/>
      <c r="BY239" s="40"/>
      <c r="BZ239" s="40"/>
      <c r="CA239" s="40"/>
      <c r="CB239" s="40"/>
      <c r="CC239" s="40"/>
      <c r="CD239" s="40"/>
      <c r="CE239" s="40"/>
      <c r="CF239" s="40"/>
      <c r="CG239" s="40"/>
      <c r="CH239" s="40"/>
      <c r="CI239" s="40"/>
      <c r="CJ239" s="40"/>
      <c r="CK239" s="40"/>
      <c r="CL239" s="40"/>
    </row>
    <row r="240" spans="1:90" x14ac:dyDescent="0.25">
      <c r="A240" s="40"/>
      <c r="B240" s="40"/>
      <c r="C240" s="40"/>
      <c r="D240" s="40"/>
      <c r="E240" s="40"/>
      <c r="F240" s="40"/>
      <c r="G240" s="40"/>
      <c r="H240" s="40"/>
      <c r="I240" s="40"/>
      <c r="J240" s="40"/>
      <c r="K240" s="40"/>
      <c r="L240" s="40"/>
      <c r="M240" s="40"/>
      <c r="N240" s="40"/>
      <c r="O240" s="40"/>
      <c r="P240" s="40"/>
      <c r="Q240" s="40"/>
      <c r="R240" s="40"/>
      <c r="S240" s="40"/>
      <c r="T240" s="40"/>
      <c r="U240" s="40"/>
      <c r="V240" s="40"/>
      <c r="W240" s="40"/>
      <c r="X240" s="40"/>
      <c r="Y240" s="40"/>
      <c r="Z240" s="40"/>
      <c r="AA240" s="40"/>
      <c r="AB240" s="40"/>
      <c r="AC240" s="40"/>
      <c r="AD240" s="40"/>
      <c r="AE240" s="40"/>
      <c r="AF240" s="40"/>
      <c r="AG240" s="40"/>
      <c r="AH240" s="40"/>
      <c r="AI240" s="40"/>
      <c r="AJ240" s="40"/>
      <c r="AK240" s="40"/>
      <c r="AL240" s="40"/>
      <c r="AM240" s="40"/>
      <c r="AN240" s="40"/>
      <c r="AO240" s="40"/>
      <c r="AP240" s="40"/>
      <c r="AQ240" s="40"/>
      <c r="AR240" s="40"/>
      <c r="AS240" s="40"/>
      <c r="AT240" s="40"/>
      <c r="AU240" s="40"/>
      <c r="AV240" s="40"/>
      <c r="AW240" s="40"/>
      <c r="AX240" s="40"/>
      <c r="AY240" s="40"/>
      <c r="AZ240" s="40"/>
      <c r="BA240" s="40"/>
      <c r="BB240" s="40"/>
      <c r="BC240" s="40"/>
      <c r="BD240" s="40"/>
      <c r="BE240" s="40"/>
      <c r="BF240" s="40"/>
      <c r="BG240" s="40"/>
      <c r="BH240" s="40"/>
      <c r="BI240" s="40"/>
      <c r="BJ240" s="40"/>
      <c r="BK240" s="40"/>
      <c r="BL240" s="40"/>
      <c r="BM240" s="40"/>
      <c r="BN240" s="40"/>
      <c r="BO240" s="40"/>
      <c r="BP240" s="40"/>
      <c r="BQ240" s="40"/>
      <c r="BR240" s="40"/>
      <c r="BS240" s="40"/>
      <c r="BT240" s="40"/>
      <c r="BU240" s="40"/>
      <c r="BV240" s="40"/>
      <c r="BW240" s="40"/>
      <c r="BX240" s="40"/>
      <c r="BY240" s="40"/>
      <c r="BZ240" s="40"/>
      <c r="CA240" s="40"/>
      <c r="CB240" s="40"/>
      <c r="CC240" s="40"/>
      <c r="CD240" s="40"/>
      <c r="CE240" s="40"/>
      <c r="CF240" s="40"/>
      <c r="CG240" s="40"/>
      <c r="CH240" s="40"/>
      <c r="CI240" s="40"/>
      <c r="CJ240" s="40"/>
      <c r="CK240" s="40"/>
      <c r="CL240" s="40"/>
    </row>
    <row r="241" spans="1:90" x14ac:dyDescent="0.25">
      <c r="A241" s="40"/>
      <c r="B241" s="40"/>
      <c r="C241" s="40"/>
      <c r="D241" s="40"/>
      <c r="E241" s="40"/>
      <c r="F241" s="40"/>
      <c r="G241" s="40"/>
      <c r="H241" s="40"/>
      <c r="I241" s="40"/>
      <c r="J241" s="40"/>
      <c r="K241" s="40"/>
      <c r="L241" s="40"/>
      <c r="M241" s="40"/>
      <c r="N241" s="40"/>
      <c r="O241" s="40"/>
      <c r="P241" s="40"/>
      <c r="Q241" s="40"/>
      <c r="R241" s="40"/>
      <c r="S241" s="40"/>
      <c r="T241" s="40"/>
      <c r="U241" s="40"/>
      <c r="V241" s="40"/>
      <c r="W241" s="40"/>
      <c r="X241" s="40"/>
      <c r="Y241" s="40"/>
      <c r="Z241" s="40"/>
      <c r="AA241" s="40"/>
      <c r="AB241" s="40"/>
      <c r="AC241" s="40"/>
      <c r="AD241" s="40"/>
      <c r="AE241" s="40"/>
      <c r="AF241" s="40"/>
      <c r="AG241" s="40"/>
      <c r="AH241" s="40"/>
      <c r="AI241" s="40"/>
      <c r="AJ241" s="40"/>
      <c r="AK241" s="40"/>
      <c r="AL241" s="40"/>
      <c r="AM241" s="40"/>
      <c r="AN241" s="40"/>
      <c r="AO241" s="40"/>
      <c r="AP241" s="40"/>
      <c r="AQ241" s="40"/>
      <c r="AR241" s="40"/>
      <c r="AS241" s="40"/>
      <c r="AT241" s="40"/>
      <c r="AU241" s="40"/>
      <c r="AV241" s="40"/>
      <c r="AW241" s="40"/>
      <c r="AX241" s="40"/>
      <c r="AY241" s="40"/>
      <c r="AZ241" s="40"/>
      <c r="BA241" s="40"/>
      <c r="BB241" s="40"/>
      <c r="BC241" s="40"/>
      <c r="BD241" s="40"/>
      <c r="BE241" s="40"/>
      <c r="BF241" s="40"/>
      <c r="BG241" s="40"/>
      <c r="BH241" s="40"/>
      <c r="BI241" s="40"/>
      <c r="BJ241" s="40"/>
      <c r="BK241" s="40"/>
      <c r="BL241" s="40"/>
      <c r="BM241" s="40"/>
      <c r="BN241" s="40"/>
      <c r="BO241" s="40"/>
      <c r="BP241" s="40"/>
      <c r="BQ241" s="40"/>
      <c r="BR241" s="40"/>
      <c r="BS241" s="40"/>
      <c r="BT241" s="40"/>
      <c r="BU241" s="40"/>
      <c r="BV241" s="40"/>
      <c r="BW241" s="40"/>
      <c r="BX241" s="40"/>
      <c r="BY241" s="40"/>
      <c r="BZ241" s="40"/>
      <c r="CA241" s="40"/>
      <c r="CB241" s="40"/>
      <c r="CC241" s="40"/>
      <c r="CD241" s="40"/>
      <c r="CE241" s="40"/>
      <c r="CF241" s="40"/>
      <c r="CG241" s="40"/>
      <c r="CH241" s="40"/>
      <c r="CI241" s="40"/>
      <c r="CJ241" s="40"/>
      <c r="CK241" s="40"/>
      <c r="CL241" s="40"/>
    </row>
    <row r="242" spans="1:90" x14ac:dyDescent="0.25">
      <c r="A242" s="40"/>
      <c r="B242" s="40"/>
      <c r="C242" s="40"/>
      <c r="D242" s="40"/>
      <c r="E242" s="40"/>
      <c r="F242" s="40"/>
      <c r="G242" s="40"/>
      <c r="H242" s="40"/>
      <c r="I242" s="40"/>
      <c r="J242" s="40"/>
      <c r="K242" s="40"/>
      <c r="L242" s="40"/>
      <c r="M242" s="40"/>
      <c r="N242" s="40"/>
      <c r="O242" s="40"/>
      <c r="P242" s="40"/>
      <c r="Q242" s="40"/>
      <c r="R242" s="40"/>
      <c r="S242" s="40"/>
      <c r="T242" s="40"/>
      <c r="U242" s="40"/>
      <c r="V242" s="40"/>
      <c r="W242" s="40"/>
      <c r="X242" s="40"/>
      <c r="Y242" s="40"/>
      <c r="Z242" s="40"/>
      <c r="AA242" s="40"/>
      <c r="AB242" s="40"/>
      <c r="AC242" s="40"/>
      <c r="AD242" s="40"/>
      <c r="AE242" s="40"/>
      <c r="AF242" s="40"/>
      <c r="AG242" s="40"/>
      <c r="AH242" s="40"/>
      <c r="AI242" s="40"/>
      <c r="AJ242" s="40"/>
      <c r="AK242" s="40"/>
      <c r="AL242" s="40"/>
      <c r="AM242" s="40"/>
      <c r="AN242" s="40"/>
      <c r="AO242" s="40"/>
      <c r="AP242" s="40"/>
      <c r="AQ242" s="40"/>
      <c r="AR242" s="40"/>
      <c r="AS242" s="40"/>
      <c r="AT242" s="40"/>
      <c r="AU242" s="40"/>
      <c r="AV242" s="40"/>
      <c r="AW242" s="40"/>
      <c r="AX242" s="40"/>
      <c r="AY242" s="40"/>
      <c r="AZ242" s="40"/>
      <c r="BA242" s="40"/>
      <c r="BB242" s="40"/>
      <c r="BC242" s="40"/>
      <c r="BD242" s="40"/>
      <c r="BE242" s="40"/>
      <c r="BF242" s="40"/>
      <c r="BG242" s="40"/>
      <c r="BH242" s="40"/>
      <c r="BI242" s="40"/>
      <c r="BJ242" s="40"/>
      <c r="BK242" s="40"/>
      <c r="BL242" s="40"/>
      <c r="BM242" s="40"/>
      <c r="BN242" s="40"/>
      <c r="BO242" s="40"/>
      <c r="BP242" s="40"/>
      <c r="BQ242" s="40"/>
      <c r="BR242" s="40"/>
      <c r="BS242" s="40"/>
      <c r="BT242" s="40"/>
      <c r="BU242" s="40"/>
      <c r="BV242" s="40"/>
      <c r="BW242" s="40"/>
      <c r="BX242" s="40"/>
      <c r="BY242" s="40"/>
      <c r="BZ242" s="40"/>
      <c r="CA242" s="40"/>
      <c r="CB242" s="40"/>
      <c r="CC242" s="40"/>
      <c r="CD242" s="40"/>
      <c r="CE242" s="40"/>
      <c r="CF242" s="40"/>
      <c r="CG242" s="40"/>
      <c r="CH242" s="40"/>
      <c r="CI242" s="40"/>
      <c r="CJ242" s="40"/>
      <c r="CK242" s="40"/>
      <c r="CL242" s="40"/>
    </row>
    <row r="243" spans="1:90" x14ac:dyDescent="0.25">
      <c r="A243" s="40"/>
      <c r="B243" s="40"/>
      <c r="C243" s="40"/>
      <c r="D243" s="40"/>
      <c r="E243" s="40"/>
      <c r="F243" s="40"/>
      <c r="G243" s="40"/>
      <c r="H243" s="40"/>
      <c r="I243" s="40"/>
      <c r="J243" s="40"/>
      <c r="K243" s="40"/>
      <c r="L243" s="40"/>
      <c r="M243" s="40"/>
      <c r="N243" s="40"/>
      <c r="O243" s="40"/>
      <c r="P243" s="40"/>
      <c r="Q243" s="40"/>
      <c r="R243" s="40"/>
      <c r="S243" s="40"/>
      <c r="T243" s="40"/>
      <c r="U243" s="40"/>
      <c r="V243" s="40"/>
      <c r="W243" s="40"/>
      <c r="X243" s="40"/>
      <c r="Y243" s="40"/>
      <c r="Z243" s="40"/>
      <c r="AA243" s="40"/>
      <c r="AB243" s="40"/>
      <c r="AC243" s="40"/>
      <c r="AD243" s="40"/>
      <c r="AE243" s="40"/>
      <c r="AF243" s="40"/>
      <c r="AG243" s="40"/>
      <c r="AH243" s="40"/>
      <c r="AI243" s="40"/>
      <c r="AJ243" s="40"/>
      <c r="AK243" s="40"/>
      <c r="AL243" s="40"/>
      <c r="AM243" s="40"/>
      <c r="AN243" s="40"/>
      <c r="AO243" s="40"/>
      <c r="AP243" s="40"/>
      <c r="AQ243" s="40"/>
      <c r="AR243" s="40"/>
      <c r="AS243" s="40"/>
      <c r="AT243" s="40"/>
      <c r="AU243" s="40"/>
      <c r="AV243" s="40"/>
      <c r="AW243" s="40"/>
      <c r="AX243" s="40"/>
      <c r="AY243" s="40"/>
      <c r="AZ243" s="40"/>
      <c r="BA243" s="40"/>
      <c r="BB243" s="40"/>
      <c r="BC243" s="40"/>
      <c r="BD243" s="40"/>
      <c r="BE243" s="40"/>
      <c r="BF243" s="40"/>
      <c r="BG243" s="40"/>
      <c r="BH243" s="40"/>
      <c r="BI243" s="40"/>
      <c r="BJ243" s="40"/>
      <c r="BK243" s="40"/>
      <c r="BL243" s="40"/>
      <c r="BM243" s="40"/>
      <c r="BN243" s="40"/>
      <c r="BO243" s="40"/>
      <c r="BP243" s="40"/>
      <c r="BQ243" s="40"/>
      <c r="BR243" s="40"/>
      <c r="BS243" s="40"/>
      <c r="BT243" s="40"/>
      <c r="BU243" s="40"/>
      <c r="BV243" s="40"/>
      <c r="BW243" s="40"/>
      <c r="BX243" s="40"/>
      <c r="BY243" s="40"/>
      <c r="BZ243" s="40"/>
      <c r="CA243" s="40"/>
      <c r="CB243" s="40"/>
      <c r="CC243" s="40"/>
      <c r="CD243" s="40"/>
      <c r="CE243" s="40"/>
      <c r="CF243" s="40"/>
      <c r="CG243" s="40"/>
      <c r="CH243" s="40"/>
      <c r="CI243" s="40"/>
      <c r="CJ243" s="40"/>
      <c r="CK243" s="40"/>
      <c r="CL243" s="40"/>
    </row>
    <row r="244" spans="1:90" x14ac:dyDescent="0.25">
      <c r="A244" s="40"/>
      <c r="B244" s="40"/>
      <c r="C244" s="40"/>
      <c r="D244" s="40"/>
      <c r="E244" s="40"/>
      <c r="F244" s="40"/>
      <c r="G244" s="40"/>
      <c r="H244" s="40"/>
      <c r="I244" s="40"/>
      <c r="J244" s="40"/>
      <c r="K244" s="40"/>
      <c r="L244" s="40"/>
      <c r="M244" s="40"/>
      <c r="N244" s="40"/>
      <c r="O244" s="40"/>
      <c r="P244" s="40"/>
      <c r="Q244" s="40"/>
      <c r="R244" s="40"/>
      <c r="S244" s="40"/>
      <c r="T244" s="40"/>
      <c r="U244" s="40"/>
      <c r="V244" s="40"/>
      <c r="W244" s="40"/>
      <c r="X244" s="40"/>
      <c r="Y244" s="40"/>
      <c r="Z244" s="40"/>
      <c r="AA244" s="40"/>
      <c r="AB244" s="40"/>
      <c r="AC244" s="40"/>
      <c r="AD244" s="40"/>
      <c r="AE244" s="40"/>
      <c r="AF244" s="40"/>
      <c r="AG244" s="40"/>
      <c r="AH244" s="40"/>
      <c r="AI244" s="40"/>
      <c r="AJ244" s="40"/>
      <c r="AK244" s="40"/>
      <c r="AL244" s="40"/>
      <c r="AM244" s="40"/>
      <c r="AN244" s="40"/>
      <c r="AO244" s="40"/>
      <c r="AP244" s="40"/>
      <c r="AQ244" s="40"/>
      <c r="AR244" s="40"/>
      <c r="AS244" s="40"/>
      <c r="AT244" s="40"/>
      <c r="AU244" s="40"/>
      <c r="AV244" s="40"/>
      <c r="AW244" s="40"/>
      <c r="AX244" s="40"/>
      <c r="AY244" s="40"/>
      <c r="AZ244" s="40"/>
      <c r="BA244" s="40"/>
      <c r="BB244" s="40"/>
      <c r="BC244" s="40"/>
      <c r="BD244" s="40"/>
      <c r="BE244" s="40"/>
      <c r="BF244" s="40"/>
      <c r="BG244" s="40"/>
      <c r="BH244" s="40"/>
      <c r="BI244" s="40"/>
      <c r="BJ244" s="40"/>
      <c r="BK244" s="40"/>
      <c r="BL244" s="40"/>
      <c r="BM244" s="40"/>
      <c r="BN244" s="40"/>
      <c r="BO244" s="40"/>
      <c r="BP244" s="40"/>
      <c r="BQ244" s="40"/>
      <c r="BR244" s="40"/>
      <c r="BS244" s="40"/>
      <c r="BT244" s="40"/>
      <c r="BU244" s="40"/>
      <c r="BV244" s="40"/>
      <c r="BW244" s="40"/>
      <c r="BX244" s="40"/>
      <c r="BY244" s="40"/>
      <c r="BZ244" s="40"/>
      <c r="CA244" s="40"/>
      <c r="CB244" s="40"/>
      <c r="CC244" s="40"/>
      <c r="CD244" s="40"/>
      <c r="CE244" s="40"/>
      <c r="CF244" s="40"/>
      <c r="CG244" s="40"/>
      <c r="CH244" s="40"/>
      <c r="CI244" s="40"/>
      <c r="CJ244" s="40"/>
      <c r="CK244" s="40"/>
      <c r="CL244" s="40"/>
    </row>
    <row r="245" spans="1:90" x14ac:dyDescent="0.25">
      <c r="A245" s="40"/>
      <c r="B245" s="40"/>
      <c r="C245" s="40"/>
      <c r="D245" s="40"/>
      <c r="E245" s="40"/>
      <c r="F245" s="40"/>
      <c r="G245" s="40"/>
      <c r="H245" s="40"/>
      <c r="I245" s="40"/>
      <c r="J245" s="40"/>
      <c r="K245" s="40"/>
      <c r="L245" s="40"/>
      <c r="M245" s="40"/>
      <c r="N245" s="40"/>
      <c r="O245" s="40"/>
      <c r="P245" s="40"/>
      <c r="Q245" s="40"/>
      <c r="R245" s="40"/>
      <c r="S245" s="40"/>
      <c r="T245" s="40"/>
      <c r="U245" s="40"/>
      <c r="V245" s="40"/>
      <c r="W245" s="40"/>
      <c r="X245" s="40"/>
      <c r="Y245" s="40"/>
      <c r="Z245" s="40"/>
      <c r="AA245" s="40"/>
      <c r="AB245" s="40"/>
      <c r="AC245" s="40"/>
      <c r="AD245" s="40"/>
      <c r="AE245" s="40"/>
      <c r="AF245" s="40"/>
      <c r="AG245" s="40"/>
      <c r="AH245" s="40"/>
      <c r="AI245" s="40"/>
      <c r="AJ245" s="40"/>
      <c r="AK245" s="40"/>
      <c r="AL245" s="40"/>
      <c r="AM245" s="40"/>
      <c r="AN245" s="40"/>
      <c r="AO245" s="40"/>
      <c r="AP245" s="40"/>
      <c r="AQ245" s="40"/>
      <c r="AR245" s="40"/>
      <c r="AS245" s="40"/>
      <c r="AT245" s="40"/>
      <c r="AU245" s="40"/>
      <c r="AV245" s="40"/>
      <c r="AW245" s="40"/>
      <c r="AX245" s="40"/>
      <c r="AY245" s="40"/>
      <c r="AZ245" s="40"/>
      <c r="BA245" s="40"/>
      <c r="BB245" s="40"/>
      <c r="BC245" s="40"/>
      <c r="BD245" s="40"/>
      <c r="BE245" s="40"/>
      <c r="BF245" s="40"/>
      <c r="BG245" s="40"/>
      <c r="BH245" s="40"/>
      <c r="BI245" s="40"/>
      <c r="BJ245" s="40"/>
      <c r="BK245" s="40"/>
      <c r="BL245" s="40"/>
      <c r="BM245" s="40"/>
      <c r="BN245" s="40"/>
      <c r="BO245" s="40"/>
      <c r="BP245" s="40"/>
      <c r="BQ245" s="40"/>
      <c r="BR245" s="40"/>
      <c r="BS245" s="40"/>
      <c r="BT245" s="40"/>
      <c r="BU245" s="40"/>
      <c r="BV245" s="40"/>
      <c r="BW245" s="40"/>
      <c r="BX245" s="40"/>
      <c r="BY245" s="40"/>
      <c r="BZ245" s="40"/>
      <c r="CA245" s="40"/>
      <c r="CB245" s="40"/>
      <c r="CC245" s="40"/>
      <c r="CD245" s="40"/>
      <c r="CE245" s="40"/>
      <c r="CF245" s="40"/>
      <c r="CG245" s="40"/>
      <c r="CH245" s="40"/>
      <c r="CI245" s="40"/>
      <c r="CJ245" s="40"/>
      <c r="CK245" s="40"/>
      <c r="CL245" s="40"/>
    </row>
    <row r="246" spans="1:90" x14ac:dyDescent="0.25">
      <c r="A246" s="40"/>
      <c r="B246" s="40"/>
      <c r="C246" s="40"/>
      <c r="D246" s="40"/>
      <c r="E246" s="40"/>
      <c r="F246" s="40"/>
      <c r="G246" s="40"/>
      <c r="H246" s="40"/>
      <c r="I246" s="40"/>
      <c r="J246" s="40"/>
      <c r="K246" s="40"/>
      <c r="L246" s="40"/>
      <c r="M246" s="40"/>
      <c r="N246" s="40"/>
      <c r="O246" s="40"/>
      <c r="P246" s="40"/>
      <c r="Q246" s="40"/>
      <c r="R246" s="40"/>
      <c r="S246" s="40"/>
      <c r="T246" s="40"/>
      <c r="U246" s="40"/>
      <c r="V246" s="40"/>
      <c r="W246" s="40"/>
      <c r="X246" s="40"/>
      <c r="Y246" s="40"/>
      <c r="Z246" s="40"/>
      <c r="AA246" s="40"/>
      <c r="AB246" s="40"/>
      <c r="AC246" s="40"/>
      <c r="AD246" s="40"/>
      <c r="AE246" s="40"/>
      <c r="AF246" s="40"/>
      <c r="AG246" s="40"/>
      <c r="AH246" s="40"/>
      <c r="AI246" s="40"/>
      <c r="AJ246" s="40"/>
      <c r="AK246" s="40"/>
      <c r="AL246" s="40"/>
      <c r="AM246" s="40"/>
      <c r="AN246" s="40"/>
      <c r="AO246" s="40"/>
      <c r="AP246" s="40"/>
      <c r="AQ246" s="40"/>
      <c r="AR246" s="40"/>
      <c r="AS246" s="40"/>
      <c r="AT246" s="40"/>
      <c r="AU246" s="40"/>
      <c r="AV246" s="40"/>
      <c r="AW246" s="40"/>
      <c r="AX246" s="40"/>
      <c r="AY246" s="40"/>
      <c r="AZ246" s="40"/>
      <c r="BA246" s="40"/>
      <c r="BB246" s="40"/>
      <c r="BC246" s="40"/>
      <c r="BD246" s="40"/>
      <c r="BE246" s="40"/>
      <c r="BF246" s="40"/>
      <c r="BG246" s="40"/>
      <c r="BH246" s="40"/>
      <c r="BI246" s="40"/>
      <c r="BJ246" s="40"/>
      <c r="BK246" s="40"/>
      <c r="BL246" s="40"/>
      <c r="BM246" s="40"/>
      <c r="BN246" s="40"/>
      <c r="BO246" s="40"/>
      <c r="BP246" s="40"/>
      <c r="BQ246" s="40"/>
      <c r="BR246" s="40"/>
      <c r="BS246" s="40"/>
      <c r="BT246" s="40"/>
      <c r="BU246" s="40"/>
      <c r="BV246" s="40"/>
      <c r="BW246" s="40"/>
      <c r="BX246" s="40"/>
      <c r="BY246" s="40"/>
      <c r="BZ246" s="40"/>
      <c r="CA246" s="40"/>
      <c r="CB246" s="40"/>
      <c r="CC246" s="40"/>
      <c r="CD246" s="40"/>
      <c r="CE246" s="40"/>
      <c r="CF246" s="40"/>
      <c r="CG246" s="40"/>
      <c r="CH246" s="40"/>
      <c r="CI246" s="40"/>
      <c r="CJ246" s="40"/>
      <c r="CK246" s="40"/>
      <c r="CL246" s="40"/>
    </row>
    <row r="247" spans="1:90" x14ac:dyDescent="0.25">
      <c r="A247" s="40"/>
      <c r="B247" s="40"/>
      <c r="C247" s="40"/>
      <c r="D247" s="40"/>
      <c r="E247" s="40"/>
      <c r="F247" s="40"/>
      <c r="G247" s="40"/>
      <c r="H247" s="40"/>
      <c r="I247" s="40"/>
      <c r="J247" s="40"/>
      <c r="K247" s="40"/>
      <c r="L247" s="40"/>
      <c r="M247" s="40"/>
      <c r="N247" s="40"/>
      <c r="O247" s="40"/>
      <c r="P247" s="40"/>
      <c r="Q247" s="40"/>
      <c r="R247" s="40"/>
      <c r="S247" s="40"/>
      <c r="T247" s="40"/>
      <c r="U247" s="40"/>
      <c r="V247" s="40"/>
      <c r="W247" s="40"/>
      <c r="X247" s="40"/>
      <c r="Y247" s="40"/>
      <c r="Z247" s="40"/>
      <c r="AA247" s="40"/>
      <c r="AB247" s="40"/>
      <c r="AC247" s="40"/>
      <c r="AD247" s="40"/>
      <c r="AE247" s="40"/>
      <c r="AF247" s="40"/>
      <c r="AG247" s="40"/>
      <c r="AH247" s="40"/>
      <c r="AI247" s="40"/>
      <c r="AJ247" s="40"/>
      <c r="AK247" s="40"/>
      <c r="AL247" s="40"/>
      <c r="AM247" s="40"/>
      <c r="AN247" s="40"/>
      <c r="AO247" s="40"/>
      <c r="AP247" s="40"/>
      <c r="AQ247" s="40"/>
      <c r="AR247" s="40"/>
      <c r="AS247" s="40"/>
      <c r="AT247" s="40"/>
      <c r="AU247" s="40"/>
      <c r="AV247" s="40"/>
      <c r="AW247" s="40"/>
      <c r="AX247" s="40"/>
      <c r="AY247" s="40"/>
      <c r="AZ247" s="40"/>
      <c r="BA247" s="40"/>
      <c r="BB247" s="40"/>
      <c r="BC247" s="40"/>
      <c r="BD247" s="40"/>
      <c r="BE247" s="40"/>
      <c r="BF247" s="40"/>
      <c r="BG247" s="40"/>
      <c r="BH247" s="40"/>
      <c r="BI247" s="40"/>
      <c r="BJ247" s="40"/>
      <c r="BK247" s="40"/>
      <c r="BL247" s="40"/>
      <c r="BM247" s="40"/>
      <c r="BN247" s="40"/>
      <c r="BO247" s="40"/>
      <c r="BP247" s="40"/>
      <c r="BQ247" s="40"/>
      <c r="BR247" s="40"/>
      <c r="BS247" s="40"/>
      <c r="BT247" s="40"/>
      <c r="BU247" s="40"/>
      <c r="BV247" s="40"/>
      <c r="BW247" s="40"/>
      <c r="BX247" s="40"/>
      <c r="BY247" s="40"/>
      <c r="BZ247" s="40"/>
      <c r="CA247" s="40"/>
      <c r="CB247" s="40"/>
      <c r="CC247" s="40"/>
      <c r="CD247" s="40"/>
      <c r="CE247" s="40"/>
      <c r="CF247" s="40"/>
      <c r="CG247" s="40"/>
      <c r="CH247" s="40"/>
      <c r="CI247" s="40"/>
      <c r="CJ247" s="40"/>
      <c r="CK247" s="40"/>
      <c r="CL247" s="40"/>
    </row>
    <row r="248" spans="1:90" x14ac:dyDescent="0.25">
      <c r="A248" s="40"/>
      <c r="B248" s="40"/>
      <c r="C248" s="40"/>
      <c r="D248" s="40"/>
      <c r="E248" s="40"/>
      <c r="F248" s="40"/>
      <c r="G248" s="40"/>
      <c r="H248" s="40"/>
      <c r="I248" s="40"/>
      <c r="J248" s="40"/>
      <c r="K248" s="40"/>
      <c r="L248" s="40"/>
      <c r="M248" s="40"/>
      <c r="N248" s="40"/>
      <c r="O248" s="40"/>
      <c r="P248" s="40"/>
      <c r="Q248" s="40"/>
      <c r="R248" s="40"/>
      <c r="S248" s="40"/>
      <c r="T248" s="40"/>
      <c r="U248" s="40"/>
      <c r="V248" s="40"/>
      <c r="W248" s="40"/>
      <c r="X248" s="40"/>
      <c r="Y248" s="40"/>
      <c r="Z248" s="40"/>
      <c r="AA248" s="40"/>
      <c r="AB248" s="40"/>
      <c r="AC248" s="40"/>
      <c r="AD248" s="40"/>
      <c r="AE248" s="40"/>
      <c r="AF248" s="40"/>
      <c r="AG248" s="40"/>
      <c r="AH248" s="40"/>
      <c r="AI248" s="40"/>
      <c r="AJ248" s="40"/>
      <c r="AK248" s="40"/>
      <c r="AL248" s="40"/>
      <c r="AM248" s="40"/>
      <c r="AN248" s="40"/>
      <c r="AO248" s="40"/>
      <c r="AP248" s="40"/>
      <c r="AQ248" s="40"/>
      <c r="AR248" s="40"/>
      <c r="AS248" s="40"/>
      <c r="AT248" s="40"/>
      <c r="AU248" s="40"/>
      <c r="AV248" s="40"/>
      <c r="AW248" s="40"/>
      <c r="AX248" s="40"/>
      <c r="AY248" s="40"/>
      <c r="AZ248" s="40"/>
      <c r="BA248" s="40"/>
      <c r="BB248" s="40"/>
      <c r="BC248" s="40"/>
      <c r="BD248" s="40"/>
      <c r="BE248" s="40"/>
      <c r="BF248" s="40"/>
      <c r="BG248" s="40"/>
      <c r="BH248" s="40"/>
      <c r="BI248" s="40"/>
      <c r="BJ248" s="40"/>
      <c r="BK248" s="40"/>
      <c r="BL248" s="40"/>
      <c r="BM248" s="40"/>
      <c r="BN248" s="40"/>
      <c r="BO248" s="40"/>
      <c r="BP248" s="40"/>
      <c r="BQ248" s="40"/>
      <c r="BR248" s="40"/>
      <c r="BS248" s="40"/>
      <c r="BT248" s="40"/>
      <c r="BU248" s="40"/>
      <c r="BV248" s="40"/>
      <c r="BW248" s="40"/>
      <c r="BX248" s="40"/>
      <c r="BY248" s="40"/>
      <c r="BZ248" s="40"/>
      <c r="CA248" s="40"/>
      <c r="CB248" s="40"/>
      <c r="CC248" s="40"/>
      <c r="CD248" s="40"/>
      <c r="CE248" s="40"/>
      <c r="CF248" s="40"/>
      <c r="CG248" s="40"/>
      <c r="CH248" s="40"/>
      <c r="CI248" s="40"/>
      <c r="CJ248" s="40"/>
      <c r="CK248" s="40"/>
      <c r="CL248" s="40"/>
    </row>
    <row r="249" spans="1:90" x14ac:dyDescent="0.25">
      <c r="A249" s="40"/>
      <c r="B249" s="40"/>
      <c r="C249" s="40"/>
      <c r="D249" s="40"/>
      <c r="E249" s="40"/>
      <c r="F249" s="40"/>
      <c r="G249" s="40"/>
      <c r="H249" s="40"/>
      <c r="I249" s="40"/>
      <c r="J249" s="40"/>
      <c r="K249" s="40"/>
      <c r="L249" s="40"/>
      <c r="M249" s="40"/>
      <c r="N249" s="40"/>
      <c r="O249" s="40"/>
      <c r="P249" s="40"/>
      <c r="Q249" s="40"/>
      <c r="R249" s="40"/>
      <c r="S249" s="40"/>
      <c r="T249" s="40"/>
      <c r="U249" s="40"/>
      <c r="V249" s="40"/>
      <c r="W249" s="40"/>
      <c r="X249" s="40"/>
      <c r="Y249" s="40"/>
      <c r="Z249" s="40"/>
      <c r="AA249" s="40"/>
      <c r="AB249" s="40"/>
      <c r="AC249" s="40"/>
      <c r="AD249" s="40"/>
      <c r="AE249" s="40"/>
      <c r="AF249" s="40"/>
      <c r="AG249" s="40"/>
      <c r="AH249" s="40"/>
      <c r="AI249" s="40"/>
      <c r="AJ249" s="40"/>
      <c r="AK249" s="40"/>
      <c r="AL249" s="40"/>
      <c r="AM249" s="40"/>
      <c r="AN249" s="40"/>
      <c r="AO249" s="40"/>
      <c r="AP249" s="40"/>
      <c r="AQ249" s="40"/>
      <c r="AR249" s="40"/>
      <c r="AS249" s="40"/>
      <c r="AT249" s="40"/>
      <c r="AU249" s="40"/>
      <c r="AV249" s="40"/>
      <c r="AW249" s="40"/>
      <c r="AX249" s="40"/>
      <c r="AY249" s="40"/>
      <c r="AZ249" s="40"/>
      <c r="BA249" s="40"/>
      <c r="BB249" s="40"/>
      <c r="BC249" s="40"/>
      <c r="BD249" s="40"/>
      <c r="BE249" s="40"/>
      <c r="BF249" s="40"/>
      <c r="BG249" s="40"/>
      <c r="BH249" s="40"/>
      <c r="BI249" s="40"/>
      <c r="BJ249" s="40"/>
      <c r="BK249" s="40"/>
      <c r="BL249" s="40"/>
      <c r="BM249" s="40"/>
      <c r="BN249" s="40"/>
      <c r="BO249" s="40"/>
      <c r="BP249" s="40"/>
      <c r="BQ249" s="40"/>
      <c r="BR249" s="40"/>
      <c r="BS249" s="40"/>
      <c r="BT249" s="40"/>
      <c r="BU249" s="40"/>
      <c r="BV249" s="40"/>
      <c r="BW249" s="40"/>
      <c r="BX249" s="40"/>
      <c r="BY249" s="40"/>
      <c r="BZ249" s="40"/>
      <c r="CA249" s="40"/>
      <c r="CB249" s="40"/>
      <c r="CC249" s="40"/>
      <c r="CD249" s="40"/>
      <c r="CE249" s="40"/>
      <c r="CF249" s="40"/>
      <c r="CG249" s="40"/>
      <c r="CH249" s="40"/>
      <c r="CI249" s="40"/>
      <c r="CJ249" s="40"/>
      <c r="CK249" s="40"/>
      <c r="CL249" s="40"/>
    </row>
    <row r="250" spans="1:90" x14ac:dyDescent="0.25">
      <c r="A250" s="40"/>
      <c r="B250" s="40"/>
      <c r="C250" s="40"/>
      <c r="D250" s="40"/>
      <c r="E250" s="40"/>
      <c r="F250" s="40"/>
      <c r="G250" s="40"/>
      <c r="H250" s="40"/>
      <c r="I250" s="40"/>
      <c r="J250" s="40"/>
      <c r="K250" s="40"/>
      <c r="L250" s="40"/>
      <c r="M250" s="40"/>
      <c r="N250" s="40"/>
      <c r="O250" s="40"/>
      <c r="P250" s="40"/>
      <c r="Q250" s="40"/>
      <c r="R250" s="40"/>
      <c r="S250" s="40"/>
      <c r="T250" s="40"/>
      <c r="U250" s="40"/>
      <c r="V250" s="40"/>
      <c r="W250" s="40"/>
      <c r="X250" s="40"/>
      <c r="Y250" s="40"/>
      <c r="Z250" s="40"/>
      <c r="AA250" s="40"/>
      <c r="AB250" s="40"/>
      <c r="AC250" s="40"/>
      <c r="AD250" s="40"/>
      <c r="AE250" s="40"/>
      <c r="AF250" s="40"/>
      <c r="AG250" s="40"/>
      <c r="AH250" s="40"/>
      <c r="AI250" s="40"/>
      <c r="AJ250" s="40"/>
      <c r="AK250" s="40"/>
      <c r="AL250" s="40"/>
      <c r="AM250" s="40"/>
      <c r="AN250" s="40"/>
      <c r="AO250" s="40"/>
      <c r="AP250" s="40"/>
      <c r="AQ250" s="40"/>
      <c r="AR250" s="40"/>
      <c r="AS250" s="40"/>
      <c r="AT250" s="40"/>
      <c r="AU250" s="40"/>
      <c r="AV250" s="40"/>
      <c r="AW250" s="40"/>
      <c r="AX250" s="40"/>
      <c r="AY250" s="40"/>
      <c r="AZ250" s="40"/>
      <c r="BA250" s="40"/>
      <c r="BB250" s="40"/>
      <c r="BC250" s="40"/>
      <c r="BD250" s="40"/>
      <c r="BE250" s="40"/>
      <c r="BF250" s="40"/>
      <c r="BG250" s="40"/>
      <c r="BH250" s="40"/>
      <c r="BI250" s="40"/>
      <c r="BJ250" s="40"/>
      <c r="BK250" s="40"/>
      <c r="BL250" s="40"/>
      <c r="BM250" s="40"/>
      <c r="BN250" s="40"/>
      <c r="BO250" s="40"/>
      <c r="BP250" s="40"/>
      <c r="BQ250" s="40"/>
      <c r="BR250" s="40"/>
      <c r="BS250" s="40"/>
      <c r="BT250" s="40"/>
      <c r="BU250" s="40"/>
      <c r="BV250" s="40"/>
      <c r="BW250" s="40"/>
      <c r="BX250" s="40"/>
      <c r="BY250" s="40"/>
      <c r="BZ250" s="40"/>
      <c r="CA250" s="40"/>
      <c r="CB250" s="40"/>
      <c r="CC250" s="40"/>
      <c r="CD250" s="40"/>
      <c r="CE250" s="40"/>
      <c r="CF250" s="40"/>
      <c r="CG250" s="40"/>
      <c r="CH250" s="40"/>
      <c r="CI250" s="40"/>
      <c r="CJ250" s="40"/>
      <c r="CK250" s="40"/>
      <c r="CL250" s="40"/>
    </row>
    <row r="251" spans="1:90" x14ac:dyDescent="0.25">
      <c r="A251" s="40"/>
      <c r="B251" s="40"/>
      <c r="C251" s="40"/>
      <c r="D251" s="40"/>
      <c r="E251" s="40"/>
      <c r="F251" s="40"/>
      <c r="G251" s="40"/>
      <c r="H251" s="40"/>
      <c r="I251" s="40"/>
      <c r="J251" s="40"/>
      <c r="K251" s="40"/>
      <c r="L251" s="40"/>
      <c r="M251" s="40"/>
      <c r="N251" s="40"/>
      <c r="O251" s="40"/>
      <c r="P251" s="40"/>
      <c r="Q251" s="40"/>
      <c r="R251" s="40"/>
      <c r="S251" s="40"/>
      <c r="T251" s="40"/>
      <c r="U251" s="40"/>
      <c r="V251" s="40"/>
      <c r="W251" s="40"/>
      <c r="X251" s="40"/>
      <c r="Y251" s="40"/>
      <c r="Z251" s="40"/>
      <c r="AA251" s="40"/>
      <c r="AB251" s="40"/>
      <c r="AC251" s="40"/>
      <c r="AD251" s="40"/>
      <c r="AE251" s="40"/>
      <c r="AF251" s="40"/>
      <c r="AG251" s="40"/>
      <c r="AH251" s="40"/>
      <c r="AI251" s="40"/>
      <c r="AJ251" s="40"/>
      <c r="AK251" s="40"/>
      <c r="AL251" s="40"/>
      <c r="AM251" s="40"/>
      <c r="AN251" s="40"/>
      <c r="AO251" s="40"/>
      <c r="AP251" s="40"/>
      <c r="AQ251" s="40"/>
      <c r="AR251" s="40"/>
      <c r="AS251" s="40"/>
      <c r="AT251" s="40"/>
      <c r="AU251" s="40"/>
      <c r="AV251" s="40"/>
      <c r="AW251" s="40"/>
      <c r="AX251" s="40"/>
      <c r="AY251" s="40"/>
      <c r="AZ251" s="40"/>
      <c r="BA251" s="40"/>
      <c r="BB251" s="40"/>
      <c r="BC251" s="40"/>
      <c r="BD251" s="40"/>
      <c r="BE251" s="40"/>
      <c r="BF251" s="40"/>
      <c r="BG251" s="40"/>
      <c r="BH251" s="40"/>
      <c r="BI251" s="40"/>
      <c r="BJ251" s="40"/>
      <c r="BK251" s="40"/>
      <c r="BL251" s="40"/>
      <c r="BM251" s="40"/>
      <c r="BN251" s="40"/>
      <c r="BO251" s="40"/>
      <c r="BP251" s="40"/>
      <c r="BQ251" s="40"/>
      <c r="BR251" s="40"/>
      <c r="BS251" s="40"/>
      <c r="BT251" s="40"/>
      <c r="BU251" s="40"/>
      <c r="BV251" s="40"/>
      <c r="BW251" s="40"/>
      <c r="BX251" s="40"/>
      <c r="BY251" s="40"/>
      <c r="BZ251" s="40"/>
      <c r="CA251" s="40"/>
      <c r="CB251" s="40"/>
      <c r="CC251" s="40"/>
      <c r="CD251" s="40"/>
      <c r="CE251" s="40"/>
      <c r="CF251" s="40"/>
      <c r="CG251" s="40"/>
      <c r="CH251" s="40"/>
      <c r="CI251" s="40"/>
      <c r="CJ251" s="40"/>
      <c r="CK251" s="40"/>
      <c r="CL251" s="40"/>
    </row>
    <row r="252" spans="1:90" x14ac:dyDescent="0.25">
      <c r="A252" s="40"/>
      <c r="B252" s="40"/>
      <c r="C252" s="40"/>
      <c r="D252" s="40"/>
      <c r="E252" s="40"/>
      <c r="F252" s="40"/>
      <c r="G252" s="40"/>
      <c r="H252" s="40"/>
      <c r="I252" s="40"/>
      <c r="J252" s="40"/>
      <c r="K252" s="40"/>
      <c r="L252" s="40"/>
      <c r="M252" s="40"/>
      <c r="N252" s="40"/>
      <c r="O252" s="40"/>
      <c r="P252" s="40"/>
      <c r="Q252" s="40"/>
      <c r="R252" s="40"/>
      <c r="S252" s="40"/>
      <c r="T252" s="40"/>
      <c r="U252" s="40"/>
      <c r="V252" s="40"/>
      <c r="W252" s="40"/>
      <c r="X252" s="40"/>
      <c r="Y252" s="40"/>
      <c r="Z252" s="40"/>
      <c r="AA252" s="40"/>
      <c r="AB252" s="40"/>
      <c r="AC252" s="40"/>
      <c r="AD252" s="40"/>
      <c r="AE252" s="40"/>
      <c r="AF252" s="40"/>
      <c r="AG252" s="40"/>
      <c r="AH252" s="40"/>
      <c r="AI252" s="40"/>
      <c r="AJ252" s="40"/>
      <c r="AK252" s="40"/>
      <c r="AL252" s="40"/>
      <c r="AM252" s="40"/>
      <c r="AN252" s="40"/>
      <c r="AO252" s="40"/>
      <c r="AP252" s="40"/>
      <c r="AQ252" s="40"/>
      <c r="AR252" s="40"/>
      <c r="AS252" s="40"/>
      <c r="AT252" s="40"/>
      <c r="AU252" s="40"/>
      <c r="AV252" s="40"/>
      <c r="AW252" s="40"/>
      <c r="AX252" s="40"/>
      <c r="AY252" s="40"/>
      <c r="AZ252" s="40"/>
      <c r="BA252" s="40"/>
      <c r="BB252" s="40"/>
      <c r="BC252" s="40"/>
      <c r="BD252" s="40"/>
      <c r="BE252" s="40"/>
      <c r="BF252" s="40"/>
      <c r="BG252" s="40"/>
      <c r="BH252" s="40"/>
      <c r="BI252" s="40"/>
      <c r="BJ252" s="40"/>
      <c r="BK252" s="40"/>
      <c r="BL252" s="40"/>
      <c r="BM252" s="40"/>
      <c r="BN252" s="40"/>
      <c r="BO252" s="40"/>
      <c r="BP252" s="40"/>
      <c r="BQ252" s="40"/>
      <c r="BR252" s="40"/>
      <c r="BS252" s="40"/>
      <c r="BT252" s="40"/>
      <c r="BU252" s="40"/>
      <c r="BV252" s="40"/>
      <c r="BW252" s="40"/>
      <c r="BX252" s="40"/>
      <c r="BY252" s="40"/>
      <c r="BZ252" s="40"/>
      <c r="CA252" s="40"/>
      <c r="CB252" s="40"/>
      <c r="CC252" s="40"/>
      <c r="CD252" s="40"/>
      <c r="CE252" s="40"/>
      <c r="CF252" s="40"/>
      <c r="CG252" s="40"/>
      <c r="CH252" s="40"/>
      <c r="CI252" s="40"/>
      <c r="CJ252" s="40"/>
      <c r="CK252" s="40"/>
      <c r="CL252" s="40"/>
    </row>
    <row r="253" spans="1:90" x14ac:dyDescent="0.25">
      <c r="A253" s="40"/>
      <c r="B253" s="40"/>
      <c r="C253" s="40"/>
      <c r="D253" s="40"/>
      <c r="E253" s="40"/>
      <c r="F253" s="40"/>
      <c r="G253" s="40"/>
      <c r="H253" s="40"/>
      <c r="I253" s="40"/>
      <c r="J253" s="40"/>
      <c r="K253" s="40"/>
      <c r="L253" s="40"/>
      <c r="M253" s="40"/>
      <c r="N253" s="40"/>
      <c r="O253" s="40"/>
      <c r="P253" s="40"/>
      <c r="Q253" s="40"/>
      <c r="R253" s="40"/>
      <c r="S253" s="40"/>
      <c r="T253" s="40"/>
      <c r="U253" s="40"/>
      <c r="V253" s="40"/>
      <c r="W253" s="40"/>
      <c r="X253" s="40"/>
      <c r="Y253" s="40"/>
      <c r="Z253" s="40"/>
      <c r="AA253" s="40"/>
      <c r="AB253" s="40"/>
      <c r="AC253" s="40"/>
      <c r="AD253" s="40"/>
      <c r="AE253" s="40"/>
      <c r="AF253" s="40"/>
      <c r="AG253" s="40"/>
      <c r="AH253" s="40"/>
      <c r="AI253" s="40"/>
      <c r="AJ253" s="40"/>
      <c r="AK253" s="40"/>
      <c r="AL253" s="40"/>
      <c r="AM253" s="40"/>
      <c r="AN253" s="40"/>
      <c r="AO253" s="40"/>
      <c r="AP253" s="40"/>
      <c r="AQ253" s="40"/>
      <c r="AR253" s="40"/>
      <c r="AS253" s="40"/>
      <c r="AT253" s="40"/>
      <c r="AU253" s="40"/>
      <c r="AV253" s="40"/>
      <c r="AW253" s="40"/>
      <c r="AX253" s="40"/>
      <c r="AY253" s="40"/>
      <c r="AZ253" s="40"/>
      <c r="BA253" s="40"/>
      <c r="BB253" s="40"/>
      <c r="BC253" s="40"/>
      <c r="BD253" s="40"/>
      <c r="BE253" s="40"/>
      <c r="BF253" s="40"/>
      <c r="BG253" s="40"/>
      <c r="BH253" s="40"/>
      <c r="BI253" s="40"/>
      <c r="BJ253" s="40"/>
      <c r="BK253" s="40"/>
      <c r="BL253" s="40"/>
      <c r="BM253" s="40"/>
      <c r="BN253" s="40"/>
      <c r="BO253" s="40"/>
      <c r="BP253" s="40"/>
      <c r="BQ253" s="40"/>
      <c r="BR253" s="40"/>
      <c r="BS253" s="40"/>
      <c r="BT253" s="40"/>
      <c r="BU253" s="40"/>
      <c r="BV253" s="40"/>
      <c r="BW253" s="40"/>
      <c r="BX253" s="40"/>
      <c r="BY253" s="40"/>
      <c r="BZ253" s="40"/>
      <c r="CA253" s="40"/>
      <c r="CB253" s="40"/>
      <c r="CC253" s="40"/>
      <c r="CD253" s="40"/>
      <c r="CE253" s="40"/>
      <c r="CF253" s="40"/>
      <c r="CG253" s="40"/>
      <c r="CH253" s="40"/>
      <c r="CI253" s="40"/>
      <c r="CJ253" s="40"/>
      <c r="CK253" s="40"/>
      <c r="CL253" s="40"/>
    </row>
    <row r="254" spans="1:90" x14ac:dyDescent="0.25">
      <c r="A254" s="40"/>
      <c r="B254" s="40"/>
      <c r="C254" s="40"/>
      <c r="D254" s="40"/>
      <c r="E254" s="40"/>
      <c r="F254" s="40"/>
      <c r="G254" s="40"/>
      <c r="H254" s="40"/>
      <c r="I254" s="40"/>
      <c r="J254" s="40"/>
      <c r="K254" s="40"/>
      <c r="L254" s="40"/>
      <c r="M254" s="40"/>
      <c r="N254" s="40"/>
      <c r="O254" s="40"/>
      <c r="P254" s="40"/>
      <c r="Q254" s="40"/>
      <c r="R254" s="40"/>
      <c r="S254" s="40"/>
      <c r="T254" s="40"/>
      <c r="U254" s="40"/>
      <c r="V254" s="40"/>
      <c r="W254" s="40"/>
      <c r="X254" s="40"/>
      <c r="Y254" s="40"/>
      <c r="Z254" s="40"/>
      <c r="AA254" s="40"/>
      <c r="AB254" s="40"/>
      <c r="AC254" s="40"/>
      <c r="AD254" s="40"/>
      <c r="AE254" s="40"/>
      <c r="AF254" s="40"/>
      <c r="AG254" s="40"/>
      <c r="AH254" s="40"/>
      <c r="AI254" s="40"/>
      <c r="AJ254" s="40"/>
      <c r="AK254" s="40"/>
      <c r="AL254" s="40"/>
      <c r="AM254" s="40"/>
      <c r="AN254" s="40"/>
      <c r="AO254" s="40"/>
      <c r="AP254" s="40"/>
      <c r="AQ254" s="40"/>
      <c r="AR254" s="40"/>
      <c r="AS254" s="40"/>
      <c r="AT254" s="40"/>
      <c r="AU254" s="40"/>
      <c r="AV254" s="40"/>
      <c r="AW254" s="40"/>
      <c r="AX254" s="40"/>
      <c r="AY254" s="40"/>
      <c r="AZ254" s="40"/>
      <c r="BA254" s="40"/>
      <c r="BB254" s="40"/>
      <c r="BC254" s="40"/>
      <c r="BD254" s="40"/>
      <c r="BE254" s="40"/>
      <c r="BF254" s="40"/>
      <c r="BG254" s="40"/>
      <c r="BH254" s="40"/>
      <c r="BI254" s="40"/>
      <c r="BJ254" s="40"/>
      <c r="BK254" s="40"/>
      <c r="BL254" s="40"/>
      <c r="BM254" s="40"/>
      <c r="BN254" s="40"/>
      <c r="BO254" s="40"/>
      <c r="BP254" s="40"/>
      <c r="BQ254" s="40"/>
      <c r="BR254" s="40"/>
      <c r="BS254" s="40"/>
      <c r="BT254" s="40"/>
      <c r="BU254" s="40"/>
      <c r="BV254" s="40"/>
      <c r="BW254" s="40"/>
      <c r="BX254" s="40"/>
      <c r="BY254" s="40"/>
      <c r="BZ254" s="40"/>
      <c r="CA254" s="40"/>
      <c r="CB254" s="40"/>
      <c r="CC254" s="40"/>
      <c r="CD254" s="40"/>
      <c r="CE254" s="40"/>
      <c r="CF254" s="40"/>
      <c r="CG254" s="40"/>
      <c r="CH254" s="40"/>
      <c r="CI254" s="40"/>
      <c r="CJ254" s="40"/>
      <c r="CK254" s="40"/>
      <c r="CL254" s="40"/>
    </row>
    <row r="255" spans="1:90" x14ac:dyDescent="0.25">
      <c r="A255" s="40"/>
      <c r="B255" s="40"/>
      <c r="C255" s="40"/>
      <c r="D255" s="40"/>
      <c r="E255" s="40"/>
      <c r="F255" s="40"/>
      <c r="G255" s="40"/>
      <c r="H255" s="40"/>
      <c r="I255" s="40"/>
      <c r="J255" s="40"/>
      <c r="K255" s="40"/>
      <c r="L255" s="40"/>
      <c r="M255" s="40"/>
      <c r="N255" s="40"/>
      <c r="O255" s="40"/>
      <c r="P255" s="40"/>
      <c r="Q255" s="40"/>
      <c r="R255" s="40"/>
      <c r="S255" s="40"/>
      <c r="T255" s="40"/>
      <c r="U255" s="40"/>
      <c r="V255" s="40"/>
      <c r="W255" s="40"/>
      <c r="X255" s="40"/>
      <c r="Y255" s="40"/>
      <c r="Z255" s="40"/>
      <c r="AA255" s="40"/>
      <c r="AB255" s="40"/>
      <c r="AC255" s="40"/>
      <c r="AD255" s="40"/>
      <c r="AE255" s="40"/>
      <c r="AF255" s="40"/>
      <c r="AG255" s="40"/>
      <c r="AH255" s="40"/>
      <c r="AI255" s="40"/>
      <c r="AJ255" s="40"/>
      <c r="AK255" s="40"/>
      <c r="AL255" s="40"/>
      <c r="AM255" s="40"/>
      <c r="AN255" s="40"/>
      <c r="AO255" s="40"/>
      <c r="AP255" s="40"/>
      <c r="AQ255" s="40"/>
      <c r="AR255" s="40"/>
      <c r="AS255" s="40"/>
      <c r="AT255" s="40"/>
      <c r="AU255" s="40"/>
      <c r="AV255" s="40"/>
      <c r="AW255" s="40"/>
      <c r="AX255" s="40"/>
      <c r="AY255" s="40"/>
      <c r="AZ255" s="40"/>
      <c r="BA255" s="40"/>
      <c r="BB255" s="40"/>
      <c r="BC255" s="40"/>
      <c r="BD255" s="40"/>
      <c r="BE255" s="40"/>
      <c r="BF255" s="40"/>
      <c r="BG255" s="40"/>
      <c r="BH255" s="40"/>
      <c r="BI255" s="40"/>
      <c r="BJ255" s="40"/>
      <c r="BK255" s="40"/>
      <c r="BL255" s="40"/>
      <c r="BM255" s="40"/>
      <c r="BN255" s="40"/>
      <c r="BO255" s="40"/>
      <c r="BP255" s="40"/>
      <c r="BQ255" s="40"/>
      <c r="BR255" s="40"/>
      <c r="BS255" s="40"/>
      <c r="BT255" s="40"/>
      <c r="BU255" s="40"/>
      <c r="BV255" s="40"/>
      <c r="BW255" s="40"/>
      <c r="BX255" s="40"/>
      <c r="BY255" s="40"/>
      <c r="BZ255" s="40"/>
      <c r="CA255" s="40"/>
      <c r="CB255" s="40"/>
      <c r="CC255" s="40"/>
      <c r="CD255" s="40"/>
      <c r="CE255" s="40"/>
      <c r="CF255" s="40"/>
      <c r="CG255" s="40"/>
      <c r="CH255" s="40"/>
      <c r="CI255" s="40"/>
      <c r="CJ255" s="40"/>
      <c r="CK255" s="40"/>
      <c r="CL255" s="40"/>
    </row>
    <row r="256" spans="1:90" x14ac:dyDescent="0.25">
      <c r="A256" s="40"/>
      <c r="B256" s="40"/>
      <c r="C256" s="40"/>
      <c r="D256" s="40"/>
      <c r="E256" s="40"/>
      <c r="F256" s="40"/>
      <c r="G256" s="40"/>
      <c r="H256" s="40"/>
      <c r="I256" s="40"/>
      <c r="J256" s="40"/>
      <c r="K256" s="40"/>
      <c r="L256" s="40"/>
      <c r="M256" s="40"/>
      <c r="N256" s="40"/>
      <c r="O256" s="40"/>
      <c r="P256" s="40"/>
      <c r="Q256" s="40"/>
      <c r="R256" s="40"/>
      <c r="S256" s="40"/>
      <c r="T256" s="40"/>
      <c r="U256" s="40"/>
      <c r="V256" s="40"/>
      <c r="W256" s="40"/>
      <c r="X256" s="40"/>
      <c r="Y256" s="40"/>
      <c r="Z256" s="40"/>
      <c r="AA256" s="40"/>
      <c r="AB256" s="40"/>
      <c r="AC256" s="40"/>
      <c r="AD256" s="40"/>
      <c r="AE256" s="40"/>
      <c r="AF256" s="40"/>
      <c r="AG256" s="40"/>
      <c r="AH256" s="40"/>
      <c r="AI256" s="40"/>
      <c r="AJ256" s="40"/>
      <c r="AK256" s="40"/>
      <c r="AL256" s="40"/>
      <c r="AM256" s="40"/>
      <c r="AN256" s="40"/>
      <c r="AO256" s="40"/>
      <c r="AP256" s="40"/>
      <c r="AQ256" s="40"/>
      <c r="AR256" s="40"/>
      <c r="AS256" s="40"/>
      <c r="AT256" s="40"/>
      <c r="AU256" s="40"/>
      <c r="AV256" s="40"/>
      <c r="AW256" s="40"/>
      <c r="AX256" s="40"/>
      <c r="AY256" s="40"/>
      <c r="AZ256" s="40"/>
      <c r="BA256" s="40"/>
      <c r="BB256" s="40"/>
      <c r="BC256" s="40"/>
      <c r="BD256" s="40"/>
      <c r="BE256" s="40"/>
      <c r="BF256" s="40"/>
      <c r="BG256" s="40"/>
      <c r="BH256" s="40"/>
      <c r="BI256" s="40"/>
      <c r="BJ256" s="40"/>
      <c r="BK256" s="40"/>
      <c r="BL256" s="40"/>
      <c r="BM256" s="40"/>
      <c r="BN256" s="40"/>
      <c r="BO256" s="40"/>
      <c r="BP256" s="40"/>
      <c r="BQ256" s="40"/>
      <c r="BR256" s="40"/>
      <c r="BS256" s="40"/>
      <c r="BT256" s="40"/>
      <c r="BU256" s="40"/>
      <c r="BV256" s="40"/>
      <c r="BW256" s="40"/>
      <c r="BX256" s="40"/>
      <c r="BY256" s="40"/>
      <c r="BZ256" s="40"/>
      <c r="CA256" s="40"/>
      <c r="CB256" s="40"/>
      <c r="CC256" s="40"/>
      <c r="CD256" s="40"/>
      <c r="CE256" s="40"/>
      <c r="CF256" s="40"/>
      <c r="CG256" s="40"/>
      <c r="CH256" s="40"/>
      <c r="CI256" s="40"/>
      <c r="CJ256" s="40"/>
      <c r="CK256" s="40"/>
      <c r="CL256" s="40"/>
    </row>
    <row r="257" spans="1:90" x14ac:dyDescent="0.25">
      <c r="A257" s="40"/>
      <c r="B257" s="40"/>
      <c r="C257" s="40"/>
      <c r="D257" s="40"/>
      <c r="E257" s="40"/>
      <c r="F257" s="40"/>
      <c r="G257" s="40"/>
      <c r="H257" s="40"/>
      <c r="I257" s="40"/>
      <c r="J257" s="40"/>
      <c r="K257" s="40"/>
      <c r="L257" s="40"/>
      <c r="M257" s="40"/>
      <c r="N257" s="40"/>
      <c r="O257" s="40"/>
      <c r="P257" s="40"/>
      <c r="Q257" s="40"/>
      <c r="R257" s="40"/>
      <c r="S257" s="40"/>
      <c r="T257" s="40"/>
      <c r="U257" s="40"/>
      <c r="V257" s="40"/>
      <c r="W257" s="40"/>
      <c r="X257" s="40"/>
      <c r="Y257" s="40"/>
      <c r="Z257" s="40"/>
      <c r="AA257" s="40"/>
      <c r="AB257" s="40"/>
      <c r="AC257" s="40"/>
      <c r="AD257" s="40"/>
      <c r="AE257" s="40"/>
      <c r="AF257" s="40"/>
      <c r="AG257" s="40"/>
      <c r="AH257" s="40"/>
      <c r="AI257" s="40"/>
      <c r="AJ257" s="40"/>
      <c r="AK257" s="40"/>
      <c r="AL257" s="40"/>
      <c r="AM257" s="40"/>
      <c r="AN257" s="40"/>
      <c r="AO257" s="40"/>
      <c r="AP257" s="40"/>
      <c r="AQ257" s="40"/>
      <c r="AR257" s="40"/>
      <c r="AS257" s="40"/>
      <c r="AT257" s="40"/>
      <c r="AU257" s="40"/>
      <c r="AV257" s="40"/>
      <c r="AW257" s="40"/>
      <c r="AX257" s="40"/>
      <c r="AY257" s="40"/>
      <c r="AZ257" s="40"/>
      <c r="BA257" s="40"/>
      <c r="BB257" s="40"/>
      <c r="BC257" s="40"/>
      <c r="BD257" s="40"/>
      <c r="BE257" s="40"/>
      <c r="BF257" s="40"/>
      <c r="BG257" s="40"/>
      <c r="BH257" s="40"/>
      <c r="BI257" s="40"/>
      <c r="BJ257" s="40"/>
      <c r="BK257" s="40"/>
      <c r="BL257" s="40"/>
      <c r="BM257" s="40"/>
      <c r="BN257" s="40"/>
      <c r="BO257" s="40"/>
      <c r="BP257" s="40"/>
      <c r="BQ257" s="40"/>
      <c r="BR257" s="40"/>
      <c r="BS257" s="40"/>
      <c r="BT257" s="40"/>
      <c r="BU257" s="40"/>
      <c r="BV257" s="40"/>
      <c r="BW257" s="40"/>
      <c r="BX257" s="40"/>
      <c r="BY257" s="40"/>
      <c r="BZ257" s="40"/>
      <c r="CA257" s="40"/>
      <c r="CB257" s="40"/>
      <c r="CC257" s="40"/>
      <c r="CD257" s="40"/>
      <c r="CE257" s="40"/>
      <c r="CF257" s="40"/>
      <c r="CG257" s="40"/>
      <c r="CH257" s="40"/>
      <c r="CI257" s="40"/>
      <c r="CJ257" s="40"/>
      <c r="CK257" s="40"/>
      <c r="CL257" s="40"/>
    </row>
    <row r="258" spans="1:90" x14ac:dyDescent="0.25">
      <c r="A258" s="40"/>
      <c r="B258" s="40"/>
      <c r="C258" s="40"/>
      <c r="D258" s="40"/>
      <c r="E258" s="40"/>
      <c r="F258" s="40"/>
      <c r="G258" s="40"/>
      <c r="H258" s="40"/>
      <c r="I258" s="40"/>
      <c r="J258" s="40"/>
      <c r="K258" s="40"/>
      <c r="L258" s="40"/>
      <c r="M258" s="40"/>
      <c r="N258" s="40"/>
      <c r="O258" s="40"/>
      <c r="P258" s="40"/>
      <c r="Q258" s="40"/>
      <c r="R258" s="40"/>
      <c r="S258" s="40"/>
      <c r="T258" s="40"/>
      <c r="U258" s="40"/>
      <c r="V258" s="40"/>
      <c r="W258" s="40"/>
      <c r="X258" s="40"/>
      <c r="Y258" s="40"/>
      <c r="Z258" s="40"/>
      <c r="AA258" s="40"/>
      <c r="AB258" s="40"/>
      <c r="AC258" s="40"/>
      <c r="AD258" s="40"/>
      <c r="AE258" s="40"/>
      <c r="AF258" s="40"/>
      <c r="AG258" s="40"/>
      <c r="AH258" s="40"/>
      <c r="AI258" s="40"/>
      <c r="AJ258" s="40"/>
      <c r="AK258" s="40"/>
      <c r="AL258" s="40"/>
      <c r="AM258" s="40"/>
      <c r="AN258" s="40"/>
      <c r="AO258" s="40"/>
      <c r="AP258" s="40"/>
      <c r="AQ258" s="40"/>
      <c r="AR258" s="40"/>
      <c r="AS258" s="40"/>
      <c r="AT258" s="40"/>
      <c r="AU258" s="40"/>
      <c r="AV258" s="40"/>
      <c r="AW258" s="40"/>
      <c r="AX258" s="40"/>
      <c r="AY258" s="40"/>
      <c r="AZ258" s="40"/>
      <c r="BA258" s="40"/>
      <c r="BB258" s="40"/>
      <c r="BC258" s="40"/>
      <c r="BD258" s="40"/>
      <c r="BE258" s="40"/>
      <c r="BF258" s="40"/>
      <c r="BG258" s="40"/>
      <c r="BH258" s="40"/>
      <c r="BI258" s="40"/>
      <c r="BJ258" s="40"/>
      <c r="BK258" s="40"/>
      <c r="BL258" s="40"/>
      <c r="BM258" s="40"/>
      <c r="BN258" s="40"/>
      <c r="BO258" s="40"/>
      <c r="BP258" s="40"/>
      <c r="BQ258" s="40"/>
      <c r="BR258" s="40"/>
      <c r="BS258" s="40"/>
      <c r="BT258" s="40"/>
      <c r="BU258" s="40"/>
      <c r="BV258" s="40"/>
      <c r="BW258" s="40"/>
      <c r="BX258" s="40"/>
      <c r="BY258" s="40"/>
      <c r="BZ258" s="40"/>
      <c r="CA258" s="40"/>
      <c r="CB258" s="40"/>
      <c r="CC258" s="40"/>
      <c r="CD258" s="40"/>
      <c r="CE258" s="40"/>
      <c r="CF258" s="40"/>
      <c r="CG258" s="40"/>
      <c r="CH258" s="40"/>
      <c r="CI258" s="40"/>
      <c r="CJ258" s="40"/>
      <c r="CK258" s="40"/>
      <c r="CL258" s="40"/>
    </row>
    <row r="259" spans="1:90" x14ac:dyDescent="0.25">
      <c r="A259" s="40"/>
      <c r="B259" s="40"/>
      <c r="C259" s="40"/>
      <c r="D259" s="40"/>
      <c r="E259" s="40"/>
      <c r="F259" s="40"/>
      <c r="G259" s="40"/>
      <c r="H259" s="40"/>
      <c r="I259" s="40"/>
      <c r="J259" s="40"/>
      <c r="K259" s="40"/>
      <c r="L259" s="40"/>
      <c r="M259" s="40"/>
      <c r="N259" s="40"/>
      <c r="O259" s="40"/>
      <c r="P259" s="40"/>
      <c r="Q259" s="40"/>
      <c r="R259" s="40"/>
      <c r="S259" s="40"/>
      <c r="T259" s="40"/>
      <c r="U259" s="40"/>
      <c r="V259" s="40"/>
      <c r="W259" s="40"/>
      <c r="X259" s="40"/>
      <c r="Y259" s="40"/>
      <c r="Z259" s="40"/>
      <c r="AA259" s="40"/>
      <c r="AB259" s="40"/>
      <c r="AC259" s="40"/>
      <c r="AD259" s="40"/>
      <c r="AE259" s="40"/>
      <c r="AF259" s="40"/>
      <c r="AG259" s="40"/>
      <c r="AH259" s="40"/>
      <c r="AI259" s="40"/>
      <c r="AJ259" s="40"/>
      <c r="AK259" s="40"/>
      <c r="AL259" s="40"/>
      <c r="AM259" s="40"/>
      <c r="AN259" s="40"/>
      <c r="AO259" s="40"/>
      <c r="AP259" s="40"/>
      <c r="AQ259" s="40"/>
      <c r="AR259" s="40"/>
      <c r="AS259" s="40"/>
      <c r="AT259" s="40"/>
      <c r="AU259" s="40"/>
      <c r="AV259" s="40"/>
      <c r="AW259" s="40"/>
      <c r="AX259" s="40"/>
      <c r="AY259" s="40"/>
      <c r="AZ259" s="40"/>
      <c r="BA259" s="40"/>
      <c r="BB259" s="40"/>
      <c r="BC259" s="40"/>
      <c r="BD259" s="40"/>
      <c r="BE259" s="40"/>
      <c r="BF259" s="40"/>
      <c r="BG259" s="40"/>
      <c r="BH259" s="40"/>
      <c r="BI259" s="40"/>
      <c r="BJ259" s="40"/>
      <c r="BK259" s="40"/>
      <c r="BL259" s="40"/>
      <c r="BM259" s="40"/>
      <c r="BN259" s="40"/>
      <c r="BO259" s="40"/>
      <c r="BP259" s="40"/>
      <c r="BQ259" s="40"/>
      <c r="BR259" s="40"/>
      <c r="BS259" s="40"/>
      <c r="BT259" s="40"/>
      <c r="BU259" s="40"/>
      <c r="BV259" s="40"/>
      <c r="BW259" s="40"/>
      <c r="BX259" s="40"/>
      <c r="BY259" s="40"/>
      <c r="BZ259" s="40"/>
      <c r="CA259" s="40"/>
      <c r="CB259" s="40"/>
      <c r="CC259" s="40"/>
      <c r="CD259" s="40"/>
      <c r="CE259" s="40"/>
      <c r="CF259" s="40"/>
      <c r="CG259" s="40"/>
      <c r="CH259" s="40"/>
      <c r="CI259" s="40"/>
      <c r="CJ259" s="40"/>
      <c r="CK259" s="40"/>
      <c r="CL259" s="40"/>
    </row>
    <row r="260" spans="1:90" x14ac:dyDescent="0.25">
      <c r="A260" s="40"/>
      <c r="B260" s="40"/>
      <c r="C260" s="40"/>
      <c r="D260" s="40"/>
      <c r="E260" s="40"/>
      <c r="F260" s="40"/>
      <c r="G260" s="40"/>
      <c r="H260" s="40"/>
      <c r="I260" s="40"/>
      <c r="J260" s="40"/>
      <c r="K260" s="40"/>
      <c r="L260" s="40"/>
      <c r="M260" s="40"/>
      <c r="N260" s="40"/>
      <c r="O260" s="40"/>
      <c r="P260" s="40"/>
      <c r="Q260" s="40"/>
      <c r="R260" s="40"/>
      <c r="S260" s="40"/>
      <c r="T260" s="40"/>
      <c r="U260" s="40"/>
      <c r="V260" s="40"/>
      <c r="W260" s="40"/>
      <c r="X260" s="40"/>
      <c r="Y260" s="40"/>
      <c r="Z260" s="40"/>
      <c r="AA260" s="40"/>
      <c r="AB260" s="40"/>
      <c r="AC260" s="40"/>
      <c r="AD260" s="40"/>
      <c r="AE260" s="40"/>
      <c r="AF260" s="40"/>
      <c r="AG260" s="40"/>
      <c r="AH260" s="40"/>
      <c r="AI260" s="40"/>
      <c r="AJ260" s="40"/>
      <c r="AK260" s="40"/>
      <c r="AL260" s="40"/>
      <c r="AM260" s="40"/>
      <c r="AN260" s="40"/>
      <c r="AO260" s="40"/>
      <c r="AP260" s="40"/>
      <c r="AQ260" s="40"/>
      <c r="AR260" s="40"/>
      <c r="AS260" s="40"/>
      <c r="AT260" s="40"/>
      <c r="AU260" s="40"/>
      <c r="AV260" s="40"/>
      <c r="AW260" s="40"/>
      <c r="AX260" s="40"/>
      <c r="AY260" s="40"/>
      <c r="AZ260" s="40"/>
      <c r="BA260" s="40"/>
      <c r="BB260" s="40"/>
      <c r="BC260" s="40"/>
      <c r="BD260" s="40"/>
      <c r="BE260" s="40"/>
      <c r="BF260" s="40"/>
      <c r="BG260" s="40"/>
      <c r="BH260" s="40"/>
      <c r="BI260" s="40"/>
      <c r="BJ260" s="40"/>
      <c r="BK260" s="40"/>
      <c r="BL260" s="40"/>
      <c r="BM260" s="40"/>
      <c r="BN260" s="40"/>
      <c r="BO260" s="40"/>
      <c r="BP260" s="40"/>
      <c r="BQ260" s="40"/>
      <c r="BR260" s="40"/>
      <c r="BS260" s="40"/>
      <c r="BT260" s="40"/>
      <c r="BU260" s="40"/>
      <c r="BV260" s="40"/>
      <c r="BW260" s="40"/>
      <c r="BX260" s="40"/>
      <c r="BY260" s="40"/>
      <c r="BZ260" s="40"/>
      <c r="CA260" s="40"/>
      <c r="CB260" s="40"/>
      <c r="CC260" s="40"/>
      <c r="CD260" s="40"/>
      <c r="CE260" s="40"/>
      <c r="CF260" s="40"/>
      <c r="CG260" s="40"/>
      <c r="CH260" s="40"/>
      <c r="CI260" s="40"/>
      <c r="CJ260" s="40"/>
      <c r="CK260" s="40"/>
      <c r="CL260" s="40"/>
    </row>
    <row r="261" spans="1:90" x14ac:dyDescent="0.25">
      <c r="A261" s="40"/>
      <c r="B261" s="40"/>
      <c r="C261" s="40"/>
      <c r="D261" s="40"/>
      <c r="E261" s="40"/>
      <c r="F261" s="40"/>
      <c r="G261" s="40"/>
      <c r="H261" s="40"/>
      <c r="I261" s="40"/>
      <c r="J261" s="40"/>
      <c r="K261" s="40"/>
      <c r="L261" s="40"/>
      <c r="M261" s="40"/>
      <c r="N261" s="40"/>
      <c r="O261" s="40"/>
      <c r="P261" s="40"/>
      <c r="Q261" s="40"/>
      <c r="R261" s="40"/>
      <c r="S261" s="40"/>
      <c r="T261" s="40"/>
      <c r="U261" s="40"/>
      <c r="V261" s="40"/>
      <c r="W261" s="40"/>
      <c r="X261" s="40"/>
      <c r="Y261" s="40"/>
      <c r="Z261" s="40"/>
      <c r="AA261" s="40"/>
      <c r="AB261" s="40"/>
      <c r="AC261" s="40"/>
      <c r="AD261" s="40"/>
      <c r="AE261" s="40"/>
      <c r="AF261" s="40"/>
      <c r="AG261" s="40"/>
      <c r="AH261" s="40"/>
      <c r="AI261" s="40"/>
      <c r="AJ261" s="40"/>
      <c r="AK261" s="40"/>
      <c r="AL261" s="40"/>
      <c r="AM261" s="40"/>
      <c r="AN261" s="40"/>
      <c r="AO261" s="40"/>
      <c r="AP261" s="40"/>
      <c r="AQ261" s="40"/>
      <c r="AR261" s="40"/>
      <c r="AS261" s="40"/>
      <c r="AT261" s="40"/>
      <c r="AU261" s="40"/>
      <c r="AV261" s="40"/>
      <c r="AW261" s="40"/>
      <c r="AX261" s="40"/>
      <c r="AY261" s="40"/>
      <c r="AZ261" s="40"/>
      <c r="BA261" s="40"/>
      <c r="BB261" s="40"/>
      <c r="BC261" s="40"/>
      <c r="BD261" s="40"/>
      <c r="BE261" s="40"/>
      <c r="BF261" s="40"/>
      <c r="BG261" s="40"/>
      <c r="BH261" s="40"/>
      <c r="BI261" s="40"/>
      <c r="BJ261" s="40"/>
      <c r="BK261" s="40"/>
      <c r="BL261" s="40"/>
      <c r="BM261" s="40"/>
      <c r="BN261" s="40"/>
      <c r="BO261" s="40"/>
      <c r="BP261" s="40"/>
      <c r="BQ261" s="40"/>
      <c r="BR261" s="40"/>
      <c r="BS261" s="40"/>
      <c r="BT261" s="40"/>
      <c r="BU261" s="40"/>
      <c r="BV261" s="40"/>
      <c r="BW261" s="40"/>
      <c r="BX261" s="40"/>
      <c r="BY261" s="40"/>
      <c r="BZ261" s="40"/>
      <c r="CA261" s="40"/>
      <c r="CB261" s="40"/>
      <c r="CC261" s="40"/>
      <c r="CD261" s="40"/>
      <c r="CE261" s="40"/>
      <c r="CF261" s="40"/>
      <c r="CG261" s="40"/>
      <c r="CH261" s="40"/>
      <c r="CI261" s="40"/>
      <c r="CJ261" s="40"/>
      <c r="CK261" s="40"/>
      <c r="CL261" s="40"/>
    </row>
    <row r="262" spans="1:90" x14ac:dyDescent="0.25">
      <c r="A262" s="40"/>
      <c r="B262" s="40"/>
      <c r="C262" s="40"/>
      <c r="D262" s="40"/>
      <c r="E262" s="40"/>
      <c r="F262" s="40"/>
      <c r="G262" s="40"/>
      <c r="H262" s="40"/>
      <c r="I262" s="40"/>
      <c r="J262" s="40"/>
      <c r="K262" s="40"/>
      <c r="L262" s="40"/>
      <c r="M262" s="40"/>
      <c r="N262" s="40"/>
      <c r="O262" s="40"/>
      <c r="P262" s="40"/>
      <c r="Q262" s="40"/>
      <c r="R262" s="40"/>
      <c r="S262" s="40"/>
      <c r="T262" s="40"/>
      <c r="U262" s="40"/>
      <c r="V262" s="40"/>
      <c r="W262" s="40"/>
      <c r="X262" s="40"/>
      <c r="Y262" s="40"/>
      <c r="Z262" s="40"/>
      <c r="AA262" s="40"/>
      <c r="AB262" s="40"/>
      <c r="AC262" s="40"/>
      <c r="AD262" s="40"/>
      <c r="AE262" s="40"/>
      <c r="AF262" s="40"/>
      <c r="AG262" s="40"/>
      <c r="AH262" s="40"/>
      <c r="AI262" s="40"/>
      <c r="AJ262" s="40"/>
      <c r="AK262" s="40"/>
      <c r="AL262" s="40"/>
      <c r="AM262" s="40"/>
      <c r="AN262" s="40"/>
      <c r="AO262" s="40"/>
      <c r="AP262" s="40"/>
      <c r="AQ262" s="40"/>
      <c r="AR262" s="40"/>
      <c r="AS262" s="40"/>
      <c r="AT262" s="40"/>
      <c r="AU262" s="40"/>
      <c r="AV262" s="40"/>
      <c r="AW262" s="40"/>
      <c r="AX262" s="40"/>
      <c r="AY262" s="40"/>
      <c r="AZ262" s="40"/>
      <c r="BA262" s="40"/>
      <c r="BB262" s="40"/>
      <c r="BC262" s="40"/>
      <c r="BD262" s="40"/>
      <c r="BE262" s="40"/>
      <c r="BF262" s="40"/>
      <c r="BG262" s="40"/>
      <c r="BH262" s="40"/>
      <c r="BI262" s="40"/>
      <c r="BJ262" s="40"/>
      <c r="BK262" s="40"/>
      <c r="BL262" s="40"/>
      <c r="BM262" s="40"/>
      <c r="BN262" s="40"/>
      <c r="BO262" s="40"/>
      <c r="BP262" s="40"/>
      <c r="BQ262" s="40"/>
      <c r="BR262" s="40"/>
      <c r="BS262" s="40"/>
      <c r="BT262" s="40"/>
      <c r="BU262" s="40"/>
      <c r="BV262" s="40"/>
      <c r="BW262" s="40"/>
      <c r="BX262" s="40"/>
      <c r="BY262" s="40"/>
      <c r="BZ262" s="40"/>
      <c r="CA262" s="40"/>
      <c r="CB262" s="40"/>
      <c r="CC262" s="40"/>
      <c r="CD262" s="40"/>
      <c r="CE262" s="40"/>
      <c r="CF262" s="40"/>
      <c r="CG262" s="40"/>
      <c r="CH262" s="40"/>
      <c r="CI262" s="40"/>
      <c r="CJ262" s="40"/>
      <c r="CK262" s="40"/>
      <c r="CL262" s="40"/>
    </row>
    <row r="263" spans="1:90" x14ac:dyDescent="0.25">
      <c r="A263" s="40"/>
      <c r="B263" s="40"/>
      <c r="C263" s="40"/>
      <c r="D263" s="40"/>
      <c r="E263" s="40"/>
      <c r="F263" s="40"/>
      <c r="G263" s="40"/>
      <c r="H263" s="40"/>
      <c r="I263" s="40"/>
      <c r="J263" s="40"/>
      <c r="K263" s="40"/>
      <c r="L263" s="40"/>
      <c r="M263" s="40"/>
      <c r="N263" s="40"/>
      <c r="O263" s="40"/>
      <c r="P263" s="40"/>
      <c r="Q263" s="40"/>
      <c r="R263" s="40"/>
      <c r="S263" s="40"/>
      <c r="T263" s="40"/>
      <c r="U263" s="40"/>
      <c r="V263" s="40"/>
      <c r="W263" s="40"/>
      <c r="X263" s="40"/>
      <c r="Y263" s="40"/>
      <c r="Z263" s="40"/>
      <c r="AA263" s="40"/>
      <c r="AB263" s="40"/>
      <c r="AC263" s="40"/>
      <c r="AD263" s="40"/>
      <c r="AE263" s="40"/>
      <c r="AF263" s="40"/>
      <c r="AG263" s="40"/>
      <c r="AH263" s="40"/>
      <c r="AI263" s="40"/>
      <c r="AJ263" s="40"/>
      <c r="AK263" s="40"/>
      <c r="AL263" s="40"/>
      <c r="AM263" s="40"/>
      <c r="AN263" s="40"/>
      <c r="AO263" s="40"/>
      <c r="AP263" s="40"/>
      <c r="AQ263" s="40"/>
      <c r="AR263" s="40"/>
      <c r="AS263" s="40"/>
      <c r="AT263" s="40"/>
      <c r="AU263" s="40"/>
      <c r="AV263" s="40"/>
      <c r="AW263" s="40"/>
      <c r="AX263" s="40"/>
      <c r="AY263" s="40"/>
      <c r="AZ263" s="40"/>
      <c r="BA263" s="40"/>
      <c r="BB263" s="40"/>
      <c r="BC263" s="40"/>
      <c r="BD263" s="40"/>
      <c r="BE263" s="40"/>
      <c r="BF263" s="40"/>
      <c r="BG263" s="40"/>
      <c r="BH263" s="40"/>
      <c r="BI263" s="40"/>
      <c r="BJ263" s="40"/>
      <c r="BK263" s="40"/>
      <c r="BL263" s="40"/>
      <c r="BM263" s="40"/>
      <c r="BN263" s="40"/>
      <c r="BO263" s="40"/>
      <c r="BP263" s="40"/>
      <c r="BQ263" s="40"/>
      <c r="BR263" s="40"/>
      <c r="BS263" s="40"/>
      <c r="BT263" s="40"/>
      <c r="BU263" s="40"/>
      <c r="BV263" s="40"/>
      <c r="BW263" s="40"/>
      <c r="BX263" s="40"/>
      <c r="BY263" s="40"/>
      <c r="BZ263" s="40"/>
      <c r="CA263" s="40"/>
      <c r="CB263" s="40"/>
      <c r="CC263" s="40"/>
      <c r="CD263" s="40"/>
      <c r="CE263" s="40"/>
      <c r="CF263" s="40"/>
      <c r="CG263" s="40"/>
      <c r="CH263" s="40"/>
      <c r="CI263" s="40"/>
      <c r="CJ263" s="40"/>
      <c r="CK263" s="40"/>
      <c r="CL263" s="40"/>
    </row>
    <row r="264" spans="1:90" x14ac:dyDescent="0.25">
      <c r="A264" s="40"/>
      <c r="B264" s="40"/>
      <c r="C264" s="40"/>
      <c r="D264" s="40"/>
      <c r="E264" s="40"/>
      <c r="F264" s="40"/>
      <c r="G264" s="40"/>
      <c r="H264" s="40"/>
      <c r="I264" s="40"/>
      <c r="J264" s="40"/>
      <c r="K264" s="40"/>
      <c r="L264" s="40"/>
      <c r="M264" s="40"/>
      <c r="N264" s="40"/>
      <c r="O264" s="40"/>
      <c r="P264" s="40"/>
      <c r="Q264" s="40"/>
      <c r="R264" s="40"/>
      <c r="S264" s="40"/>
      <c r="T264" s="40"/>
      <c r="U264" s="40"/>
      <c r="V264" s="40"/>
      <c r="W264" s="40"/>
      <c r="X264" s="40"/>
      <c r="Y264" s="40"/>
      <c r="Z264" s="40"/>
      <c r="AA264" s="40"/>
      <c r="AB264" s="40"/>
      <c r="AC264" s="40"/>
      <c r="AD264" s="40"/>
      <c r="AE264" s="40"/>
      <c r="AF264" s="40"/>
      <c r="AG264" s="40"/>
      <c r="AH264" s="40"/>
      <c r="AI264" s="40"/>
      <c r="AJ264" s="40"/>
      <c r="AK264" s="40"/>
      <c r="AL264" s="40"/>
      <c r="AM264" s="40"/>
      <c r="AN264" s="40"/>
      <c r="AO264" s="40"/>
      <c r="AP264" s="40"/>
      <c r="AQ264" s="40"/>
      <c r="AR264" s="40"/>
      <c r="AS264" s="40"/>
      <c r="AT264" s="40"/>
      <c r="AU264" s="40"/>
      <c r="AV264" s="40"/>
      <c r="AW264" s="40"/>
      <c r="AX264" s="40"/>
      <c r="AY264" s="40"/>
      <c r="AZ264" s="40"/>
      <c r="BA264" s="40"/>
      <c r="BB264" s="40"/>
      <c r="BC264" s="40"/>
      <c r="BD264" s="40"/>
      <c r="BE264" s="40"/>
      <c r="BF264" s="40"/>
      <c r="BG264" s="40"/>
      <c r="BH264" s="40"/>
      <c r="BI264" s="40"/>
      <c r="BJ264" s="40"/>
      <c r="BK264" s="40"/>
      <c r="BL264" s="40"/>
      <c r="BM264" s="40"/>
      <c r="BN264" s="40"/>
      <c r="BO264" s="40"/>
      <c r="BP264" s="40"/>
      <c r="BQ264" s="40"/>
      <c r="BR264" s="40"/>
      <c r="BS264" s="40"/>
      <c r="BT264" s="40"/>
      <c r="BU264" s="40"/>
      <c r="BV264" s="40"/>
      <c r="BW264" s="40"/>
      <c r="BX264" s="40"/>
      <c r="BY264" s="40"/>
      <c r="BZ264" s="40"/>
      <c r="CA264" s="40"/>
      <c r="CB264" s="40"/>
      <c r="CC264" s="40"/>
      <c r="CD264" s="40"/>
      <c r="CE264" s="40"/>
      <c r="CF264" s="40"/>
      <c r="CG264" s="40"/>
      <c r="CH264" s="40"/>
      <c r="CI264" s="40"/>
      <c r="CJ264" s="40"/>
      <c r="CK264" s="40"/>
      <c r="CL264" s="40"/>
    </row>
    <row r="265" spans="1:90" x14ac:dyDescent="0.25">
      <c r="A265" s="40"/>
      <c r="B265" s="40"/>
      <c r="C265" s="40"/>
      <c r="D265" s="40"/>
      <c r="E265" s="40"/>
      <c r="F265" s="40"/>
      <c r="G265" s="40"/>
      <c r="H265" s="40"/>
      <c r="I265" s="40"/>
      <c r="J265" s="40"/>
      <c r="K265" s="40"/>
      <c r="L265" s="40"/>
      <c r="M265" s="40"/>
      <c r="N265" s="40"/>
      <c r="O265" s="40"/>
      <c r="P265" s="40"/>
      <c r="Q265" s="40"/>
      <c r="R265" s="40"/>
      <c r="S265" s="40"/>
      <c r="T265" s="40"/>
      <c r="U265" s="40"/>
      <c r="V265" s="40"/>
      <c r="W265" s="40"/>
      <c r="X265" s="40"/>
      <c r="Y265" s="40"/>
      <c r="Z265" s="40"/>
      <c r="AA265" s="40"/>
      <c r="AB265" s="40"/>
      <c r="AC265" s="40"/>
      <c r="AD265" s="40"/>
      <c r="AE265" s="40"/>
      <c r="AF265" s="40"/>
      <c r="AG265" s="40"/>
      <c r="AH265" s="40"/>
      <c r="AI265" s="40"/>
      <c r="AJ265" s="40"/>
      <c r="AK265" s="40"/>
      <c r="AL265" s="40"/>
      <c r="AM265" s="40"/>
      <c r="AN265" s="40"/>
      <c r="AO265" s="40"/>
      <c r="AP265" s="40"/>
      <c r="AQ265" s="40"/>
      <c r="AR265" s="40"/>
      <c r="AS265" s="40"/>
      <c r="AT265" s="40"/>
      <c r="AU265" s="40"/>
      <c r="AV265" s="40"/>
      <c r="AW265" s="40"/>
      <c r="AX265" s="40"/>
      <c r="AY265" s="40"/>
      <c r="AZ265" s="40"/>
      <c r="BA265" s="40"/>
      <c r="BB265" s="40"/>
      <c r="BC265" s="40"/>
      <c r="BD265" s="40"/>
      <c r="BE265" s="40"/>
      <c r="BF265" s="40"/>
      <c r="BG265" s="40"/>
      <c r="BH265" s="40"/>
      <c r="BI265" s="40"/>
      <c r="BJ265" s="40"/>
      <c r="BK265" s="40"/>
      <c r="BL265" s="40"/>
      <c r="BM265" s="40"/>
      <c r="BN265" s="40"/>
      <c r="BO265" s="40"/>
      <c r="BP265" s="40"/>
      <c r="BQ265" s="40"/>
      <c r="BR265" s="40"/>
      <c r="BS265" s="40"/>
      <c r="BT265" s="40"/>
      <c r="BU265" s="40"/>
      <c r="BV265" s="40"/>
      <c r="BW265" s="40"/>
      <c r="BX265" s="40"/>
      <c r="BY265" s="40"/>
      <c r="BZ265" s="40"/>
      <c r="CA265" s="40"/>
      <c r="CB265" s="40"/>
      <c r="CC265" s="40"/>
      <c r="CD265" s="40"/>
      <c r="CE265" s="40"/>
      <c r="CF265" s="40"/>
      <c r="CG265" s="40"/>
      <c r="CH265" s="40"/>
      <c r="CI265" s="40"/>
      <c r="CJ265" s="40"/>
      <c r="CK265" s="40"/>
      <c r="CL265" s="40"/>
    </row>
    <row r="266" spans="1:90" x14ac:dyDescent="0.25">
      <c r="A266" s="40"/>
      <c r="B266" s="40"/>
      <c r="C266" s="40"/>
      <c r="D266" s="40"/>
      <c r="E266" s="40"/>
      <c r="F266" s="40"/>
      <c r="G266" s="40"/>
      <c r="H266" s="40"/>
      <c r="I266" s="40"/>
      <c r="J266" s="40"/>
      <c r="K266" s="40"/>
      <c r="L266" s="40"/>
      <c r="M266" s="40"/>
      <c r="N266" s="40"/>
      <c r="O266" s="40"/>
      <c r="P266" s="40"/>
      <c r="Q266" s="40"/>
      <c r="R266" s="40"/>
      <c r="S266" s="40"/>
      <c r="T266" s="40"/>
      <c r="U266" s="40"/>
      <c r="V266" s="40"/>
      <c r="W266" s="40"/>
      <c r="X266" s="40"/>
      <c r="Y266" s="40"/>
      <c r="Z266" s="40"/>
      <c r="AA266" s="40"/>
      <c r="AB266" s="40"/>
      <c r="AC266" s="40"/>
      <c r="AD266" s="40"/>
      <c r="AE266" s="40"/>
      <c r="AF266" s="40"/>
      <c r="AG266" s="40"/>
      <c r="AH266" s="40"/>
      <c r="AI266" s="40"/>
      <c r="AJ266" s="40"/>
      <c r="AK266" s="40"/>
      <c r="AL266" s="40"/>
      <c r="AM266" s="40"/>
      <c r="AN266" s="40"/>
      <c r="AO266" s="40"/>
      <c r="AP266" s="40"/>
      <c r="AQ266" s="40"/>
      <c r="AR266" s="40"/>
      <c r="AS266" s="40"/>
      <c r="AT266" s="40"/>
      <c r="AU266" s="40"/>
      <c r="AV266" s="40"/>
      <c r="AW266" s="40"/>
      <c r="AX266" s="40"/>
      <c r="AY266" s="40"/>
      <c r="AZ266" s="40"/>
      <c r="BA266" s="40"/>
      <c r="BB266" s="40"/>
      <c r="BC266" s="40"/>
      <c r="BD266" s="40"/>
      <c r="BE266" s="40"/>
      <c r="BF266" s="40"/>
      <c r="BG266" s="40"/>
      <c r="BH266" s="40"/>
      <c r="BI266" s="40"/>
      <c r="BJ266" s="40"/>
      <c r="BK266" s="40"/>
      <c r="BL266" s="40"/>
      <c r="BM266" s="40"/>
      <c r="BN266" s="40"/>
      <c r="BO266" s="40"/>
      <c r="BP266" s="40"/>
      <c r="BQ266" s="40"/>
      <c r="BR266" s="40"/>
      <c r="BS266" s="40"/>
      <c r="BT266" s="40"/>
      <c r="BU266" s="40"/>
      <c r="BV266" s="40"/>
      <c r="BW266" s="40"/>
      <c r="BX266" s="40"/>
      <c r="BY266" s="40"/>
      <c r="BZ266" s="40"/>
      <c r="CA266" s="40"/>
      <c r="CB266" s="40"/>
      <c r="CC266" s="40"/>
      <c r="CD266" s="40"/>
      <c r="CE266" s="40"/>
      <c r="CF266" s="40"/>
      <c r="CG266" s="40"/>
      <c r="CH266" s="40"/>
      <c r="CI266" s="40"/>
      <c r="CJ266" s="40"/>
      <c r="CK266" s="40"/>
      <c r="CL266" s="40"/>
    </row>
    <row r="267" spans="1:90" x14ac:dyDescent="0.25">
      <c r="A267" s="40"/>
      <c r="B267" s="40"/>
      <c r="C267" s="40"/>
      <c r="D267" s="40"/>
      <c r="E267" s="40"/>
      <c r="F267" s="40"/>
      <c r="G267" s="40"/>
      <c r="H267" s="40"/>
      <c r="I267" s="40"/>
      <c r="J267" s="40"/>
      <c r="K267" s="40"/>
      <c r="L267" s="40"/>
      <c r="M267" s="40"/>
      <c r="N267" s="40"/>
      <c r="O267" s="40"/>
      <c r="P267" s="40"/>
      <c r="Q267" s="40"/>
      <c r="R267" s="40"/>
      <c r="S267" s="40"/>
      <c r="T267" s="40"/>
      <c r="U267" s="40"/>
      <c r="V267" s="40"/>
      <c r="W267" s="40"/>
      <c r="X267" s="40"/>
      <c r="Y267" s="40"/>
      <c r="Z267" s="40"/>
      <c r="AA267" s="40"/>
      <c r="AB267" s="40"/>
      <c r="AC267" s="40"/>
      <c r="AD267" s="40"/>
      <c r="AE267" s="40"/>
      <c r="AF267" s="40"/>
      <c r="AG267" s="40"/>
      <c r="AH267" s="40"/>
      <c r="AI267" s="40"/>
      <c r="AJ267" s="40"/>
      <c r="AK267" s="40"/>
      <c r="AL267" s="40"/>
      <c r="AM267" s="40"/>
      <c r="AN267" s="40"/>
      <c r="AO267" s="40"/>
      <c r="AP267" s="40"/>
      <c r="AQ267" s="40"/>
      <c r="AR267" s="40"/>
      <c r="AS267" s="40"/>
      <c r="AT267" s="40"/>
      <c r="AU267" s="40"/>
      <c r="AV267" s="40"/>
      <c r="AW267" s="40"/>
      <c r="AX267" s="40"/>
      <c r="AY267" s="40"/>
      <c r="AZ267" s="40"/>
      <c r="BA267" s="40"/>
      <c r="BB267" s="40"/>
      <c r="BC267" s="40"/>
      <c r="BD267" s="40"/>
      <c r="BE267" s="40"/>
      <c r="BF267" s="40"/>
      <c r="BG267" s="40"/>
      <c r="BH267" s="40"/>
      <c r="BI267" s="40"/>
      <c r="BJ267" s="40"/>
      <c r="BK267" s="40"/>
      <c r="BL267" s="40"/>
      <c r="BM267" s="40"/>
      <c r="BN267" s="40"/>
      <c r="BO267" s="40"/>
      <c r="BP267" s="40"/>
      <c r="BQ267" s="40"/>
      <c r="BR267" s="40"/>
      <c r="BS267" s="40"/>
      <c r="BT267" s="40"/>
      <c r="BU267" s="40"/>
      <c r="BV267" s="40"/>
      <c r="BW267" s="40"/>
      <c r="BX267" s="40"/>
      <c r="BY267" s="40"/>
      <c r="BZ267" s="40"/>
      <c r="CA267" s="40"/>
      <c r="CB267" s="40"/>
      <c r="CC267" s="40"/>
      <c r="CD267" s="40"/>
      <c r="CE267" s="40"/>
      <c r="CF267" s="40"/>
      <c r="CG267" s="40"/>
      <c r="CH267" s="40"/>
      <c r="CI267" s="40"/>
      <c r="CJ267" s="40"/>
      <c r="CK267" s="40"/>
      <c r="CL267" s="40"/>
    </row>
    <row r="268" spans="1:90" x14ac:dyDescent="0.25">
      <c r="A268" s="40"/>
      <c r="B268" s="40"/>
      <c r="C268" s="40"/>
      <c r="D268" s="40"/>
      <c r="E268" s="40"/>
      <c r="F268" s="40"/>
      <c r="G268" s="40"/>
      <c r="H268" s="40"/>
      <c r="I268" s="40"/>
      <c r="J268" s="40"/>
      <c r="K268" s="40"/>
      <c r="L268" s="40"/>
      <c r="M268" s="40"/>
      <c r="N268" s="40"/>
      <c r="O268" s="40"/>
      <c r="P268" s="40"/>
      <c r="Q268" s="40"/>
      <c r="R268" s="40"/>
      <c r="S268" s="40"/>
      <c r="T268" s="40"/>
      <c r="U268" s="40"/>
      <c r="V268" s="40"/>
      <c r="W268" s="40"/>
      <c r="X268" s="40"/>
      <c r="Y268" s="40"/>
      <c r="Z268" s="40"/>
      <c r="AA268" s="40"/>
      <c r="AB268" s="40"/>
      <c r="AC268" s="40"/>
      <c r="AD268" s="40"/>
      <c r="AE268" s="40"/>
      <c r="AF268" s="40"/>
      <c r="AG268" s="40"/>
      <c r="AH268" s="40"/>
      <c r="AI268" s="40"/>
      <c r="AJ268" s="40"/>
      <c r="AK268" s="40"/>
      <c r="AL268" s="40"/>
      <c r="AM268" s="40"/>
      <c r="AN268" s="40"/>
      <c r="AO268" s="40"/>
      <c r="AP268" s="40"/>
      <c r="AQ268" s="40"/>
      <c r="AR268" s="40"/>
      <c r="AS268" s="40"/>
      <c r="AT268" s="40"/>
      <c r="AU268" s="40"/>
      <c r="AV268" s="40"/>
      <c r="AW268" s="40"/>
      <c r="AX268" s="40"/>
      <c r="AY268" s="40"/>
      <c r="AZ268" s="40"/>
      <c r="BA268" s="40"/>
      <c r="BB268" s="40"/>
      <c r="BC268" s="40"/>
      <c r="BD268" s="40"/>
      <c r="BE268" s="40"/>
      <c r="BF268" s="40"/>
      <c r="BG268" s="40"/>
      <c r="BH268" s="40"/>
      <c r="BI268" s="40"/>
      <c r="BJ268" s="40"/>
      <c r="BK268" s="40"/>
      <c r="BL268" s="40"/>
      <c r="BM268" s="40"/>
      <c r="BN268" s="40"/>
      <c r="BO268" s="40"/>
      <c r="BP268" s="40"/>
      <c r="BQ268" s="40"/>
      <c r="BR268" s="40"/>
      <c r="BS268" s="40"/>
      <c r="BT268" s="40"/>
      <c r="BU268" s="40"/>
      <c r="BV268" s="40"/>
      <c r="BW268" s="40"/>
      <c r="BX268" s="40"/>
      <c r="BY268" s="40"/>
      <c r="BZ268" s="40"/>
      <c r="CA268" s="40"/>
      <c r="CB268" s="40"/>
      <c r="CC268" s="40"/>
      <c r="CD268" s="40"/>
      <c r="CE268" s="40"/>
      <c r="CF268" s="40"/>
      <c r="CG268" s="40"/>
      <c r="CH268" s="40"/>
      <c r="CI268" s="40"/>
      <c r="CJ268" s="40"/>
      <c r="CK268" s="40"/>
      <c r="CL268" s="40"/>
    </row>
    <row r="269" spans="1:90" x14ac:dyDescent="0.25">
      <c r="A269" s="40"/>
      <c r="B269" s="40"/>
      <c r="C269" s="40"/>
      <c r="D269" s="40"/>
      <c r="E269" s="40"/>
      <c r="F269" s="40"/>
      <c r="G269" s="40"/>
      <c r="H269" s="40"/>
      <c r="I269" s="40"/>
      <c r="J269" s="40"/>
      <c r="K269" s="40"/>
      <c r="L269" s="40"/>
      <c r="M269" s="40"/>
      <c r="N269" s="40"/>
      <c r="O269" s="40"/>
      <c r="P269" s="40"/>
      <c r="Q269" s="40"/>
      <c r="R269" s="40"/>
      <c r="S269" s="40"/>
      <c r="T269" s="40"/>
      <c r="U269" s="40"/>
      <c r="V269" s="40"/>
      <c r="W269" s="40"/>
      <c r="X269" s="40"/>
      <c r="Y269" s="40"/>
      <c r="Z269" s="40"/>
      <c r="AA269" s="40"/>
      <c r="AB269" s="40"/>
      <c r="AC269" s="40"/>
      <c r="AD269" s="40"/>
      <c r="AE269" s="40"/>
      <c r="AF269" s="40"/>
      <c r="AG269" s="40"/>
      <c r="AH269" s="40"/>
      <c r="AI269" s="40"/>
      <c r="AJ269" s="40"/>
      <c r="AK269" s="40"/>
      <c r="AL269" s="40"/>
      <c r="AM269" s="40"/>
      <c r="AN269" s="40"/>
      <c r="AO269" s="40"/>
      <c r="AP269" s="40"/>
      <c r="AQ269" s="40"/>
      <c r="AR269" s="40"/>
      <c r="AS269" s="40"/>
      <c r="AT269" s="40"/>
      <c r="AU269" s="40"/>
      <c r="AV269" s="40"/>
      <c r="AW269" s="40"/>
      <c r="AX269" s="40"/>
      <c r="AY269" s="40"/>
      <c r="AZ269" s="40"/>
      <c r="BA269" s="40"/>
      <c r="BB269" s="40"/>
      <c r="BC269" s="40"/>
      <c r="BD269" s="40"/>
      <c r="BE269" s="40"/>
      <c r="BF269" s="40"/>
      <c r="BG269" s="40"/>
      <c r="BH269" s="40"/>
      <c r="BI269" s="40"/>
      <c r="BJ269" s="40"/>
      <c r="BK269" s="40"/>
      <c r="BL269" s="40"/>
      <c r="BM269" s="40"/>
      <c r="BN269" s="40"/>
      <c r="BO269" s="40"/>
      <c r="BP269" s="40"/>
      <c r="BQ269" s="40"/>
      <c r="BR269" s="40"/>
      <c r="BS269" s="40"/>
      <c r="BT269" s="40"/>
      <c r="BU269" s="40"/>
      <c r="BV269" s="40"/>
      <c r="BW269" s="40"/>
      <c r="BX269" s="40"/>
      <c r="BY269" s="40"/>
      <c r="BZ269" s="40"/>
      <c r="CA269" s="40"/>
      <c r="CB269" s="40"/>
      <c r="CC269" s="40"/>
      <c r="CD269" s="40"/>
      <c r="CE269" s="40"/>
      <c r="CF269" s="40"/>
      <c r="CG269" s="40"/>
      <c r="CH269" s="40"/>
      <c r="CI269" s="40"/>
      <c r="CJ269" s="40"/>
      <c r="CK269" s="40"/>
      <c r="CL269" s="40"/>
    </row>
    <row r="270" spans="1:90" x14ac:dyDescent="0.25">
      <c r="A270" s="40"/>
      <c r="B270" s="40"/>
      <c r="C270" s="40"/>
      <c r="D270" s="40"/>
      <c r="E270" s="40"/>
      <c r="F270" s="40"/>
      <c r="G270" s="40"/>
      <c r="H270" s="40"/>
      <c r="I270" s="40"/>
      <c r="J270" s="40"/>
      <c r="K270" s="40"/>
      <c r="L270" s="40"/>
      <c r="M270" s="40"/>
      <c r="N270" s="40"/>
      <c r="O270" s="40"/>
      <c r="P270" s="40"/>
      <c r="Q270" s="40"/>
      <c r="R270" s="40"/>
      <c r="S270" s="40"/>
      <c r="T270" s="40"/>
      <c r="U270" s="40"/>
      <c r="V270" s="40"/>
      <c r="W270" s="40"/>
      <c r="X270" s="40"/>
      <c r="Y270" s="40"/>
      <c r="Z270" s="40"/>
      <c r="AA270" s="40"/>
      <c r="AB270" s="40"/>
      <c r="AC270" s="40"/>
      <c r="AD270" s="40"/>
      <c r="AE270" s="40"/>
      <c r="AF270" s="40"/>
      <c r="AG270" s="40"/>
      <c r="AH270" s="40"/>
      <c r="AI270" s="40"/>
      <c r="AJ270" s="40"/>
      <c r="AK270" s="40"/>
      <c r="AL270" s="40"/>
      <c r="AM270" s="40"/>
      <c r="AN270" s="40"/>
      <c r="AO270" s="40"/>
      <c r="AP270" s="40"/>
      <c r="AQ270" s="40"/>
      <c r="AR270" s="40"/>
      <c r="AS270" s="40"/>
      <c r="AT270" s="40"/>
      <c r="AU270" s="40"/>
      <c r="AV270" s="40"/>
      <c r="AW270" s="40"/>
      <c r="AX270" s="40"/>
      <c r="AY270" s="40"/>
      <c r="AZ270" s="40"/>
      <c r="BA270" s="40"/>
      <c r="BB270" s="40"/>
      <c r="BC270" s="40"/>
      <c r="BD270" s="40"/>
      <c r="BE270" s="40"/>
      <c r="BF270" s="40"/>
      <c r="BG270" s="40"/>
      <c r="BH270" s="40"/>
      <c r="BI270" s="40"/>
      <c r="BJ270" s="40"/>
      <c r="BK270" s="40"/>
      <c r="BL270" s="40"/>
      <c r="BM270" s="40"/>
      <c r="BN270" s="40"/>
      <c r="BO270" s="40"/>
      <c r="BP270" s="40"/>
      <c r="BQ270" s="40"/>
      <c r="BR270" s="40"/>
      <c r="BS270" s="40"/>
      <c r="BT270" s="40"/>
      <c r="BU270" s="40"/>
      <c r="BV270" s="40"/>
      <c r="BW270" s="40"/>
      <c r="BX270" s="40"/>
      <c r="BY270" s="40"/>
      <c r="BZ270" s="40"/>
      <c r="CA270" s="40"/>
      <c r="CB270" s="40"/>
      <c r="CC270" s="40"/>
      <c r="CD270" s="40"/>
      <c r="CE270" s="40"/>
      <c r="CF270" s="40"/>
      <c r="CG270" s="40"/>
      <c r="CH270" s="40"/>
      <c r="CI270" s="40"/>
      <c r="CJ270" s="40"/>
      <c r="CK270" s="40"/>
      <c r="CL270" s="40"/>
    </row>
    <row r="271" spans="1:90" x14ac:dyDescent="0.25">
      <c r="A271" s="40"/>
      <c r="B271" s="40"/>
      <c r="C271" s="40"/>
      <c r="D271" s="40"/>
      <c r="E271" s="40"/>
      <c r="F271" s="40"/>
      <c r="G271" s="40"/>
      <c r="H271" s="40"/>
      <c r="I271" s="40"/>
      <c r="J271" s="40"/>
      <c r="K271" s="40"/>
      <c r="L271" s="40"/>
      <c r="M271" s="40"/>
      <c r="N271" s="40"/>
      <c r="O271" s="40"/>
      <c r="P271" s="40"/>
      <c r="Q271" s="40"/>
      <c r="R271" s="40"/>
      <c r="S271" s="40"/>
      <c r="T271" s="40"/>
      <c r="U271" s="40"/>
      <c r="V271" s="40"/>
      <c r="W271" s="40"/>
      <c r="X271" s="40"/>
      <c r="Y271" s="40"/>
      <c r="Z271" s="40"/>
      <c r="AA271" s="40"/>
      <c r="AB271" s="40"/>
      <c r="AC271" s="40"/>
      <c r="AD271" s="40"/>
      <c r="AE271" s="40"/>
      <c r="AF271" s="40"/>
      <c r="AG271" s="40"/>
      <c r="AH271" s="40"/>
      <c r="AI271" s="40"/>
      <c r="AJ271" s="40"/>
      <c r="AK271" s="40"/>
      <c r="AL271" s="40"/>
      <c r="AM271" s="40"/>
      <c r="AN271" s="40"/>
      <c r="AO271" s="40"/>
      <c r="AP271" s="40"/>
      <c r="AQ271" s="40"/>
      <c r="AR271" s="40"/>
      <c r="AS271" s="40"/>
      <c r="AT271" s="40"/>
      <c r="AU271" s="40"/>
      <c r="AV271" s="40"/>
      <c r="AW271" s="40"/>
      <c r="AX271" s="40"/>
      <c r="AY271" s="40"/>
      <c r="AZ271" s="40"/>
      <c r="BA271" s="40"/>
      <c r="BB271" s="40"/>
      <c r="BC271" s="40"/>
      <c r="BD271" s="40"/>
      <c r="BE271" s="40"/>
      <c r="BF271" s="40"/>
      <c r="BG271" s="40"/>
      <c r="BH271" s="40"/>
      <c r="BI271" s="40"/>
      <c r="BJ271" s="40"/>
      <c r="BK271" s="40"/>
      <c r="BL271" s="40"/>
      <c r="BM271" s="40"/>
      <c r="BN271" s="40"/>
      <c r="BO271" s="40"/>
      <c r="BP271" s="40"/>
      <c r="BQ271" s="40"/>
      <c r="BR271" s="40"/>
      <c r="BS271" s="40"/>
      <c r="BT271" s="40"/>
      <c r="BU271" s="40"/>
      <c r="BV271" s="40"/>
      <c r="BW271" s="40"/>
      <c r="BX271" s="40"/>
      <c r="BY271" s="40"/>
      <c r="BZ271" s="40"/>
      <c r="CA271" s="40"/>
      <c r="CB271" s="40"/>
      <c r="CC271" s="40"/>
      <c r="CD271" s="40"/>
      <c r="CE271" s="40"/>
      <c r="CF271" s="40"/>
      <c r="CG271" s="40"/>
      <c r="CH271" s="40"/>
      <c r="CI271" s="40"/>
      <c r="CJ271" s="40"/>
      <c r="CK271" s="40"/>
      <c r="CL271" s="40"/>
    </row>
    <row r="272" spans="1:90" x14ac:dyDescent="0.25">
      <c r="A272" s="40"/>
      <c r="B272" s="40"/>
      <c r="C272" s="40"/>
      <c r="D272" s="40"/>
      <c r="E272" s="40"/>
      <c r="F272" s="40"/>
      <c r="G272" s="40"/>
      <c r="H272" s="40"/>
      <c r="I272" s="40"/>
      <c r="J272" s="40"/>
      <c r="K272" s="40"/>
      <c r="L272" s="40"/>
      <c r="M272" s="40"/>
      <c r="N272" s="40"/>
      <c r="O272" s="40"/>
      <c r="P272" s="40"/>
      <c r="Q272" s="40"/>
      <c r="R272" s="40"/>
      <c r="S272" s="40"/>
      <c r="T272" s="40"/>
      <c r="U272" s="40"/>
      <c r="V272" s="40"/>
      <c r="W272" s="40"/>
      <c r="X272" s="40"/>
      <c r="Y272" s="40"/>
      <c r="Z272" s="40"/>
      <c r="AA272" s="40"/>
      <c r="AB272" s="40"/>
      <c r="AC272" s="40"/>
      <c r="AD272" s="40"/>
      <c r="AE272" s="40"/>
      <c r="AF272" s="40"/>
      <c r="AG272" s="40"/>
      <c r="AH272" s="40"/>
      <c r="AI272" s="40"/>
      <c r="AJ272" s="40"/>
      <c r="AK272" s="40"/>
      <c r="AL272" s="40"/>
      <c r="AM272" s="40"/>
      <c r="AN272" s="40"/>
      <c r="AO272" s="40"/>
      <c r="AP272" s="40"/>
      <c r="AQ272" s="40"/>
      <c r="AR272" s="40"/>
      <c r="AS272" s="40"/>
      <c r="AT272" s="40"/>
      <c r="AU272" s="40"/>
      <c r="AV272" s="40"/>
      <c r="AW272" s="40"/>
      <c r="AX272" s="40"/>
      <c r="AY272" s="40"/>
      <c r="AZ272" s="40"/>
      <c r="BA272" s="40"/>
      <c r="BB272" s="40"/>
      <c r="BC272" s="40"/>
      <c r="BD272" s="40"/>
      <c r="BE272" s="40"/>
      <c r="BF272" s="40"/>
      <c r="BG272" s="40"/>
      <c r="BH272" s="40"/>
      <c r="BI272" s="40"/>
      <c r="BJ272" s="40"/>
      <c r="BK272" s="40"/>
      <c r="BL272" s="40"/>
      <c r="BM272" s="40"/>
      <c r="BN272" s="40"/>
      <c r="BO272" s="40"/>
      <c r="BP272" s="40"/>
      <c r="BQ272" s="40"/>
      <c r="BR272" s="40"/>
      <c r="BS272" s="40"/>
      <c r="BT272" s="40"/>
      <c r="BU272" s="40"/>
      <c r="BV272" s="40"/>
      <c r="BW272" s="40"/>
      <c r="BX272" s="40"/>
      <c r="BY272" s="40"/>
      <c r="BZ272" s="40"/>
      <c r="CA272" s="40"/>
      <c r="CB272" s="40"/>
      <c r="CC272" s="40"/>
      <c r="CD272" s="40"/>
      <c r="CE272" s="40"/>
      <c r="CF272" s="40"/>
      <c r="CG272" s="40"/>
      <c r="CH272" s="40"/>
      <c r="CI272" s="40"/>
      <c r="CJ272" s="40"/>
      <c r="CK272" s="40"/>
      <c r="CL272" s="40"/>
    </row>
    <row r="273" spans="1:90" x14ac:dyDescent="0.25">
      <c r="A273" s="40"/>
      <c r="B273" s="40"/>
      <c r="C273" s="40"/>
      <c r="D273" s="40"/>
      <c r="E273" s="40"/>
      <c r="F273" s="40"/>
      <c r="G273" s="40"/>
      <c r="H273" s="40"/>
      <c r="I273" s="40"/>
      <c r="J273" s="40"/>
      <c r="K273" s="40"/>
      <c r="L273" s="40"/>
      <c r="M273" s="40"/>
      <c r="N273" s="40"/>
      <c r="O273" s="40"/>
      <c r="P273" s="40"/>
      <c r="Q273" s="40"/>
      <c r="R273" s="40"/>
      <c r="S273" s="40"/>
      <c r="T273" s="40"/>
      <c r="U273" s="40"/>
      <c r="V273" s="40"/>
      <c r="W273" s="40"/>
      <c r="X273" s="40"/>
      <c r="Y273" s="40"/>
      <c r="Z273" s="40"/>
      <c r="AA273" s="40"/>
      <c r="AB273" s="40"/>
      <c r="AC273" s="40"/>
      <c r="AD273" s="40"/>
      <c r="AE273" s="40"/>
      <c r="AF273" s="40"/>
      <c r="AG273" s="40"/>
      <c r="AH273" s="40"/>
      <c r="AI273" s="40"/>
      <c r="AJ273" s="40"/>
      <c r="AK273" s="40"/>
      <c r="AL273" s="40"/>
      <c r="AM273" s="40"/>
      <c r="AN273" s="40"/>
      <c r="AO273" s="40"/>
      <c r="AP273" s="40"/>
      <c r="AQ273" s="40"/>
      <c r="AR273" s="40"/>
      <c r="AS273" s="40"/>
      <c r="AT273" s="40"/>
      <c r="AU273" s="40"/>
      <c r="AV273" s="40"/>
      <c r="AW273" s="40"/>
      <c r="AX273" s="40"/>
      <c r="AY273" s="40"/>
      <c r="AZ273" s="40"/>
      <c r="BA273" s="40"/>
      <c r="BB273" s="40"/>
      <c r="BC273" s="40"/>
      <c r="BD273" s="40"/>
      <c r="BE273" s="40"/>
      <c r="BF273" s="40"/>
      <c r="BG273" s="40"/>
      <c r="BH273" s="40"/>
      <c r="BI273" s="40"/>
      <c r="BJ273" s="40"/>
      <c r="BK273" s="40"/>
      <c r="BL273" s="40"/>
      <c r="BM273" s="40"/>
      <c r="BN273" s="40"/>
      <c r="BO273" s="40"/>
      <c r="BP273" s="40"/>
      <c r="BQ273" s="40"/>
      <c r="BR273" s="40"/>
      <c r="BS273" s="40"/>
      <c r="BT273" s="40"/>
      <c r="BU273" s="40"/>
      <c r="BV273" s="40"/>
      <c r="BW273" s="40"/>
      <c r="BX273" s="40"/>
      <c r="BY273" s="40"/>
      <c r="BZ273" s="40"/>
      <c r="CA273" s="40"/>
      <c r="CB273" s="40"/>
      <c r="CC273" s="40"/>
      <c r="CD273" s="40"/>
      <c r="CE273" s="40"/>
      <c r="CF273" s="40"/>
      <c r="CG273" s="40"/>
      <c r="CH273" s="40"/>
      <c r="CI273" s="40"/>
      <c r="CJ273" s="40"/>
      <c r="CK273" s="40"/>
      <c r="CL273" s="40"/>
    </row>
    <row r="274" spans="1:90" x14ac:dyDescent="0.25">
      <c r="A274" s="40"/>
      <c r="B274" s="40"/>
      <c r="C274" s="40"/>
      <c r="D274" s="40"/>
      <c r="E274" s="40"/>
      <c r="F274" s="40"/>
      <c r="G274" s="40"/>
      <c r="H274" s="40"/>
      <c r="I274" s="40"/>
      <c r="J274" s="40"/>
      <c r="K274" s="40"/>
      <c r="L274" s="40"/>
      <c r="M274" s="40"/>
      <c r="N274" s="40"/>
      <c r="O274" s="40"/>
      <c r="P274" s="40"/>
      <c r="Q274" s="40"/>
      <c r="R274" s="40"/>
      <c r="S274" s="40"/>
      <c r="T274" s="40"/>
      <c r="U274" s="40"/>
      <c r="V274" s="40"/>
      <c r="W274" s="40"/>
      <c r="X274" s="40"/>
      <c r="Y274" s="40"/>
      <c r="Z274" s="40"/>
      <c r="AA274" s="40"/>
      <c r="AB274" s="40"/>
      <c r="AC274" s="40"/>
      <c r="AD274" s="40"/>
      <c r="AE274" s="40"/>
      <c r="AF274" s="40"/>
      <c r="AG274" s="40"/>
      <c r="AH274" s="40"/>
      <c r="AI274" s="40"/>
      <c r="AJ274" s="40"/>
      <c r="AK274" s="40"/>
      <c r="AL274" s="40"/>
      <c r="AM274" s="40"/>
      <c r="AN274" s="40"/>
      <c r="AO274" s="40"/>
      <c r="AP274" s="40"/>
      <c r="AQ274" s="40"/>
      <c r="AR274" s="40"/>
      <c r="AS274" s="40"/>
      <c r="AT274" s="40"/>
      <c r="AU274" s="40"/>
      <c r="AV274" s="40"/>
      <c r="AW274" s="40"/>
      <c r="AX274" s="40"/>
      <c r="AY274" s="40"/>
      <c r="AZ274" s="40"/>
      <c r="BA274" s="40"/>
      <c r="BB274" s="40"/>
      <c r="BC274" s="40"/>
      <c r="BD274" s="40"/>
      <c r="BE274" s="40"/>
      <c r="BF274" s="40"/>
      <c r="BG274" s="40"/>
      <c r="BH274" s="40"/>
      <c r="BI274" s="40"/>
      <c r="BJ274" s="40"/>
      <c r="BK274" s="40"/>
      <c r="BL274" s="40"/>
      <c r="BM274" s="40"/>
      <c r="BN274" s="40"/>
      <c r="BO274" s="40"/>
      <c r="BP274" s="40"/>
      <c r="BQ274" s="40"/>
      <c r="BR274" s="40"/>
      <c r="BS274" s="40"/>
      <c r="BT274" s="40"/>
      <c r="BU274" s="40"/>
      <c r="BV274" s="40"/>
      <c r="BW274" s="40"/>
      <c r="BX274" s="40"/>
      <c r="BY274" s="40"/>
      <c r="BZ274" s="40"/>
      <c r="CA274" s="40"/>
      <c r="CB274" s="40"/>
      <c r="CC274" s="40"/>
      <c r="CD274" s="40"/>
      <c r="CE274" s="40"/>
      <c r="CF274" s="40"/>
      <c r="CG274" s="40"/>
      <c r="CH274" s="40"/>
      <c r="CI274" s="40"/>
      <c r="CJ274" s="40"/>
      <c r="CK274" s="40"/>
      <c r="CL274" s="40"/>
    </row>
    <row r="275" spans="1:90" x14ac:dyDescent="0.25">
      <c r="A275" s="40"/>
      <c r="B275" s="40"/>
      <c r="C275" s="40"/>
      <c r="D275" s="40"/>
      <c r="E275" s="40"/>
      <c r="F275" s="40"/>
      <c r="G275" s="40"/>
      <c r="H275" s="40"/>
      <c r="I275" s="40"/>
      <c r="J275" s="40"/>
      <c r="K275" s="40"/>
      <c r="L275" s="40"/>
      <c r="M275" s="40"/>
      <c r="N275" s="40"/>
      <c r="O275" s="40"/>
      <c r="P275" s="40"/>
      <c r="Q275" s="40"/>
      <c r="R275" s="40"/>
      <c r="S275" s="40"/>
      <c r="T275" s="40"/>
      <c r="U275" s="40"/>
      <c r="V275" s="40"/>
      <c r="W275" s="40"/>
      <c r="X275" s="40"/>
      <c r="Y275" s="40"/>
      <c r="Z275" s="40"/>
      <c r="AA275" s="40"/>
      <c r="AB275" s="40"/>
      <c r="AC275" s="40"/>
      <c r="AD275" s="40"/>
      <c r="AE275" s="40"/>
      <c r="AF275" s="40"/>
      <c r="AG275" s="40"/>
      <c r="AH275" s="40"/>
      <c r="AI275" s="40"/>
      <c r="AJ275" s="40"/>
      <c r="AK275" s="40"/>
      <c r="AL275" s="40"/>
      <c r="AM275" s="40"/>
      <c r="AN275" s="40"/>
      <c r="AO275" s="40"/>
      <c r="AP275" s="40"/>
      <c r="AQ275" s="40"/>
      <c r="AR275" s="40"/>
      <c r="AS275" s="40"/>
      <c r="AT275" s="40"/>
      <c r="AU275" s="40"/>
      <c r="AV275" s="40"/>
      <c r="AW275" s="40"/>
      <c r="AX275" s="40"/>
      <c r="AY275" s="40"/>
      <c r="AZ275" s="40"/>
      <c r="BA275" s="40"/>
      <c r="BB275" s="40"/>
      <c r="BC275" s="40"/>
      <c r="BD275" s="40"/>
      <c r="BE275" s="40"/>
      <c r="BF275" s="40"/>
      <c r="BG275" s="40"/>
      <c r="BH275" s="40"/>
      <c r="BI275" s="40"/>
      <c r="BJ275" s="40"/>
      <c r="BK275" s="40"/>
      <c r="BL275" s="40"/>
      <c r="BM275" s="40"/>
      <c r="BN275" s="40"/>
      <c r="BO275" s="40"/>
      <c r="BP275" s="40"/>
      <c r="BQ275" s="40"/>
      <c r="BR275" s="40"/>
      <c r="BS275" s="40"/>
      <c r="BT275" s="40"/>
      <c r="BU275" s="40"/>
      <c r="BV275" s="40"/>
      <c r="BW275" s="40"/>
      <c r="BX275" s="40"/>
      <c r="BY275" s="40"/>
      <c r="BZ275" s="40"/>
      <c r="CA275" s="40"/>
      <c r="CB275" s="40"/>
      <c r="CC275" s="40"/>
      <c r="CD275" s="40"/>
      <c r="CE275" s="40"/>
      <c r="CF275" s="40"/>
      <c r="CG275" s="40"/>
      <c r="CH275" s="40"/>
      <c r="CI275" s="40"/>
      <c r="CJ275" s="40"/>
      <c r="CK275" s="40"/>
      <c r="CL275" s="40"/>
    </row>
    <row r="276" spans="1:90" x14ac:dyDescent="0.25">
      <c r="A276" s="40"/>
      <c r="B276" s="40"/>
      <c r="C276" s="40"/>
      <c r="D276" s="40"/>
      <c r="E276" s="40"/>
      <c r="F276" s="40"/>
      <c r="G276" s="40"/>
      <c r="H276" s="40"/>
      <c r="I276" s="40"/>
      <c r="J276" s="40"/>
      <c r="K276" s="40"/>
      <c r="L276" s="40"/>
      <c r="M276" s="40"/>
      <c r="N276" s="40"/>
      <c r="O276" s="40"/>
      <c r="P276" s="40"/>
      <c r="Q276" s="40"/>
      <c r="R276" s="40"/>
      <c r="S276" s="40"/>
      <c r="T276" s="40"/>
      <c r="U276" s="40"/>
      <c r="V276" s="40"/>
      <c r="W276" s="40"/>
      <c r="X276" s="40"/>
      <c r="Y276" s="40"/>
      <c r="Z276" s="40"/>
      <c r="AA276" s="40"/>
      <c r="AB276" s="40"/>
      <c r="AC276" s="40"/>
      <c r="AD276" s="40"/>
      <c r="AE276" s="40"/>
      <c r="AF276" s="40"/>
      <c r="AG276" s="40"/>
      <c r="AH276" s="40"/>
      <c r="AI276" s="40"/>
      <c r="AJ276" s="40"/>
      <c r="AK276" s="40"/>
      <c r="AL276" s="40"/>
      <c r="AM276" s="40"/>
      <c r="AN276" s="40"/>
      <c r="AO276" s="40"/>
      <c r="AP276" s="40"/>
      <c r="AQ276" s="40"/>
      <c r="AR276" s="40"/>
      <c r="AS276" s="40"/>
      <c r="AT276" s="40"/>
      <c r="AU276" s="40"/>
      <c r="AV276" s="40"/>
      <c r="AW276" s="40"/>
      <c r="AX276" s="40"/>
      <c r="AY276" s="40"/>
      <c r="AZ276" s="40"/>
      <c r="BA276" s="40"/>
      <c r="BB276" s="40"/>
      <c r="BC276" s="40"/>
      <c r="BD276" s="40"/>
      <c r="BE276" s="40"/>
      <c r="BF276" s="40"/>
      <c r="BG276" s="40"/>
      <c r="BH276" s="40"/>
      <c r="BI276" s="40"/>
      <c r="BJ276" s="40"/>
      <c r="BK276" s="40"/>
      <c r="BL276" s="40"/>
      <c r="BM276" s="40"/>
      <c r="BN276" s="40"/>
      <c r="BO276" s="40"/>
      <c r="BP276" s="40"/>
      <c r="BQ276" s="40"/>
      <c r="BR276" s="40"/>
      <c r="BS276" s="40"/>
      <c r="BT276" s="40"/>
      <c r="BU276" s="40"/>
      <c r="BV276" s="40"/>
      <c r="BW276" s="40"/>
      <c r="BX276" s="40"/>
      <c r="BY276" s="40"/>
      <c r="BZ276" s="40"/>
      <c r="CA276" s="40"/>
      <c r="CB276" s="40"/>
      <c r="CC276" s="40"/>
      <c r="CD276" s="40"/>
      <c r="CE276" s="40"/>
      <c r="CF276" s="40"/>
      <c r="CG276" s="40"/>
      <c r="CH276" s="40"/>
      <c r="CI276" s="40"/>
      <c r="CJ276" s="40"/>
      <c r="CK276" s="40"/>
      <c r="CL276" s="40"/>
    </row>
    <row r="277" spans="1:90" x14ac:dyDescent="0.25">
      <c r="A277" s="40"/>
      <c r="B277" s="40"/>
      <c r="C277" s="40"/>
      <c r="D277" s="40"/>
      <c r="E277" s="40"/>
      <c r="F277" s="40"/>
      <c r="G277" s="40"/>
      <c r="H277" s="40"/>
      <c r="I277" s="40"/>
      <c r="J277" s="40"/>
      <c r="K277" s="40"/>
      <c r="L277" s="40"/>
      <c r="M277" s="40"/>
      <c r="N277" s="40"/>
      <c r="O277" s="40"/>
      <c r="P277" s="40"/>
      <c r="Q277" s="40"/>
      <c r="R277" s="40"/>
      <c r="S277" s="40"/>
      <c r="T277" s="40"/>
      <c r="U277" s="40"/>
      <c r="V277" s="40"/>
      <c r="W277" s="40"/>
      <c r="X277" s="40"/>
      <c r="Y277" s="40"/>
      <c r="Z277" s="40"/>
      <c r="AA277" s="40"/>
      <c r="AB277" s="40"/>
      <c r="AC277" s="40"/>
      <c r="AD277" s="40"/>
      <c r="AE277" s="40"/>
      <c r="AF277" s="40"/>
      <c r="AG277" s="40"/>
      <c r="AH277" s="40"/>
      <c r="AI277" s="40"/>
      <c r="AJ277" s="40"/>
      <c r="AK277" s="40"/>
      <c r="AL277" s="40"/>
      <c r="AM277" s="40"/>
      <c r="AN277" s="40"/>
      <c r="AO277" s="40"/>
      <c r="AP277" s="40"/>
      <c r="AQ277" s="40"/>
      <c r="AR277" s="40"/>
      <c r="AS277" s="40"/>
      <c r="AT277" s="40"/>
      <c r="AU277" s="40"/>
      <c r="AV277" s="40"/>
      <c r="AW277" s="40"/>
      <c r="AX277" s="40"/>
      <c r="AY277" s="40"/>
      <c r="AZ277" s="40"/>
      <c r="BA277" s="40"/>
      <c r="BB277" s="40"/>
      <c r="BC277" s="40"/>
      <c r="BD277" s="40"/>
      <c r="BE277" s="40"/>
      <c r="BF277" s="40"/>
      <c r="BG277" s="40"/>
      <c r="BH277" s="40"/>
      <c r="BI277" s="40"/>
      <c r="BJ277" s="40"/>
      <c r="BK277" s="40"/>
      <c r="BL277" s="40"/>
      <c r="BM277" s="40"/>
      <c r="BN277" s="40"/>
      <c r="BO277" s="40"/>
      <c r="BP277" s="40"/>
      <c r="BQ277" s="40"/>
      <c r="BR277" s="40"/>
      <c r="BS277" s="40"/>
      <c r="BT277" s="40"/>
      <c r="BU277" s="40"/>
      <c r="BV277" s="40"/>
      <c r="BW277" s="40"/>
      <c r="BX277" s="40"/>
      <c r="BY277" s="40"/>
      <c r="BZ277" s="40"/>
      <c r="CA277" s="40"/>
      <c r="CB277" s="40"/>
      <c r="CC277" s="40"/>
      <c r="CD277" s="40"/>
      <c r="CE277" s="40"/>
      <c r="CF277" s="40"/>
      <c r="CG277" s="40"/>
      <c r="CH277" s="40"/>
      <c r="CI277" s="40"/>
      <c r="CJ277" s="40"/>
      <c r="CK277" s="40"/>
      <c r="CL277" s="40"/>
    </row>
    <row r="278" spans="1:90" x14ac:dyDescent="0.25">
      <c r="A278" s="40"/>
      <c r="B278" s="40"/>
      <c r="C278" s="40"/>
      <c r="D278" s="40"/>
      <c r="E278" s="40"/>
      <c r="F278" s="40"/>
      <c r="G278" s="40"/>
      <c r="H278" s="40"/>
      <c r="I278" s="40"/>
      <c r="J278" s="40"/>
      <c r="K278" s="40"/>
      <c r="L278" s="40"/>
      <c r="M278" s="40"/>
      <c r="N278" s="40"/>
      <c r="O278" s="40"/>
      <c r="P278" s="40"/>
      <c r="Q278" s="40"/>
      <c r="R278" s="40"/>
      <c r="S278" s="40"/>
      <c r="T278" s="40"/>
      <c r="U278" s="40"/>
      <c r="V278" s="40"/>
      <c r="W278" s="40"/>
      <c r="X278" s="40"/>
      <c r="Y278" s="40"/>
      <c r="Z278" s="40"/>
      <c r="AA278" s="40"/>
      <c r="AB278" s="40"/>
      <c r="AC278" s="40"/>
      <c r="AD278" s="40"/>
      <c r="AE278" s="40"/>
      <c r="AF278" s="40"/>
      <c r="AG278" s="40"/>
      <c r="AH278" s="40"/>
      <c r="AI278" s="40"/>
      <c r="AJ278" s="40"/>
      <c r="AK278" s="40"/>
      <c r="AL278" s="40"/>
      <c r="AM278" s="40"/>
      <c r="AN278" s="40"/>
      <c r="AO278" s="40"/>
      <c r="AP278" s="40"/>
      <c r="AQ278" s="40"/>
      <c r="AR278" s="40"/>
      <c r="AS278" s="40"/>
      <c r="AT278" s="40"/>
      <c r="AU278" s="40"/>
      <c r="AV278" s="40"/>
      <c r="AW278" s="40"/>
      <c r="AX278" s="40"/>
      <c r="AY278" s="40"/>
      <c r="AZ278" s="40"/>
      <c r="BA278" s="40"/>
      <c r="BB278" s="40"/>
      <c r="BC278" s="40"/>
      <c r="BD278" s="40"/>
      <c r="BE278" s="40"/>
      <c r="BF278" s="40"/>
      <c r="BG278" s="40"/>
      <c r="BH278" s="40"/>
      <c r="BI278" s="40"/>
      <c r="BJ278" s="40"/>
      <c r="BK278" s="40"/>
      <c r="BL278" s="40"/>
      <c r="BM278" s="40"/>
      <c r="BN278" s="40"/>
      <c r="BO278" s="40"/>
      <c r="BP278" s="40"/>
      <c r="BQ278" s="40"/>
      <c r="BR278" s="40"/>
      <c r="BS278" s="40"/>
      <c r="BT278" s="40"/>
      <c r="BU278" s="40"/>
      <c r="BV278" s="40"/>
      <c r="BW278" s="40"/>
      <c r="BX278" s="40"/>
      <c r="BY278" s="40"/>
      <c r="BZ278" s="40"/>
      <c r="CA278" s="40"/>
      <c r="CB278" s="40"/>
      <c r="CC278" s="40"/>
      <c r="CD278" s="40"/>
      <c r="CE278" s="40"/>
      <c r="CF278" s="40"/>
      <c r="CG278" s="40"/>
      <c r="CH278" s="40"/>
      <c r="CI278" s="40"/>
      <c r="CJ278" s="40"/>
      <c r="CK278" s="40"/>
      <c r="CL278" s="40"/>
    </row>
    <row r="279" spans="1:90" x14ac:dyDescent="0.25">
      <c r="A279" s="40"/>
      <c r="B279" s="40"/>
      <c r="C279" s="40"/>
      <c r="D279" s="40"/>
      <c r="E279" s="40"/>
      <c r="F279" s="40"/>
      <c r="G279" s="40"/>
      <c r="H279" s="40"/>
      <c r="I279" s="40"/>
      <c r="J279" s="40"/>
      <c r="K279" s="40"/>
      <c r="L279" s="40"/>
      <c r="M279" s="40"/>
      <c r="N279" s="40"/>
      <c r="O279" s="40"/>
      <c r="P279" s="40"/>
      <c r="Q279" s="40"/>
      <c r="R279" s="40"/>
      <c r="S279" s="40"/>
      <c r="T279" s="40"/>
      <c r="U279" s="40"/>
      <c r="V279" s="40"/>
      <c r="W279" s="40"/>
      <c r="X279" s="40"/>
      <c r="Y279" s="40"/>
      <c r="Z279" s="40"/>
      <c r="AA279" s="40"/>
      <c r="AB279" s="40"/>
      <c r="AC279" s="40"/>
      <c r="AD279" s="40"/>
      <c r="AE279" s="40"/>
      <c r="AF279" s="40"/>
      <c r="AG279" s="40"/>
      <c r="AH279" s="40"/>
      <c r="AI279" s="40"/>
      <c r="AJ279" s="40"/>
      <c r="AK279" s="40"/>
      <c r="AL279" s="40"/>
      <c r="AM279" s="40"/>
      <c r="AN279" s="40"/>
      <c r="AO279" s="40"/>
      <c r="AP279" s="40"/>
      <c r="AQ279" s="40"/>
      <c r="AR279" s="40"/>
      <c r="AS279" s="40"/>
      <c r="AT279" s="40"/>
      <c r="AU279" s="40"/>
      <c r="AV279" s="40"/>
      <c r="AW279" s="40"/>
      <c r="AX279" s="40"/>
      <c r="AY279" s="40"/>
      <c r="AZ279" s="40"/>
      <c r="BA279" s="40"/>
      <c r="BB279" s="40"/>
      <c r="BC279" s="40"/>
      <c r="BD279" s="40"/>
      <c r="BE279" s="40"/>
      <c r="BF279" s="40"/>
      <c r="BG279" s="40"/>
      <c r="BH279" s="40"/>
      <c r="BI279" s="40"/>
      <c r="BJ279" s="40"/>
      <c r="BK279" s="40"/>
      <c r="BL279" s="40"/>
      <c r="BM279" s="40"/>
      <c r="BN279" s="40"/>
      <c r="BO279" s="40"/>
      <c r="BP279" s="40"/>
      <c r="BQ279" s="40"/>
      <c r="BR279" s="40"/>
      <c r="BS279" s="40"/>
      <c r="BT279" s="40"/>
      <c r="BU279" s="40"/>
      <c r="BV279" s="40"/>
      <c r="BW279" s="40"/>
      <c r="BX279" s="40"/>
      <c r="BY279" s="40"/>
      <c r="BZ279" s="40"/>
      <c r="CA279" s="40"/>
      <c r="CB279" s="40"/>
      <c r="CC279" s="40"/>
      <c r="CD279" s="40"/>
      <c r="CE279" s="40"/>
      <c r="CF279" s="40"/>
      <c r="CG279" s="40"/>
      <c r="CH279" s="40"/>
      <c r="CI279" s="40"/>
      <c r="CJ279" s="40"/>
      <c r="CK279" s="40"/>
      <c r="CL279" s="40"/>
    </row>
    <row r="280" spans="1:90" x14ac:dyDescent="0.25">
      <c r="A280" s="40"/>
      <c r="B280" s="40"/>
      <c r="C280" s="40"/>
      <c r="D280" s="40"/>
      <c r="E280" s="40"/>
      <c r="F280" s="40"/>
      <c r="G280" s="40"/>
      <c r="H280" s="40"/>
      <c r="I280" s="40"/>
      <c r="J280" s="40"/>
      <c r="K280" s="40"/>
      <c r="L280" s="40"/>
      <c r="M280" s="40"/>
      <c r="N280" s="40"/>
      <c r="O280" s="40"/>
      <c r="P280" s="40"/>
      <c r="Q280" s="40"/>
      <c r="R280" s="40"/>
      <c r="S280" s="40"/>
      <c r="T280" s="40"/>
      <c r="U280" s="40"/>
      <c r="V280" s="40"/>
      <c r="W280" s="40"/>
      <c r="X280" s="40"/>
      <c r="Y280" s="40"/>
      <c r="Z280" s="40"/>
      <c r="AA280" s="40"/>
      <c r="AB280" s="40"/>
      <c r="AC280" s="40"/>
      <c r="AD280" s="40"/>
      <c r="AE280" s="40"/>
      <c r="AF280" s="40"/>
      <c r="AG280" s="40"/>
      <c r="AH280" s="40"/>
      <c r="AI280" s="40"/>
      <c r="AJ280" s="40"/>
      <c r="AK280" s="40"/>
      <c r="AL280" s="40"/>
      <c r="AM280" s="40"/>
      <c r="AN280" s="40"/>
      <c r="AO280" s="40"/>
      <c r="AP280" s="40"/>
      <c r="AQ280" s="40"/>
      <c r="AR280" s="40"/>
      <c r="AS280" s="40"/>
      <c r="AT280" s="40"/>
      <c r="AU280" s="40"/>
      <c r="AV280" s="40"/>
      <c r="AW280" s="40"/>
      <c r="AX280" s="40"/>
      <c r="AY280" s="40"/>
      <c r="AZ280" s="40"/>
      <c r="BA280" s="40"/>
      <c r="BB280" s="40"/>
      <c r="BC280" s="40"/>
      <c r="BD280" s="40"/>
      <c r="BE280" s="40"/>
      <c r="BF280" s="40"/>
      <c r="BG280" s="40"/>
      <c r="BH280" s="40"/>
      <c r="BI280" s="40"/>
      <c r="BJ280" s="40"/>
      <c r="BK280" s="40"/>
      <c r="BL280" s="40"/>
      <c r="BM280" s="40"/>
      <c r="BN280" s="40"/>
      <c r="BO280" s="40"/>
      <c r="BP280" s="40"/>
      <c r="BQ280" s="40"/>
      <c r="BR280" s="40"/>
      <c r="BS280" s="40"/>
      <c r="BT280" s="40"/>
      <c r="BU280" s="40"/>
      <c r="BV280" s="40"/>
      <c r="BW280" s="40"/>
      <c r="BX280" s="40"/>
      <c r="BY280" s="40"/>
      <c r="BZ280" s="40"/>
      <c r="CA280" s="40"/>
      <c r="CB280" s="40"/>
      <c r="CC280" s="40"/>
      <c r="CD280" s="40"/>
      <c r="CE280" s="40"/>
      <c r="CF280" s="40"/>
      <c r="CG280" s="40"/>
      <c r="CH280" s="40"/>
      <c r="CI280" s="40"/>
      <c r="CJ280" s="40"/>
      <c r="CK280" s="40"/>
      <c r="CL280" s="40"/>
    </row>
    <row r="281" spans="1:90" x14ac:dyDescent="0.25">
      <c r="A281" s="40"/>
      <c r="B281" s="40"/>
      <c r="C281" s="40"/>
      <c r="D281" s="40"/>
      <c r="E281" s="40"/>
      <c r="F281" s="40"/>
      <c r="G281" s="40"/>
      <c r="H281" s="40"/>
      <c r="I281" s="40"/>
      <c r="J281" s="40"/>
      <c r="K281" s="40"/>
      <c r="L281" s="40"/>
      <c r="M281" s="40"/>
      <c r="N281" s="40"/>
      <c r="O281" s="40"/>
      <c r="P281" s="40"/>
      <c r="Q281" s="40"/>
      <c r="R281" s="40"/>
      <c r="S281" s="40"/>
      <c r="T281" s="40"/>
      <c r="U281" s="40"/>
      <c r="V281" s="40"/>
      <c r="W281" s="40"/>
      <c r="X281" s="40"/>
      <c r="Y281" s="40"/>
      <c r="Z281" s="40"/>
      <c r="AA281" s="40"/>
      <c r="AB281" s="40"/>
      <c r="AC281" s="40"/>
      <c r="AD281" s="40"/>
      <c r="AE281" s="40"/>
      <c r="AF281" s="40"/>
      <c r="AG281" s="40"/>
      <c r="AH281" s="40"/>
      <c r="AI281" s="40"/>
      <c r="AJ281" s="40"/>
      <c r="AK281" s="40"/>
      <c r="AL281" s="40"/>
      <c r="AM281" s="40"/>
      <c r="AN281" s="40"/>
      <c r="AO281" s="40"/>
      <c r="AP281" s="40"/>
      <c r="AQ281" s="40"/>
      <c r="AR281" s="40"/>
      <c r="AS281" s="40"/>
      <c r="AT281" s="40"/>
      <c r="AU281" s="40"/>
      <c r="AV281" s="40"/>
      <c r="AW281" s="40"/>
      <c r="AX281" s="40"/>
      <c r="AY281" s="40"/>
      <c r="AZ281" s="40"/>
      <c r="BA281" s="40"/>
      <c r="BB281" s="40"/>
      <c r="BC281" s="40"/>
      <c r="BD281" s="40"/>
      <c r="BE281" s="40"/>
      <c r="BF281" s="40"/>
      <c r="BG281" s="40"/>
      <c r="BH281" s="40"/>
      <c r="BI281" s="40"/>
      <c r="BJ281" s="40"/>
      <c r="BK281" s="40"/>
      <c r="BL281" s="40"/>
      <c r="BM281" s="40"/>
      <c r="BN281" s="40"/>
      <c r="BO281" s="40"/>
      <c r="BP281" s="40"/>
      <c r="BQ281" s="40"/>
      <c r="BR281" s="40"/>
      <c r="BS281" s="40"/>
      <c r="BT281" s="40"/>
      <c r="BU281" s="40"/>
      <c r="BV281" s="40"/>
      <c r="BW281" s="40"/>
      <c r="BX281" s="40"/>
      <c r="BY281" s="40"/>
      <c r="BZ281" s="40"/>
      <c r="CA281" s="40"/>
      <c r="CB281" s="40"/>
      <c r="CC281" s="40"/>
      <c r="CD281" s="40"/>
      <c r="CE281" s="40"/>
      <c r="CF281" s="40"/>
      <c r="CG281" s="40"/>
      <c r="CH281" s="40"/>
      <c r="CI281" s="40"/>
      <c r="CJ281" s="40"/>
      <c r="CK281" s="40"/>
      <c r="CL281" s="40"/>
    </row>
    <row r="282" spans="1:90" x14ac:dyDescent="0.25">
      <c r="A282" s="40"/>
      <c r="B282" s="40"/>
      <c r="C282" s="40"/>
      <c r="D282" s="40"/>
      <c r="E282" s="40"/>
      <c r="F282" s="40"/>
      <c r="G282" s="40"/>
      <c r="H282" s="40"/>
      <c r="I282" s="40"/>
      <c r="J282" s="40"/>
      <c r="K282" s="40"/>
      <c r="L282" s="40"/>
      <c r="M282" s="40"/>
      <c r="N282" s="40"/>
      <c r="O282" s="40"/>
      <c r="P282" s="40"/>
      <c r="Q282" s="40"/>
      <c r="R282" s="40"/>
      <c r="S282" s="40"/>
      <c r="T282" s="40"/>
      <c r="U282" s="40"/>
      <c r="V282" s="40"/>
      <c r="W282" s="40"/>
      <c r="X282" s="40"/>
      <c r="Y282" s="40"/>
      <c r="Z282" s="40"/>
      <c r="AA282" s="40"/>
      <c r="AB282" s="40"/>
      <c r="AC282" s="40"/>
      <c r="AD282" s="40"/>
      <c r="AE282" s="40"/>
      <c r="AF282" s="40"/>
      <c r="AG282" s="40"/>
      <c r="AH282" s="40"/>
      <c r="AI282" s="40"/>
      <c r="AJ282" s="40"/>
      <c r="AK282" s="40"/>
      <c r="AL282" s="40"/>
      <c r="AM282" s="40"/>
      <c r="AN282" s="40"/>
      <c r="AO282" s="40"/>
      <c r="AP282" s="40"/>
      <c r="AQ282" s="40"/>
      <c r="AR282" s="40"/>
      <c r="AS282" s="40"/>
      <c r="AT282" s="40"/>
      <c r="AU282" s="40"/>
      <c r="AV282" s="40"/>
      <c r="AW282" s="40"/>
      <c r="AX282" s="40"/>
      <c r="AY282" s="40"/>
      <c r="AZ282" s="40"/>
      <c r="BA282" s="40"/>
      <c r="BB282" s="40"/>
      <c r="BC282" s="40"/>
      <c r="BD282" s="40"/>
      <c r="BE282" s="40"/>
      <c r="BF282" s="40"/>
      <c r="BG282" s="40"/>
      <c r="BH282" s="40"/>
      <c r="BI282" s="40"/>
      <c r="BJ282" s="40"/>
      <c r="BK282" s="40"/>
      <c r="BL282" s="40"/>
      <c r="BM282" s="40"/>
      <c r="BN282" s="40"/>
      <c r="BO282" s="40"/>
      <c r="BP282" s="40"/>
      <c r="BQ282" s="40"/>
      <c r="BR282" s="40"/>
      <c r="BS282" s="40"/>
      <c r="BT282" s="40"/>
      <c r="BU282" s="40"/>
      <c r="BV282" s="40"/>
      <c r="BW282" s="40"/>
      <c r="BX282" s="40"/>
      <c r="BY282" s="40"/>
      <c r="BZ282" s="40"/>
      <c r="CA282" s="40"/>
      <c r="CB282" s="40"/>
      <c r="CC282" s="40"/>
      <c r="CD282" s="40"/>
      <c r="CE282" s="40"/>
      <c r="CF282" s="40"/>
      <c r="CG282" s="40"/>
      <c r="CH282" s="40"/>
      <c r="CI282" s="40"/>
      <c r="CJ282" s="40"/>
      <c r="CK282" s="40"/>
      <c r="CL282" s="40"/>
    </row>
    <row r="283" spans="1:90" x14ac:dyDescent="0.25">
      <c r="A283" s="40"/>
      <c r="B283" s="40"/>
      <c r="C283" s="40"/>
      <c r="D283" s="40"/>
      <c r="E283" s="40"/>
      <c r="F283" s="40"/>
      <c r="G283" s="40"/>
      <c r="H283" s="40"/>
      <c r="I283" s="40"/>
      <c r="J283" s="40"/>
      <c r="K283" s="40"/>
      <c r="L283" s="40"/>
      <c r="M283" s="40"/>
      <c r="N283" s="40"/>
      <c r="O283" s="40"/>
      <c r="P283" s="40"/>
      <c r="Q283" s="40"/>
      <c r="R283" s="40"/>
      <c r="S283" s="40"/>
      <c r="T283" s="40"/>
      <c r="U283" s="40"/>
      <c r="V283" s="40"/>
      <c r="W283" s="40"/>
      <c r="X283" s="40"/>
      <c r="Y283" s="40"/>
      <c r="Z283" s="40"/>
      <c r="AA283" s="40"/>
      <c r="AB283" s="40"/>
      <c r="AC283" s="40"/>
      <c r="AD283" s="40"/>
      <c r="AE283" s="40"/>
      <c r="AF283" s="40"/>
      <c r="AG283" s="40"/>
      <c r="AH283" s="40"/>
      <c r="AI283" s="40"/>
      <c r="AJ283" s="40"/>
      <c r="AK283" s="40"/>
      <c r="AL283" s="40"/>
      <c r="AM283" s="40"/>
      <c r="AN283" s="40"/>
      <c r="AO283" s="40"/>
      <c r="AP283" s="40"/>
      <c r="AQ283" s="40"/>
      <c r="AR283" s="40"/>
      <c r="AS283" s="40"/>
      <c r="AT283" s="40"/>
      <c r="AU283" s="40"/>
      <c r="AV283" s="40"/>
      <c r="AW283" s="40"/>
      <c r="AX283" s="40"/>
      <c r="AY283" s="40"/>
      <c r="AZ283" s="40"/>
      <c r="BA283" s="40"/>
      <c r="BB283" s="40"/>
      <c r="BC283" s="40"/>
      <c r="BD283" s="40"/>
      <c r="BE283" s="40"/>
      <c r="BF283" s="40"/>
      <c r="BG283" s="40"/>
      <c r="BH283" s="40"/>
      <c r="BI283" s="40"/>
      <c r="BJ283" s="40"/>
      <c r="BK283" s="40"/>
      <c r="BL283" s="40"/>
      <c r="BM283" s="40"/>
      <c r="BN283" s="40"/>
      <c r="BO283" s="40"/>
      <c r="BP283" s="40"/>
      <c r="BQ283" s="40"/>
      <c r="BR283" s="40"/>
      <c r="BS283" s="40"/>
      <c r="BT283" s="40"/>
      <c r="BU283" s="40"/>
      <c r="BV283" s="40"/>
      <c r="BW283" s="40"/>
      <c r="BX283" s="40"/>
      <c r="BY283" s="40"/>
      <c r="BZ283" s="40"/>
      <c r="CA283" s="40"/>
      <c r="CB283" s="40"/>
      <c r="CC283" s="40"/>
      <c r="CD283" s="40"/>
      <c r="CE283" s="40"/>
      <c r="CF283" s="40"/>
      <c r="CG283" s="40"/>
      <c r="CH283" s="40"/>
      <c r="CI283" s="40"/>
      <c r="CJ283" s="40"/>
      <c r="CK283" s="40"/>
      <c r="CL283" s="40"/>
    </row>
    <row r="284" spans="1:90" x14ac:dyDescent="0.25">
      <c r="A284" s="40"/>
      <c r="B284" s="40"/>
      <c r="C284" s="40"/>
      <c r="D284" s="40"/>
      <c r="E284" s="40"/>
      <c r="F284" s="40"/>
      <c r="G284" s="40"/>
      <c r="H284" s="40"/>
      <c r="I284" s="40"/>
      <c r="J284" s="40"/>
      <c r="K284" s="40"/>
      <c r="L284" s="40"/>
      <c r="M284" s="40"/>
      <c r="N284" s="40"/>
      <c r="O284" s="40"/>
      <c r="P284" s="40"/>
      <c r="Q284" s="40"/>
      <c r="R284" s="40"/>
      <c r="S284" s="40"/>
      <c r="T284" s="40"/>
      <c r="U284" s="40"/>
      <c r="V284" s="40"/>
      <c r="W284" s="40"/>
      <c r="X284" s="40"/>
      <c r="Y284" s="40"/>
      <c r="Z284" s="40"/>
      <c r="AA284" s="40"/>
      <c r="AB284" s="40"/>
      <c r="AC284" s="40"/>
      <c r="AD284" s="40"/>
      <c r="AE284" s="40"/>
      <c r="AF284" s="40"/>
      <c r="AG284" s="40"/>
      <c r="AH284" s="40"/>
      <c r="AI284" s="40"/>
      <c r="AJ284" s="40"/>
      <c r="AK284" s="40"/>
      <c r="AL284" s="40"/>
      <c r="AM284" s="40"/>
      <c r="AN284" s="40"/>
      <c r="AO284" s="40"/>
      <c r="AP284" s="40"/>
      <c r="AQ284" s="40"/>
      <c r="AR284" s="40"/>
      <c r="AS284" s="40"/>
      <c r="AT284" s="40"/>
      <c r="AU284" s="40"/>
      <c r="AV284" s="40"/>
      <c r="AW284" s="40"/>
      <c r="AX284" s="40"/>
      <c r="AY284" s="40"/>
      <c r="AZ284" s="40"/>
      <c r="BA284" s="40"/>
      <c r="BB284" s="40"/>
      <c r="BC284" s="40"/>
      <c r="BD284" s="40"/>
      <c r="BE284" s="40"/>
      <c r="BF284" s="40"/>
      <c r="BG284" s="40"/>
      <c r="BH284" s="40"/>
      <c r="BI284" s="40"/>
      <c r="BJ284" s="40"/>
      <c r="BK284" s="40"/>
      <c r="BL284" s="40"/>
      <c r="BM284" s="40"/>
      <c r="BN284" s="40"/>
      <c r="BO284" s="40"/>
      <c r="BP284" s="40"/>
      <c r="BQ284" s="40"/>
      <c r="BR284" s="40"/>
      <c r="BS284" s="40"/>
      <c r="BT284" s="40"/>
      <c r="BU284" s="40"/>
      <c r="BV284" s="40"/>
      <c r="BW284" s="40"/>
      <c r="BX284" s="40"/>
      <c r="BY284" s="40"/>
      <c r="BZ284" s="40"/>
      <c r="CA284" s="40"/>
      <c r="CB284" s="40"/>
      <c r="CC284" s="40"/>
      <c r="CD284" s="40"/>
      <c r="CE284" s="40"/>
      <c r="CF284" s="40"/>
      <c r="CG284" s="40"/>
      <c r="CH284" s="40"/>
      <c r="CI284" s="40"/>
      <c r="CJ284" s="40"/>
      <c r="CK284" s="40"/>
      <c r="CL284" s="40"/>
    </row>
    <row r="285" spans="1:90" x14ac:dyDescent="0.25">
      <c r="A285" s="40"/>
      <c r="B285" s="40"/>
      <c r="C285" s="40"/>
      <c r="D285" s="40"/>
      <c r="E285" s="40"/>
      <c r="F285" s="40"/>
      <c r="G285" s="40"/>
      <c r="H285" s="40"/>
      <c r="I285" s="40"/>
      <c r="J285" s="40"/>
      <c r="K285" s="40"/>
      <c r="L285" s="40"/>
      <c r="M285" s="40"/>
      <c r="N285" s="40"/>
      <c r="O285" s="40"/>
      <c r="P285" s="40"/>
      <c r="Q285" s="40"/>
      <c r="R285" s="40"/>
      <c r="S285" s="40"/>
      <c r="T285" s="40"/>
      <c r="U285" s="40"/>
      <c r="V285" s="40"/>
      <c r="W285" s="40"/>
      <c r="X285" s="40"/>
      <c r="Y285" s="40"/>
      <c r="Z285" s="40"/>
      <c r="AA285" s="40"/>
      <c r="AB285" s="40"/>
      <c r="AC285" s="40"/>
      <c r="AD285" s="40"/>
      <c r="AE285" s="40"/>
      <c r="AF285" s="40"/>
      <c r="AG285" s="40"/>
      <c r="AH285" s="40"/>
      <c r="AI285" s="40"/>
      <c r="AJ285" s="40"/>
      <c r="AK285" s="40"/>
      <c r="AL285" s="40"/>
      <c r="AM285" s="40"/>
      <c r="AN285" s="40"/>
      <c r="AO285" s="40"/>
      <c r="AP285" s="40"/>
      <c r="AQ285" s="40"/>
      <c r="AR285" s="40"/>
      <c r="AS285" s="40"/>
      <c r="AT285" s="40"/>
      <c r="AU285" s="40"/>
      <c r="AV285" s="40"/>
      <c r="AW285" s="40"/>
      <c r="AX285" s="40"/>
      <c r="AY285" s="40"/>
      <c r="AZ285" s="40"/>
      <c r="BA285" s="40"/>
      <c r="BB285" s="40"/>
      <c r="BC285" s="40"/>
      <c r="BD285" s="40"/>
      <c r="BE285" s="40"/>
      <c r="BF285" s="40"/>
      <c r="BG285" s="40"/>
      <c r="BH285" s="40"/>
      <c r="BI285" s="40"/>
      <c r="BJ285" s="40"/>
      <c r="BK285" s="40"/>
      <c r="BL285" s="40"/>
      <c r="BM285" s="40"/>
      <c r="BN285" s="40"/>
      <c r="BO285" s="40"/>
      <c r="BP285" s="40"/>
      <c r="BQ285" s="40"/>
      <c r="BR285" s="40"/>
      <c r="BS285" s="40"/>
      <c r="BT285" s="40"/>
      <c r="BU285" s="40"/>
      <c r="BV285" s="40"/>
      <c r="BW285" s="40"/>
      <c r="BX285" s="40"/>
      <c r="BY285" s="40"/>
      <c r="BZ285" s="40"/>
      <c r="CA285" s="40"/>
      <c r="CB285" s="40"/>
      <c r="CC285" s="40"/>
      <c r="CD285" s="40"/>
      <c r="CE285" s="40"/>
      <c r="CF285" s="40"/>
      <c r="CG285" s="40"/>
      <c r="CH285" s="40"/>
      <c r="CI285" s="40"/>
      <c r="CJ285" s="40"/>
      <c r="CK285" s="40"/>
      <c r="CL285" s="40"/>
    </row>
    <row r="286" spans="1:90" x14ac:dyDescent="0.25">
      <c r="A286" s="40"/>
      <c r="B286" s="40"/>
      <c r="C286" s="40"/>
      <c r="D286" s="40"/>
      <c r="E286" s="40"/>
      <c r="F286" s="40"/>
      <c r="G286" s="40"/>
      <c r="H286" s="40"/>
      <c r="I286" s="40"/>
      <c r="J286" s="40"/>
      <c r="K286" s="40"/>
      <c r="L286" s="40"/>
      <c r="M286" s="40"/>
      <c r="N286" s="40"/>
      <c r="O286" s="40"/>
      <c r="P286" s="40"/>
      <c r="Q286" s="40"/>
      <c r="R286" s="40"/>
      <c r="S286" s="40"/>
      <c r="T286" s="40"/>
      <c r="U286" s="40"/>
      <c r="V286" s="40"/>
      <c r="W286" s="40"/>
      <c r="X286" s="40"/>
      <c r="Y286" s="40"/>
      <c r="Z286" s="40"/>
      <c r="AA286" s="40"/>
      <c r="AB286" s="40"/>
      <c r="AC286" s="40"/>
      <c r="AD286" s="40"/>
      <c r="AE286" s="40"/>
      <c r="AF286" s="40"/>
      <c r="AG286" s="40"/>
      <c r="AH286" s="40"/>
      <c r="AI286" s="40"/>
      <c r="AJ286" s="40"/>
      <c r="AK286" s="40"/>
      <c r="AL286" s="40"/>
      <c r="AM286" s="40"/>
      <c r="AN286" s="40"/>
      <c r="AO286" s="40"/>
      <c r="AP286" s="40"/>
      <c r="AQ286" s="40"/>
      <c r="AR286" s="40"/>
      <c r="AS286" s="40"/>
      <c r="AT286" s="40"/>
      <c r="AU286" s="40"/>
      <c r="AV286" s="40"/>
      <c r="AW286" s="40"/>
      <c r="AX286" s="40"/>
      <c r="AY286" s="40"/>
      <c r="AZ286" s="40"/>
      <c r="BA286" s="40"/>
      <c r="BB286" s="40"/>
      <c r="BC286" s="40"/>
      <c r="BD286" s="40"/>
      <c r="BE286" s="40"/>
      <c r="BF286" s="40"/>
      <c r="BG286" s="40"/>
      <c r="BH286" s="40"/>
      <c r="BI286" s="40"/>
      <c r="BJ286" s="40"/>
      <c r="BK286" s="40"/>
      <c r="BL286" s="40"/>
      <c r="BM286" s="40"/>
      <c r="BN286" s="40"/>
      <c r="BO286" s="40"/>
      <c r="BP286" s="40"/>
      <c r="BQ286" s="40"/>
      <c r="BR286" s="40"/>
      <c r="BS286" s="40"/>
      <c r="BT286" s="40"/>
      <c r="BU286" s="40"/>
      <c r="BV286" s="40"/>
      <c r="BW286" s="40"/>
      <c r="BX286" s="40"/>
      <c r="BY286" s="40"/>
      <c r="BZ286" s="40"/>
      <c r="CA286" s="40"/>
      <c r="CB286" s="40"/>
      <c r="CC286" s="40"/>
      <c r="CD286" s="40"/>
      <c r="CE286" s="40"/>
      <c r="CF286" s="40"/>
      <c r="CG286" s="40"/>
      <c r="CH286" s="40"/>
      <c r="CI286" s="40"/>
      <c r="CJ286" s="40"/>
      <c r="CK286" s="40"/>
      <c r="CL286" s="40"/>
    </row>
    <row r="287" spans="1:90" x14ac:dyDescent="0.25">
      <c r="A287" s="40"/>
      <c r="B287" s="40"/>
      <c r="C287" s="40"/>
      <c r="D287" s="40"/>
      <c r="E287" s="40"/>
      <c r="F287" s="40"/>
      <c r="G287" s="40"/>
      <c r="H287" s="40"/>
      <c r="I287" s="40"/>
      <c r="J287" s="40"/>
      <c r="K287" s="40"/>
      <c r="L287" s="40"/>
      <c r="M287" s="40"/>
      <c r="N287" s="40"/>
      <c r="O287" s="40"/>
      <c r="P287" s="40"/>
      <c r="Q287" s="40"/>
      <c r="R287" s="40"/>
      <c r="S287" s="40"/>
      <c r="T287" s="40"/>
      <c r="U287" s="40"/>
      <c r="V287" s="40"/>
      <c r="W287" s="40"/>
      <c r="X287" s="40"/>
      <c r="Y287" s="40"/>
      <c r="Z287" s="40"/>
      <c r="AA287" s="40"/>
      <c r="AB287" s="40"/>
      <c r="AC287" s="40"/>
      <c r="AD287" s="40"/>
      <c r="AE287" s="40"/>
      <c r="AF287" s="40"/>
      <c r="AG287" s="40"/>
      <c r="AH287" s="40"/>
      <c r="AI287" s="40"/>
      <c r="AJ287" s="40"/>
      <c r="AK287" s="40"/>
      <c r="AL287" s="40"/>
      <c r="AM287" s="40"/>
      <c r="AN287" s="40"/>
      <c r="AO287" s="40"/>
      <c r="AP287" s="40"/>
      <c r="AQ287" s="40"/>
      <c r="AR287" s="40"/>
      <c r="AS287" s="40"/>
      <c r="AT287" s="40"/>
      <c r="AU287" s="40"/>
      <c r="AV287" s="40"/>
      <c r="AW287" s="40"/>
      <c r="AX287" s="40"/>
      <c r="AY287" s="40"/>
      <c r="AZ287" s="40"/>
      <c r="BA287" s="40"/>
      <c r="BB287" s="40"/>
      <c r="BC287" s="40"/>
      <c r="BD287" s="40"/>
      <c r="BE287" s="40"/>
      <c r="BF287" s="40"/>
      <c r="BG287" s="40"/>
      <c r="BH287" s="40"/>
      <c r="BI287" s="40"/>
      <c r="BJ287" s="40"/>
      <c r="BK287" s="40"/>
      <c r="BL287" s="40"/>
      <c r="BM287" s="40"/>
      <c r="BN287" s="40"/>
      <c r="BO287" s="40"/>
      <c r="BP287" s="40"/>
      <c r="BQ287" s="40"/>
      <c r="BR287" s="40"/>
      <c r="BS287" s="40"/>
      <c r="BT287" s="40"/>
      <c r="BU287" s="40"/>
      <c r="BV287" s="40"/>
      <c r="BW287" s="40"/>
      <c r="BX287" s="40"/>
      <c r="BY287" s="40"/>
      <c r="BZ287" s="40"/>
      <c r="CA287" s="40"/>
      <c r="CB287" s="40"/>
      <c r="CC287" s="40"/>
      <c r="CD287" s="40"/>
      <c r="CE287" s="40"/>
      <c r="CF287" s="40"/>
      <c r="CG287" s="40"/>
      <c r="CH287" s="40"/>
      <c r="CI287" s="40"/>
      <c r="CJ287" s="40"/>
      <c r="CK287" s="40"/>
      <c r="CL287" s="40"/>
    </row>
    <row r="288" spans="1:90" x14ac:dyDescent="0.25">
      <c r="A288" s="40"/>
      <c r="B288" s="40"/>
      <c r="C288" s="40"/>
      <c r="D288" s="40"/>
      <c r="E288" s="40"/>
      <c r="F288" s="40"/>
      <c r="G288" s="40"/>
      <c r="H288" s="40"/>
      <c r="I288" s="40"/>
      <c r="J288" s="40"/>
      <c r="K288" s="40"/>
      <c r="L288" s="40"/>
      <c r="M288" s="40"/>
      <c r="N288" s="40"/>
      <c r="O288" s="40"/>
      <c r="P288" s="40"/>
      <c r="Q288" s="40"/>
      <c r="R288" s="40"/>
      <c r="S288" s="40"/>
      <c r="T288" s="40"/>
      <c r="U288" s="40"/>
      <c r="V288" s="40"/>
      <c r="W288" s="40"/>
      <c r="X288" s="40"/>
      <c r="Y288" s="40"/>
      <c r="Z288" s="40"/>
      <c r="AA288" s="40"/>
      <c r="AB288" s="40"/>
      <c r="AC288" s="40"/>
      <c r="AD288" s="40"/>
      <c r="AE288" s="40"/>
      <c r="AF288" s="40"/>
      <c r="AG288" s="40"/>
      <c r="AH288" s="40"/>
      <c r="AI288" s="40"/>
      <c r="AJ288" s="40"/>
      <c r="AK288" s="40"/>
      <c r="AL288" s="40"/>
      <c r="AM288" s="40"/>
      <c r="AN288" s="40"/>
      <c r="AO288" s="40"/>
      <c r="AP288" s="40"/>
      <c r="AQ288" s="40"/>
      <c r="AR288" s="40"/>
      <c r="AS288" s="40"/>
      <c r="AT288" s="40"/>
      <c r="AU288" s="40"/>
      <c r="AV288" s="40"/>
      <c r="AW288" s="40"/>
      <c r="AX288" s="40"/>
      <c r="AY288" s="40"/>
      <c r="AZ288" s="40"/>
      <c r="BA288" s="40"/>
      <c r="BB288" s="40"/>
      <c r="BC288" s="40"/>
      <c r="BD288" s="40"/>
      <c r="BE288" s="40"/>
      <c r="BF288" s="40"/>
      <c r="BG288" s="40"/>
      <c r="BH288" s="40"/>
      <c r="BI288" s="40"/>
      <c r="BJ288" s="40"/>
      <c r="BK288" s="40"/>
      <c r="BL288" s="40"/>
      <c r="BM288" s="40"/>
      <c r="BN288" s="40"/>
      <c r="BO288" s="40"/>
      <c r="BP288" s="40"/>
      <c r="BQ288" s="40"/>
      <c r="BR288" s="40"/>
      <c r="BS288" s="40"/>
      <c r="BT288" s="40"/>
      <c r="BU288" s="40"/>
      <c r="BV288" s="40"/>
      <c r="BW288" s="40"/>
      <c r="BX288" s="40"/>
      <c r="BY288" s="40"/>
      <c r="BZ288" s="40"/>
      <c r="CA288" s="40"/>
      <c r="CB288" s="40"/>
      <c r="CC288" s="40"/>
      <c r="CD288" s="40"/>
      <c r="CE288" s="40"/>
      <c r="CF288" s="40"/>
      <c r="CG288" s="40"/>
      <c r="CH288" s="40"/>
      <c r="CI288" s="40"/>
      <c r="CJ288" s="40"/>
      <c r="CK288" s="40"/>
      <c r="CL288" s="40"/>
    </row>
    <row r="289" spans="1:90" x14ac:dyDescent="0.25">
      <c r="A289" s="40"/>
      <c r="B289" s="40"/>
      <c r="C289" s="40"/>
      <c r="D289" s="40"/>
      <c r="E289" s="40"/>
      <c r="F289" s="40"/>
      <c r="G289" s="40"/>
      <c r="H289" s="40"/>
      <c r="I289" s="40"/>
      <c r="J289" s="40"/>
      <c r="K289" s="40"/>
      <c r="L289" s="40"/>
      <c r="M289" s="40"/>
      <c r="N289" s="40"/>
      <c r="O289" s="40"/>
      <c r="P289" s="40"/>
      <c r="Q289" s="40"/>
      <c r="R289" s="40"/>
      <c r="S289" s="40"/>
      <c r="T289" s="40"/>
      <c r="U289" s="40"/>
      <c r="V289" s="40"/>
      <c r="W289" s="40"/>
      <c r="X289" s="40"/>
      <c r="Y289" s="40"/>
      <c r="Z289" s="40"/>
      <c r="AA289" s="40"/>
      <c r="AB289" s="40"/>
      <c r="AC289" s="40"/>
      <c r="AD289" s="40"/>
      <c r="AE289" s="40"/>
      <c r="AF289" s="40"/>
      <c r="AG289" s="40"/>
      <c r="AH289" s="40"/>
      <c r="AI289" s="40"/>
      <c r="AJ289" s="40"/>
      <c r="AK289" s="40"/>
      <c r="AL289" s="40"/>
      <c r="AM289" s="40"/>
      <c r="AN289" s="40"/>
      <c r="AO289" s="40"/>
      <c r="AP289" s="40"/>
      <c r="AQ289" s="40"/>
      <c r="AR289" s="40"/>
      <c r="AS289" s="40"/>
      <c r="AT289" s="40"/>
      <c r="AU289" s="40"/>
      <c r="AV289" s="40"/>
      <c r="AW289" s="40"/>
      <c r="AX289" s="40"/>
      <c r="AY289" s="40"/>
      <c r="AZ289" s="40"/>
      <c r="BA289" s="40"/>
      <c r="BB289" s="40"/>
      <c r="BC289" s="40"/>
      <c r="BD289" s="40"/>
      <c r="BE289" s="40"/>
      <c r="BF289" s="40"/>
      <c r="BG289" s="40"/>
      <c r="BH289" s="40"/>
      <c r="BI289" s="40"/>
      <c r="BJ289" s="40"/>
      <c r="BK289" s="40"/>
      <c r="BL289" s="40"/>
      <c r="BM289" s="40"/>
      <c r="BN289" s="40"/>
      <c r="BO289" s="40"/>
      <c r="BP289" s="40"/>
      <c r="BQ289" s="40"/>
      <c r="BR289" s="40"/>
      <c r="BS289" s="40"/>
      <c r="BT289" s="40"/>
      <c r="BU289" s="40"/>
      <c r="BV289" s="40"/>
      <c r="BW289" s="40"/>
      <c r="BX289" s="40"/>
      <c r="BY289" s="40"/>
      <c r="BZ289" s="40"/>
      <c r="CA289" s="40"/>
      <c r="CB289" s="40"/>
      <c r="CC289" s="40"/>
      <c r="CD289" s="40"/>
      <c r="CE289" s="40"/>
      <c r="CF289" s="40"/>
      <c r="CG289" s="40"/>
      <c r="CH289" s="40"/>
      <c r="CI289" s="40"/>
      <c r="CJ289" s="40"/>
      <c r="CK289" s="40"/>
      <c r="CL289" s="40"/>
    </row>
    <row r="290" spans="1:90" x14ac:dyDescent="0.25">
      <c r="A290" s="40"/>
      <c r="B290" s="40"/>
      <c r="C290" s="40"/>
      <c r="D290" s="40"/>
      <c r="E290" s="40"/>
      <c r="F290" s="40"/>
      <c r="G290" s="40"/>
      <c r="H290" s="40"/>
      <c r="I290" s="40"/>
      <c r="J290" s="40"/>
      <c r="K290" s="40"/>
      <c r="L290" s="40"/>
      <c r="M290" s="40"/>
      <c r="N290" s="40"/>
      <c r="O290" s="40"/>
      <c r="P290" s="40"/>
      <c r="Q290" s="40"/>
      <c r="R290" s="40"/>
      <c r="S290" s="40"/>
      <c r="T290" s="40"/>
      <c r="U290" s="40"/>
      <c r="V290" s="40"/>
      <c r="W290" s="40"/>
      <c r="X290" s="40"/>
      <c r="Y290" s="40"/>
      <c r="Z290" s="40"/>
      <c r="AA290" s="40"/>
      <c r="AB290" s="40"/>
      <c r="AC290" s="40"/>
      <c r="AD290" s="40"/>
      <c r="AE290" s="40"/>
      <c r="AF290" s="40"/>
      <c r="AG290" s="40"/>
      <c r="AH290" s="40"/>
      <c r="AI290" s="40"/>
      <c r="AJ290" s="40"/>
      <c r="AK290" s="40"/>
      <c r="AL290" s="40"/>
      <c r="AM290" s="40"/>
      <c r="AN290" s="40"/>
      <c r="AO290" s="40"/>
      <c r="AP290" s="40"/>
      <c r="AQ290" s="40"/>
      <c r="AR290" s="40"/>
      <c r="AS290" s="40"/>
      <c r="AT290" s="40"/>
      <c r="AU290" s="40"/>
      <c r="AV290" s="40"/>
      <c r="AW290" s="40"/>
      <c r="AX290" s="40"/>
      <c r="AY290" s="40"/>
      <c r="AZ290" s="40"/>
      <c r="BA290" s="40"/>
      <c r="BB290" s="40"/>
      <c r="BC290" s="40"/>
      <c r="BD290" s="40"/>
      <c r="BE290" s="40"/>
      <c r="BF290" s="40"/>
      <c r="BG290" s="40"/>
      <c r="BH290" s="40"/>
      <c r="BI290" s="40"/>
      <c r="BJ290" s="40"/>
      <c r="BK290" s="40"/>
      <c r="BL290" s="40"/>
      <c r="BM290" s="40"/>
      <c r="BN290" s="40"/>
      <c r="BO290" s="40"/>
      <c r="BP290" s="40"/>
      <c r="BQ290" s="40"/>
      <c r="BR290" s="40"/>
      <c r="BS290" s="40"/>
      <c r="BT290" s="40"/>
      <c r="BU290" s="40"/>
      <c r="BV290" s="40"/>
      <c r="BW290" s="40"/>
      <c r="BX290" s="40"/>
      <c r="BY290" s="40"/>
      <c r="BZ290" s="40"/>
      <c r="CA290" s="40"/>
      <c r="CB290" s="40"/>
      <c r="CC290" s="40"/>
      <c r="CD290" s="40"/>
      <c r="CE290" s="40"/>
      <c r="CF290" s="40"/>
      <c r="CG290" s="40"/>
      <c r="CH290" s="40"/>
      <c r="CI290" s="40"/>
      <c r="CJ290" s="40"/>
      <c r="CK290" s="40"/>
      <c r="CL290" s="40"/>
    </row>
    <row r="291" spans="1:90" x14ac:dyDescent="0.25">
      <c r="A291" s="40"/>
      <c r="B291" s="40"/>
      <c r="C291" s="40"/>
      <c r="D291" s="40"/>
      <c r="E291" s="40"/>
      <c r="F291" s="40"/>
      <c r="G291" s="40"/>
      <c r="H291" s="40"/>
      <c r="I291" s="40"/>
      <c r="J291" s="40"/>
      <c r="K291" s="40"/>
      <c r="L291" s="40"/>
      <c r="M291" s="40"/>
      <c r="N291" s="40"/>
      <c r="O291" s="40"/>
      <c r="P291" s="40"/>
      <c r="Q291" s="40"/>
      <c r="R291" s="40"/>
      <c r="S291" s="40"/>
      <c r="T291" s="40"/>
      <c r="U291" s="40"/>
      <c r="V291" s="40"/>
      <c r="W291" s="40"/>
      <c r="X291" s="40"/>
      <c r="Y291" s="40"/>
      <c r="Z291" s="40"/>
      <c r="AA291" s="40"/>
      <c r="AB291" s="40"/>
      <c r="AC291" s="40"/>
      <c r="AD291" s="40"/>
      <c r="AE291" s="40"/>
      <c r="AF291" s="40"/>
      <c r="AG291" s="40"/>
      <c r="AH291" s="40"/>
      <c r="AI291" s="40"/>
      <c r="AJ291" s="40"/>
      <c r="AK291" s="40"/>
      <c r="AL291" s="40"/>
      <c r="AM291" s="40"/>
      <c r="AN291" s="40"/>
      <c r="AO291" s="40"/>
      <c r="AP291" s="40"/>
      <c r="AQ291" s="40"/>
      <c r="AR291" s="40"/>
      <c r="AS291" s="40"/>
      <c r="AT291" s="40"/>
      <c r="AU291" s="40"/>
      <c r="AV291" s="40"/>
      <c r="AW291" s="40"/>
      <c r="AX291" s="40"/>
      <c r="AY291" s="40"/>
      <c r="AZ291" s="40"/>
      <c r="BA291" s="40"/>
      <c r="BB291" s="40"/>
      <c r="BC291" s="40"/>
      <c r="BD291" s="40"/>
      <c r="BE291" s="40"/>
      <c r="BF291" s="40"/>
      <c r="BG291" s="40"/>
      <c r="BH291" s="40"/>
      <c r="BI291" s="40"/>
      <c r="BJ291" s="40"/>
      <c r="BK291" s="40"/>
      <c r="BL291" s="40"/>
      <c r="BM291" s="40"/>
      <c r="BN291" s="40"/>
      <c r="BO291" s="40"/>
      <c r="BP291" s="40"/>
      <c r="BQ291" s="40"/>
      <c r="BR291" s="40"/>
      <c r="BS291" s="40"/>
      <c r="BT291" s="40"/>
      <c r="BU291" s="40"/>
      <c r="BV291" s="40"/>
      <c r="BW291" s="40"/>
      <c r="BX291" s="40"/>
      <c r="BY291" s="40"/>
      <c r="BZ291" s="40"/>
      <c r="CA291" s="40"/>
      <c r="CB291" s="40"/>
      <c r="CC291" s="40"/>
      <c r="CD291" s="40"/>
      <c r="CE291" s="40"/>
      <c r="CF291" s="40"/>
      <c r="CG291" s="40"/>
      <c r="CH291" s="40"/>
      <c r="CI291" s="40"/>
      <c r="CJ291" s="40"/>
      <c r="CK291" s="40"/>
      <c r="CL291" s="40"/>
    </row>
    <row r="292" spans="1:90" x14ac:dyDescent="0.25">
      <c r="A292" s="40"/>
      <c r="B292" s="40"/>
      <c r="C292" s="40"/>
      <c r="D292" s="40"/>
      <c r="E292" s="40"/>
      <c r="F292" s="40"/>
      <c r="G292" s="40"/>
      <c r="H292" s="40"/>
      <c r="I292" s="40"/>
      <c r="J292" s="40"/>
      <c r="K292" s="40"/>
      <c r="L292" s="40"/>
      <c r="M292" s="40"/>
      <c r="N292" s="40"/>
      <c r="O292" s="40"/>
      <c r="P292" s="40"/>
      <c r="Q292" s="40"/>
      <c r="R292" s="40"/>
      <c r="S292" s="40"/>
      <c r="T292" s="40"/>
      <c r="U292" s="40"/>
      <c r="V292" s="40"/>
      <c r="W292" s="40"/>
      <c r="X292" s="40"/>
      <c r="Y292" s="40"/>
      <c r="Z292" s="40"/>
      <c r="AA292" s="40"/>
      <c r="AB292" s="40"/>
      <c r="AC292" s="40"/>
      <c r="AD292" s="40"/>
      <c r="AE292" s="40"/>
      <c r="AF292" s="40"/>
      <c r="AG292" s="40"/>
      <c r="AH292" s="40"/>
      <c r="AI292" s="40"/>
      <c r="AJ292" s="40"/>
      <c r="AK292" s="40"/>
      <c r="AL292" s="40"/>
      <c r="AM292" s="40"/>
      <c r="AN292" s="40"/>
      <c r="AO292" s="40"/>
      <c r="AP292" s="40"/>
      <c r="AQ292" s="40"/>
      <c r="AR292" s="40"/>
      <c r="AS292" s="40"/>
      <c r="AT292" s="40"/>
      <c r="AU292" s="40"/>
      <c r="AV292" s="40"/>
      <c r="AW292" s="40"/>
      <c r="AX292" s="40"/>
      <c r="AY292" s="40"/>
      <c r="AZ292" s="40"/>
      <c r="BA292" s="40"/>
      <c r="BB292" s="40"/>
      <c r="BC292" s="40"/>
      <c r="BD292" s="40"/>
      <c r="BE292" s="40"/>
      <c r="BF292" s="40"/>
      <c r="BG292" s="40"/>
      <c r="BH292" s="40"/>
      <c r="BI292" s="40"/>
      <c r="BJ292" s="40"/>
      <c r="BK292" s="40"/>
      <c r="BL292" s="40"/>
      <c r="BM292" s="40"/>
      <c r="BN292" s="40"/>
      <c r="BO292" s="40"/>
      <c r="BP292" s="40"/>
      <c r="BQ292" s="40"/>
      <c r="BR292" s="40"/>
      <c r="BS292" s="40"/>
      <c r="BT292" s="40"/>
      <c r="BU292" s="40"/>
      <c r="BV292" s="40"/>
      <c r="BW292" s="40"/>
      <c r="BX292" s="40"/>
      <c r="BY292" s="40"/>
      <c r="BZ292" s="40"/>
      <c r="CA292" s="40"/>
      <c r="CB292" s="40"/>
      <c r="CC292" s="40"/>
      <c r="CD292" s="40"/>
      <c r="CE292" s="40"/>
      <c r="CF292" s="40"/>
      <c r="CG292" s="40"/>
      <c r="CH292" s="40"/>
      <c r="CI292" s="40"/>
      <c r="CJ292" s="40"/>
      <c r="CK292" s="40"/>
      <c r="CL292" s="40"/>
    </row>
    <row r="293" spans="1:90" x14ac:dyDescent="0.25">
      <c r="A293" s="40"/>
      <c r="B293" s="40"/>
      <c r="C293" s="40"/>
      <c r="D293" s="40"/>
      <c r="E293" s="40"/>
      <c r="F293" s="40"/>
      <c r="G293" s="40"/>
      <c r="H293" s="40"/>
      <c r="I293" s="40"/>
      <c r="J293" s="40"/>
      <c r="K293" s="40"/>
      <c r="L293" s="40"/>
      <c r="M293" s="40"/>
      <c r="N293" s="40"/>
      <c r="O293" s="40"/>
      <c r="P293" s="40"/>
      <c r="Q293" s="40"/>
      <c r="R293" s="40"/>
      <c r="S293" s="40"/>
      <c r="T293" s="40"/>
      <c r="U293" s="40"/>
      <c r="V293" s="40"/>
      <c r="W293" s="40"/>
      <c r="X293" s="40"/>
      <c r="Y293" s="40"/>
      <c r="Z293" s="40"/>
      <c r="AA293" s="40"/>
      <c r="AB293" s="40"/>
      <c r="AC293" s="40"/>
      <c r="AD293" s="40"/>
      <c r="AE293" s="40"/>
      <c r="AF293" s="40"/>
      <c r="AG293" s="40"/>
      <c r="AH293" s="40"/>
      <c r="AI293" s="40"/>
      <c r="AJ293" s="40"/>
      <c r="AK293" s="40"/>
      <c r="AL293" s="40"/>
      <c r="AM293" s="40"/>
      <c r="AN293" s="40"/>
      <c r="AO293" s="40"/>
      <c r="AP293" s="40"/>
      <c r="AQ293" s="40"/>
      <c r="AR293" s="40"/>
      <c r="AS293" s="40"/>
      <c r="AT293" s="40"/>
      <c r="AU293" s="40"/>
      <c r="AV293" s="40"/>
      <c r="AW293" s="40"/>
      <c r="AX293" s="40"/>
      <c r="AY293" s="40"/>
      <c r="AZ293" s="40"/>
      <c r="BA293" s="40"/>
      <c r="BB293" s="40"/>
      <c r="BC293" s="40"/>
      <c r="BD293" s="40"/>
      <c r="BE293" s="40"/>
      <c r="BF293" s="40"/>
      <c r="BG293" s="40"/>
      <c r="BH293" s="40"/>
      <c r="BI293" s="40"/>
      <c r="BJ293" s="40"/>
      <c r="BK293" s="40"/>
      <c r="BL293" s="40"/>
      <c r="BM293" s="40"/>
      <c r="BN293" s="40"/>
      <c r="BO293" s="40"/>
      <c r="BP293" s="40"/>
      <c r="BQ293" s="40"/>
      <c r="BR293" s="40"/>
      <c r="BS293" s="40"/>
      <c r="BT293" s="40"/>
      <c r="BU293" s="40"/>
      <c r="BV293" s="40"/>
      <c r="BW293" s="40"/>
      <c r="BX293" s="40"/>
      <c r="BY293" s="40"/>
      <c r="BZ293" s="40"/>
      <c r="CA293" s="40"/>
      <c r="CB293" s="40"/>
      <c r="CC293" s="40"/>
      <c r="CD293" s="40"/>
      <c r="CE293" s="40"/>
      <c r="CF293" s="40"/>
      <c r="CG293" s="40"/>
      <c r="CH293" s="40"/>
      <c r="CI293" s="40"/>
      <c r="CJ293" s="40"/>
      <c r="CK293" s="40"/>
      <c r="CL293" s="40"/>
    </row>
    <row r="294" spans="1:90" x14ac:dyDescent="0.25">
      <c r="A294" s="40"/>
      <c r="B294" s="40"/>
      <c r="C294" s="40"/>
      <c r="D294" s="40"/>
      <c r="E294" s="40"/>
      <c r="F294" s="40"/>
      <c r="G294" s="40"/>
      <c r="H294" s="40"/>
      <c r="I294" s="40"/>
      <c r="J294" s="40"/>
      <c r="K294" s="40"/>
      <c r="L294" s="40"/>
      <c r="M294" s="40"/>
      <c r="N294" s="40"/>
      <c r="O294" s="40"/>
      <c r="P294" s="40"/>
      <c r="Q294" s="40"/>
      <c r="R294" s="40"/>
      <c r="S294" s="40"/>
      <c r="T294" s="40"/>
      <c r="U294" s="40"/>
      <c r="V294" s="40"/>
      <c r="W294" s="40"/>
      <c r="X294" s="40"/>
      <c r="Y294" s="40"/>
      <c r="Z294" s="40"/>
      <c r="AA294" s="40"/>
      <c r="AB294" s="40"/>
      <c r="AC294" s="40"/>
      <c r="AD294" s="40"/>
      <c r="AE294" s="40"/>
      <c r="AF294" s="40"/>
      <c r="AG294" s="40"/>
      <c r="AH294" s="40"/>
      <c r="AI294" s="40"/>
      <c r="AJ294" s="40"/>
      <c r="AK294" s="40"/>
      <c r="AL294" s="40"/>
      <c r="AM294" s="40"/>
      <c r="AN294" s="40"/>
      <c r="AO294" s="40"/>
      <c r="AP294" s="40"/>
      <c r="AQ294" s="40"/>
      <c r="AR294" s="40"/>
      <c r="AS294" s="40"/>
      <c r="AT294" s="40"/>
      <c r="AU294" s="40"/>
      <c r="AV294" s="40"/>
      <c r="AW294" s="40"/>
      <c r="AX294" s="40"/>
      <c r="AY294" s="40"/>
      <c r="AZ294" s="40"/>
      <c r="BA294" s="40"/>
      <c r="BB294" s="40"/>
      <c r="BC294" s="40"/>
      <c r="BD294" s="40"/>
      <c r="BE294" s="40"/>
      <c r="BF294" s="40"/>
      <c r="BG294" s="40"/>
      <c r="BH294" s="40"/>
      <c r="BI294" s="40"/>
      <c r="BJ294" s="40"/>
      <c r="BK294" s="40"/>
      <c r="BL294" s="40"/>
      <c r="BM294" s="40"/>
      <c r="BN294" s="40"/>
      <c r="BO294" s="40"/>
      <c r="BP294" s="40"/>
      <c r="BQ294" s="40"/>
      <c r="BR294" s="40"/>
      <c r="BS294" s="40"/>
      <c r="BT294" s="40"/>
      <c r="BU294" s="40"/>
      <c r="BV294" s="40"/>
      <c r="BW294" s="40"/>
      <c r="BX294" s="40"/>
      <c r="BY294" s="40"/>
      <c r="BZ294" s="40"/>
      <c r="CA294" s="40"/>
      <c r="CB294" s="40"/>
      <c r="CC294" s="40"/>
      <c r="CD294" s="40"/>
      <c r="CE294" s="40"/>
      <c r="CF294" s="40"/>
      <c r="CG294" s="40"/>
      <c r="CH294" s="40"/>
      <c r="CI294" s="40"/>
      <c r="CJ294" s="40"/>
      <c r="CK294" s="40"/>
      <c r="CL294" s="40"/>
    </row>
    <row r="295" spans="1:90" x14ac:dyDescent="0.25">
      <c r="A295" s="40"/>
      <c r="B295" s="40"/>
      <c r="C295" s="40"/>
      <c r="D295" s="40"/>
      <c r="E295" s="40"/>
      <c r="F295" s="40"/>
      <c r="G295" s="40"/>
      <c r="H295" s="40"/>
      <c r="I295" s="40"/>
      <c r="J295" s="40"/>
      <c r="K295" s="40"/>
      <c r="L295" s="40"/>
      <c r="M295" s="40"/>
      <c r="N295" s="40"/>
      <c r="O295" s="40"/>
      <c r="P295" s="40"/>
      <c r="Q295" s="40"/>
      <c r="R295" s="40"/>
      <c r="S295" s="40"/>
      <c r="T295" s="40"/>
      <c r="U295" s="40"/>
      <c r="V295" s="40"/>
      <c r="W295" s="40"/>
      <c r="X295" s="40"/>
      <c r="Y295" s="40"/>
      <c r="Z295" s="40"/>
      <c r="AA295" s="40"/>
      <c r="AB295" s="40"/>
      <c r="AC295" s="40"/>
      <c r="AD295" s="40"/>
      <c r="AE295" s="40"/>
      <c r="AF295" s="40"/>
      <c r="AG295" s="40"/>
      <c r="AH295" s="40"/>
      <c r="AI295" s="40"/>
      <c r="AJ295" s="40"/>
      <c r="AK295" s="40"/>
      <c r="AL295" s="40"/>
      <c r="AM295" s="40"/>
      <c r="AN295" s="40"/>
      <c r="AO295" s="40"/>
      <c r="AP295" s="40"/>
      <c r="AQ295" s="40"/>
      <c r="AR295" s="40"/>
      <c r="AS295" s="40"/>
      <c r="AT295" s="40"/>
      <c r="AU295" s="40"/>
      <c r="AV295" s="40"/>
      <c r="AW295" s="40"/>
      <c r="AX295" s="40"/>
      <c r="AY295" s="40"/>
      <c r="AZ295" s="40"/>
      <c r="BA295" s="40"/>
      <c r="BB295" s="40"/>
      <c r="BC295" s="40"/>
      <c r="BD295" s="40"/>
      <c r="BE295" s="40"/>
      <c r="BF295" s="40"/>
      <c r="BG295" s="40"/>
      <c r="BH295" s="40"/>
      <c r="BI295" s="40"/>
      <c r="BJ295" s="40"/>
      <c r="BK295" s="40"/>
      <c r="BL295" s="40"/>
      <c r="BM295" s="40"/>
      <c r="BN295" s="40"/>
      <c r="BO295" s="40"/>
      <c r="BP295" s="40"/>
      <c r="BQ295" s="40"/>
      <c r="BR295" s="40"/>
      <c r="BS295" s="40"/>
      <c r="BT295" s="40"/>
      <c r="BU295" s="40"/>
      <c r="BV295" s="40"/>
      <c r="BW295" s="40"/>
      <c r="BX295" s="40"/>
      <c r="BY295" s="40"/>
      <c r="BZ295" s="40"/>
      <c r="CA295" s="40"/>
      <c r="CB295" s="40"/>
      <c r="CC295" s="40"/>
      <c r="CD295" s="40"/>
      <c r="CE295" s="40"/>
      <c r="CF295" s="40"/>
      <c r="CG295" s="40"/>
      <c r="CH295" s="40"/>
      <c r="CI295" s="40"/>
      <c r="CJ295" s="40"/>
      <c r="CK295" s="40"/>
      <c r="CL295" s="40"/>
    </row>
    <row r="296" spans="1:90" x14ac:dyDescent="0.25">
      <c r="A296" s="40"/>
      <c r="B296" s="40"/>
      <c r="C296" s="40"/>
      <c r="D296" s="40"/>
      <c r="E296" s="40"/>
      <c r="F296" s="40"/>
      <c r="G296" s="40"/>
      <c r="H296" s="40"/>
      <c r="I296" s="40"/>
      <c r="J296" s="40"/>
      <c r="K296" s="40"/>
      <c r="L296" s="40"/>
      <c r="M296" s="40"/>
      <c r="N296" s="40"/>
      <c r="O296" s="40"/>
      <c r="P296" s="40"/>
      <c r="Q296" s="40"/>
      <c r="R296" s="40"/>
      <c r="S296" s="40"/>
      <c r="T296" s="40"/>
      <c r="U296" s="40"/>
      <c r="V296" s="40"/>
      <c r="W296" s="40"/>
      <c r="X296" s="40"/>
      <c r="Y296" s="40"/>
      <c r="Z296" s="40"/>
      <c r="AA296" s="40"/>
      <c r="AB296" s="40"/>
      <c r="AC296" s="40"/>
      <c r="AD296" s="40"/>
      <c r="AE296" s="40"/>
      <c r="AF296" s="40"/>
      <c r="AG296" s="40"/>
      <c r="AH296" s="40"/>
      <c r="AI296" s="40"/>
      <c r="AJ296" s="40"/>
      <c r="AK296" s="40"/>
      <c r="AL296" s="40"/>
      <c r="AM296" s="40"/>
      <c r="AN296" s="40"/>
      <c r="AO296" s="40"/>
      <c r="AP296" s="40"/>
      <c r="AQ296" s="40"/>
      <c r="AR296" s="40"/>
      <c r="AS296" s="40"/>
      <c r="AT296" s="40"/>
      <c r="AU296" s="40"/>
      <c r="AV296" s="40"/>
      <c r="AW296" s="40"/>
      <c r="AX296" s="40"/>
      <c r="AY296" s="40"/>
      <c r="AZ296" s="40"/>
      <c r="BA296" s="40"/>
      <c r="BB296" s="40"/>
      <c r="BC296" s="40"/>
      <c r="BD296" s="40"/>
      <c r="BE296" s="40"/>
      <c r="BF296" s="40"/>
      <c r="BG296" s="40"/>
      <c r="BH296" s="40"/>
      <c r="BI296" s="40"/>
      <c r="BJ296" s="40"/>
      <c r="BK296" s="40"/>
      <c r="BL296" s="40"/>
      <c r="BM296" s="40"/>
      <c r="BN296" s="40"/>
      <c r="BO296" s="40"/>
      <c r="BP296" s="40"/>
      <c r="BQ296" s="40"/>
      <c r="BR296" s="40"/>
      <c r="BS296" s="40"/>
      <c r="BT296" s="40"/>
      <c r="BU296" s="40"/>
      <c r="BV296" s="40"/>
      <c r="BW296" s="40"/>
      <c r="BX296" s="40"/>
      <c r="BY296" s="40"/>
      <c r="BZ296" s="40"/>
      <c r="CA296" s="40"/>
      <c r="CB296" s="40"/>
      <c r="CC296" s="40"/>
      <c r="CD296" s="40"/>
      <c r="CE296" s="40"/>
      <c r="CF296" s="40"/>
      <c r="CG296" s="40"/>
      <c r="CH296" s="40"/>
      <c r="CI296" s="40"/>
      <c r="CJ296" s="40"/>
      <c r="CK296" s="40"/>
      <c r="CL296" s="40"/>
    </row>
    <row r="297" spans="1:90" x14ac:dyDescent="0.25">
      <c r="A297" s="40"/>
      <c r="B297" s="40"/>
      <c r="C297" s="40"/>
      <c r="D297" s="40"/>
      <c r="E297" s="40"/>
      <c r="F297" s="40"/>
      <c r="G297" s="40"/>
      <c r="H297" s="40"/>
      <c r="I297" s="40"/>
      <c r="J297" s="40"/>
      <c r="K297" s="40"/>
      <c r="L297" s="40"/>
      <c r="M297" s="40"/>
      <c r="N297" s="40"/>
      <c r="O297" s="40"/>
      <c r="P297" s="40"/>
      <c r="Q297" s="40"/>
      <c r="R297" s="40"/>
      <c r="S297" s="40"/>
      <c r="T297" s="40"/>
      <c r="U297" s="40"/>
      <c r="V297" s="40"/>
      <c r="W297" s="40"/>
      <c r="X297" s="40"/>
      <c r="Y297" s="40"/>
      <c r="Z297" s="40"/>
      <c r="AA297" s="40"/>
      <c r="AB297" s="40"/>
      <c r="AC297" s="40"/>
      <c r="AD297" s="40"/>
      <c r="AE297" s="40"/>
      <c r="AF297" s="40"/>
      <c r="AG297" s="40"/>
      <c r="AH297" s="40"/>
      <c r="AI297" s="40"/>
      <c r="AJ297" s="40"/>
      <c r="AK297" s="40"/>
      <c r="AL297" s="40"/>
      <c r="AM297" s="40"/>
      <c r="AN297" s="40"/>
      <c r="AO297" s="40"/>
      <c r="AP297" s="40"/>
      <c r="AQ297" s="40"/>
      <c r="AR297" s="40"/>
      <c r="AS297" s="40"/>
      <c r="AT297" s="40"/>
      <c r="AU297" s="40"/>
      <c r="AV297" s="40"/>
      <c r="AW297" s="40"/>
      <c r="AX297" s="40"/>
      <c r="AY297" s="40"/>
      <c r="AZ297" s="40"/>
      <c r="BA297" s="40"/>
      <c r="BB297" s="40"/>
      <c r="BC297" s="40"/>
      <c r="BD297" s="40"/>
      <c r="BE297" s="40"/>
      <c r="BF297" s="40"/>
      <c r="BG297" s="40"/>
      <c r="BH297" s="40"/>
      <c r="BI297" s="40"/>
      <c r="BJ297" s="40"/>
      <c r="BK297" s="40"/>
      <c r="BL297" s="40"/>
      <c r="BM297" s="40"/>
      <c r="BN297" s="40"/>
      <c r="BO297" s="40"/>
      <c r="BP297" s="40"/>
      <c r="BQ297" s="40"/>
      <c r="BR297" s="40"/>
      <c r="BS297" s="40"/>
      <c r="BT297" s="40"/>
      <c r="BU297" s="40"/>
      <c r="BV297" s="40"/>
      <c r="BW297" s="40"/>
      <c r="BX297" s="40"/>
      <c r="BY297" s="40"/>
      <c r="BZ297" s="40"/>
      <c r="CA297" s="40"/>
      <c r="CB297" s="40"/>
      <c r="CC297" s="40"/>
      <c r="CD297" s="40"/>
      <c r="CE297" s="40"/>
      <c r="CF297" s="40"/>
      <c r="CG297" s="40"/>
      <c r="CH297" s="40"/>
      <c r="CI297" s="40"/>
      <c r="CJ297" s="40"/>
      <c r="CK297" s="40"/>
      <c r="CL297" s="40"/>
    </row>
    <row r="298" spans="1:90" x14ac:dyDescent="0.25">
      <c r="A298" s="40"/>
      <c r="B298" s="40"/>
      <c r="C298" s="40"/>
      <c r="D298" s="40"/>
      <c r="E298" s="40"/>
      <c r="F298" s="40"/>
      <c r="G298" s="40"/>
      <c r="H298" s="40"/>
      <c r="I298" s="40"/>
      <c r="J298" s="40"/>
      <c r="K298" s="40"/>
      <c r="L298" s="40"/>
      <c r="M298" s="40"/>
      <c r="N298" s="40"/>
      <c r="O298" s="40"/>
      <c r="P298" s="40"/>
      <c r="Q298" s="40"/>
      <c r="R298" s="40"/>
      <c r="S298" s="40"/>
      <c r="T298" s="40"/>
      <c r="U298" s="40"/>
      <c r="V298" s="40"/>
      <c r="W298" s="40"/>
      <c r="X298" s="40"/>
      <c r="Y298" s="40"/>
      <c r="Z298" s="40"/>
      <c r="AA298" s="40"/>
      <c r="AB298" s="40"/>
      <c r="AC298" s="40"/>
      <c r="AD298" s="40"/>
      <c r="AE298" s="40"/>
      <c r="AF298" s="40"/>
      <c r="AG298" s="40"/>
      <c r="AH298" s="40"/>
      <c r="AI298" s="40"/>
      <c r="AJ298" s="40"/>
      <c r="AK298" s="40"/>
      <c r="AL298" s="40"/>
      <c r="AM298" s="40"/>
      <c r="AN298" s="40"/>
      <c r="AO298" s="40"/>
      <c r="AP298" s="40"/>
      <c r="AQ298" s="40"/>
      <c r="AR298" s="40"/>
      <c r="AS298" s="40"/>
      <c r="AT298" s="40"/>
      <c r="AU298" s="40"/>
      <c r="AV298" s="40"/>
      <c r="AW298" s="40"/>
      <c r="AX298" s="40"/>
      <c r="AY298" s="40"/>
      <c r="AZ298" s="40"/>
      <c r="BA298" s="40"/>
      <c r="BB298" s="40"/>
      <c r="BC298" s="40"/>
      <c r="BD298" s="40"/>
      <c r="BE298" s="40"/>
      <c r="BF298" s="40"/>
      <c r="BG298" s="40"/>
      <c r="BH298" s="40"/>
      <c r="BI298" s="40"/>
      <c r="BJ298" s="40"/>
      <c r="BK298" s="40"/>
      <c r="BL298" s="40"/>
      <c r="BM298" s="40"/>
      <c r="BN298" s="40"/>
      <c r="BO298" s="40"/>
      <c r="BP298" s="40"/>
      <c r="BQ298" s="40"/>
      <c r="BR298" s="40"/>
      <c r="BS298" s="40"/>
      <c r="BT298" s="40"/>
      <c r="BU298" s="40"/>
      <c r="BV298" s="40"/>
      <c r="BW298" s="40"/>
      <c r="BX298" s="40"/>
      <c r="BY298" s="40"/>
      <c r="BZ298" s="40"/>
      <c r="CA298" s="40"/>
      <c r="CB298" s="40"/>
      <c r="CC298" s="40"/>
      <c r="CD298" s="40"/>
      <c r="CE298" s="40"/>
      <c r="CF298" s="40"/>
      <c r="CG298" s="40"/>
      <c r="CH298" s="40"/>
      <c r="CI298" s="40"/>
      <c r="CJ298" s="40"/>
      <c r="CK298" s="40"/>
      <c r="CL298" s="40"/>
    </row>
    <row r="299" spans="1:90" x14ac:dyDescent="0.25">
      <c r="A299" s="40"/>
      <c r="B299" s="40"/>
      <c r="C299" s="40"/>
      <c r="D299" s="40"/>
      <c r="E299" s="40"/>
      <c r="F299" s="40"/>
      <c r="G299" s="40"/>
      <c r="H299" s="40"/>
      <c r="I299" s="40"/>
      <c r="J299" s="40"/>
      <c r="K299" s="40"/>
      <c r="L299" s="40"/>
      <c r="M299" s="40"/>
      <c r="N299" s="40"/>
      <c r="O299" s="40"/>
      <c r="P299" s="40"/>
      <c r="Q299" s="40"/>
      <c r="R299" s="40"/>
      <c r="S299" s="40"/>
      <c r="T299" s="40"/>
      <c r="U299" s="40"/>
      <c r="V299" s="40"/>
      <c r="W299" s="40"/>
      <c r="X299" s="40"/>
      <c r="Y299" s="40"/>
      <c r="Z299" s="40"/>
      <c r="AA299" s="40"/>
      <c r="AB299" s="40"/>
      <c r="AC299" s="40"/>
      <c r="AD299" s="40"/>
      <c r="AE299" s="40"/>
      <c r="AF299" s="40"/>
      <c r="AG299" s="40"/>
      <c r="AH299" s="40"/>
      <c r="AI299" s="40"/>
      <c r="AJ299" s="40"/>
      <c r="AK299" s="40"/>
      <c r="AL299" s="40"/>
      <c r="AM299" s="40"/>
      <c r="AN299" s="40"/>
      <c r="AO299" s="40"/>
      <c r="AP299" s="40"/>
      <c r="AQ299" s="40"/>
      <c r="AR299" s="40"/>
      <c r="AS299" s="40"/>
      <c r="AT299" s="40"/>
      <c r="AU299" s="40"/>
      <c r="AV299" s="40"/>
      <c r="AW299" s="40"/>
      <c r="AX299" s="40"/>
      <c r="AY299" s="40"/>
      <c r="AZ299" s="40"/>
      <c r="BA299" s="40"/>
      <c r="BB299" s="40"/>
      <c r="BC299" s="40"/>
      <c r="BD299" s="40"/>
      <c r="BE299" s="40"/>
      <c r="BF299" s="40"/>
      <c r="BG299" s="40"/>
      <c r="BH299" s="40"/>
      <c r="BI299" s="40"/>
      <c r="BJ299" s="40"/>
      <c r="BK299" s="40"/>
      <c r="BL299" s="40"/>
      <c r="BM299" s="40"/>
      <c r="BN299" s="40"/>
      <c r="BO299" s="40"/>
      <c r="BP299" s="40"/>
      <c r="BQ299" s="40"/>
      <c r="BR299" s="40"/>
      <c r="BS299" s="40"/>
      <c r="BT299" s="40"/>
      <c r="BU299" s="40"/>
      <c r="BV299" s="40"/>
      <c r="BW299" s="40"/>
      <c r="BX299" s="40"/>
      <c r="BY299" s="40"/>
      <c r="BZ299" s="40"/>
      <c r="CA299" s="40"/>
      <c r="CB299" s="40"/>
      <c r="CC299" s="40"/>
      <c r="CD299" s="40"/>
      <c r="CE299" s="40"/>
      <c r="CF299" s="40"/>
      <c r="CG299" s="40"/>
      <c r="CH299" s="40"/>
      <c r="CI299" s="40"/>
      <c r="CJ299" s="40"/>
      <c r="CK299" s="40"/>
      <c r="CL299" s="40"/>
    </row>
    <row r="300" spans="1:90" x14ac:dyDescent="0.25">
      <c r="A300" s="40"/>
      <c r="B300" s="40"/>
      <c r="C300" s="40"/>
      <c r="D300" s="40"/>
      <c r="E300" s="40"/>
      <c r="F300" s="40"/>
      <c r="G300" s="40"/>
      <c r="H300" s="40"/>
      <c r="I300" s="40"/>
      <c r="J300" s="40"/>
      <c r="K300" s="40"/>
      <c r="L300" s="40"/>
      <c r="M300" s="40"/>
      <c r="N300" s="40"/>
      <c r="O300" s="40"/>
      <c r="P300" s="40"/>
      <c r="Q300" s="40"/>
      <c r="R300" s="40"/>
      <c r="S300" s="40"/>
      <c r="T300" s="40"/>
      <c r="U300" s="40"/>
      <c r="V300" s="40"/>
      <c r="W300" s="40"/>
      <c r="X300" s="40"/>
      <c r="Y300" s="40"/>
      <c r="Z300" s="40"/>
      <c r="AA300" s="40"/>
      <c r="AB300" s="40"/>
      <c r="AC300" s="40"/>
      <c r="AD300" s="40"/>
      <c r="AE300" s="40"/>
      <c r="AF300" s="40"/>
      <c r="AG300" s="40"/>
      <c r="AH300" s="40"/>
      <c r="AI300" s="40"/>
      <c r="AJ300" s="40"/>
      <c r="AK300" s="40"/>
      <c r="AL300" s="40"/>
      <c r="AM300" s="40"/>
      <c r="AN300" s="40"/>
      <c r="AO300" s="40"/>
      <c r="AP300" s="40"/>
      <c r="AQ300" s="40"/>
      <c r="AR300" s="40"/>
      <c r="AS300" s="40"/>
      <c r="AT300" s="40"/>
      <c r="AU300" s="40"/>
      <c r="AV300" s="40"/>
      <c r="AW300" s="40"/>
      <c r="AX300" s="40"/>
      <c r="AY300" s="40"/>
      <c r="AZ300" s="40"/>
      <c r="BA300" s="40"/>
      <c r="BB300" s="40"/>
      <c r="BC300" s="40"/>
      <c r="BD300" s="40"/>
      <c r="BE300" s="40"/>
      <c r="BF300" s="40"/>
      <c r="BG300" s="40"/>
      <c r="BH300" s="40"/>
      <c r="BI300" s="40"/>
      <c r="BJ300" s="40"/>
      <c r="BK300" s="40"/>
      <c r="BL300" s="40"/>
      <c r="BM300" s="40"/>
      <c r="BN300" s="40"/>
      <c r="BO300" s="40"/>
      <c r="BP300" s="40"/>
      <c r="BQ300" s="40"/>
      <c r="BR300" s="40"/>
      <c r="BS300" s="40"/>
      <c r="BT300" s="40"/>
      <c r="BU300" s="40"/>
      <c r="BV300" s="40"/>
      <c r="BW300" s="40"/>
      <c r="BX300" s="40"/>
      <c r="BY300" s="40"/>
      <c r="BZ300" s="40"/>
      <c r="CA300" s="40"/>
      <c r="CB300" s="40"/>
      <c r="CC300" s="40"/>
      <c r="CD300" s="40"/>
      <c r="CE300" s="40"/>
      <c r="CF300" s="40"/>
      <c r="CG300" s="40"/>
      <c r="CH300" s="40"/>
      <c r="CI300" s="40"/>
      <c r="CJ300" s="40"/>
      <c r="CK300" s="40"/>
      <c r="CL300" s="40"/>
    </row>
    <row r="301" spans="1:90" x14ac:dyDescent="0.25">
      <c r="A301" s="40"/>
      <c r="B301" s="40"/>
      <c r="C301" s="40"/>
      <c r="D301" s="40"/>
      <c r="E301" s="40"/>
      <c r="F301" s="40"/>
      <c r="G301" s="40"/>
      <c r="H301" s="40"/>
      <c r="I301" s="40"/>
      <c r="J301" s="40"/>
      <c r="K301" s="40"/>
      <c r="L301" s="40"/>
      <c r="M301" s="40"/>
      <c r="N301" s="40"/>
      <c r="O301" s="40"/>
      <c r="P301" s="40"/>
      <c r="Q301" s="40"/>
      <c r="R301" s="40"/>
      <c r="S301" s="40"/>
      <c r="T301" s="40"/>
      <c r="U301" s="40"/>
      <c r="V301" s="40"/>
      <c r="W301" s="40"/>
      <c r="X301" s="40"/>
      <c r="Y301" s="40"/>
      <c r="Z301" s="40"/>
      <c r="AA301" s="40"/>
      <c r="AB301" s="40"/>
      <c r="AC301" s="40"/>
      <c r="AD301" s="40"/>
      <c r="AE301" s="40"/>
      <c r="AF301" s="40"/>
      <c r="AG301" s="40"/>
      <c r="AH301" s="40"/>
      <c r="AI301" s="40"/>
      <c r="AJ301" s="40"/>
      <c r="AK301" s="40"/>
      <c r="AL301" s="40"/>
      <c r="AM301" s="40"/>
      <c r="AN301" s="40"/>
      <c r="AO301" s="40"/>
      <c r="AP301" s="40"/>
      <c r="AQ301" s="40"/>
      <c r="AR301" s="40"/>
      <c r="AS301" s="40"/>
      <c r="AT301" s="40"/>
      <c r="AU301" s="40"/>
      <c r="AV301" s="40"/>
      <c r="AW301" s="40"/>
      <c r="AX301" s="40"/>
      <c r="AY301" s="40"/>
      <c r="AZ301" s="40"/>
      <c r="BA301" s="40"/>
      <c r="BB301" s="40"/>
      <c r="BC301" s="40"/>
      <c r="BD301" s="40"/>
      <c r="BE301" s="40"/>
      <c r="BF301" s="40"/>
      <c r="BG301" s="40"/>
      <c r="BH301" s="40"/>
      <c r="BI301" s="40"/>
      <c r="BJ301" s="40"/>
      <c r="BK301" s="40"/>
      <c r="BL301" s="40"/>
      <c r="BM301" s="40"/>
      <c r="BN301" s="40"/>
      <c r="BO301" s="40"/>
      <c r="BP301" s="40"/>
      <c r="BQ301" s="40"/>
      <c r="BR301" s="40"/>
      <c r="BS301" s="40"/>
      <c r="BT301" s="40"/>
      <c r="BU301" s="40"/>
      <c r="BV301" s="40"/>
      <c r="BW301" s="40"/>
      <c r="BX301" s="40"/>
      <c r="BY301" s="40"/>
      <c r="BZ301" s="40"/>
      <c r="CA301" s="40"/>
      <c r="CB301" s="40"/>
      <c r="CC301" s="40"/>
      <c r="CD301" s="40"/>
      <c r="CE301" s="40"/>
      <c r="CF301" s="40"/>
      <c r="CG301" s="40"/>
      <c r="CH301" s="40"/>
      <c r="CI301" s="40"/>
      <c r="CJ301" s="40"/>
      <c r="CK301" s="40"/>
      <c r="CL301" s="40"/>
    </row>
    <row r="302" spans="1:90" x14ac:dyDescent="0.25">
      <c r="A302" s="40"/>
      <c r="B302" s="40"/>
      <c r="C302" s="40"/>
      <c r="D302" s="40"/>
      <c r="E302" s="40"/>
      <c r="F302" s="40"/>
      <c r="G302" s="40"/>
      <c r="H302" s="40"/>
      <c r="I302" s="40"/>
      <c r="J302" s="40"/>
      <c r="K302" s="40"/>
      <c r="L302" s="40"/>
      <c r="M302" s="40"/>
      <c r="N302" s="40"/>
      <c r="O302" s="40"/>
      <c r="P302" s="40"/>
      <c r="Q302" s="40"/>
      <c r="R302" s="40"/>
      <c r="S302" s="40"/>
      <c r="T302" s="40"/>
      <c r="U302" s="40"/>
      <c r="V302" s="40"/>
      <c r="W302" s="40"/>
      <c r="X302" s="40"/>
      <c r="Y302" s="40"/>
      <c r="Z302" s="40"/>
      <c r="AA302" s="40"/>
      <c r="AB302" s="40"/>
      <c r="AC302" s="40"/>
      <c r="AD302" s="40"/>
      <c r="AE302" s="40"/>
      <c r="AF302" s="40"/>
      <c r="AG302" s="40"/>
      <c r="AH302" s="40"/>
      <c r="AI302" s="40"/>
      <c r="AJ302" s="40"/>
      <c r="AK302" s="40"/>
      <c r="AL302" s="40"/>
      <c r="AM302" s="40"/>
      <c r="AN302" s="40"/>
      <c r="AO302" s="40"/>
      <c r="AP302" s="40"/>
      <c r="AQ302" s="40"/>
      <c r="AR302" s="40"/>
      <c r="AS302" s="40"/>
      <c r="AT302" s="40"/>
      <c r="AU302" s="40"/>
      <c r="AV302" s="40"/>
      <c r="AW302" s="40"/>
      <c r="AX302" s="40"/>
      <c r="AY302" s="40"/>
      <c r="AZ302" s="40"/>
      <c r="BA302" s="40"/>
      <c r="BB302" s="40"/>
      <c r="BC302" s="40"/>
      <c r="BD302" s="40"/>
      <c r="BE302" s="40"/>
      <c r="BF302" s="40"/>
      <c r="BG302" s="40"/>
      <c r="BH302" s="40"/>
      <c r="BI302" s="40"/>
      <c r="BJ302" s="40"/>
      <c r="BK302" s="40"/>
      <c r="BL302" s="40"/>
      <c r="BM302" s="40"/>
      <c r="BN302" s="40"/>
      <c r="BO302" s="40"/>
      <c r="BP302" s="40"/>
      <c r="BQ302" s="40"/>
      <c r="BR302" s="40"/>
      <c r="BS302" s="40"/>
      <c r="BT302" s="40"/>
      <c r="BU302" s="40"/>
      <c r="BV302" s="40"/>
      <c r="BW302" s="40"/>
      <c r="BX302" s="40"/>
      <c r="BY302" s="40"/>
      <c r="BZ302" s="40"/>
      <c r="CA302" s="40"/>
      <c r="CB302" s="40"/>
      <c r="CC302" s="40"/>
      <c r="CD302" s="40"/>
      <c r="CE302" s="40"/>
      <c r="CF302" s="40"/>
      <c r="CG302" s="40"/>
      <c r="CH302" s="40"/>
      <c r="CI302" s="40"/>
      <c r="CJ302" s="40"/>
      <c r="CK302" s="40"/>
      <c r="CL302" s="40"/>
    </row>
    <row r="303" spans="1:90" x14ac:dyDescent="0.25">
      <c r="A303" s="40"/>
      <c r="B303" s="40"/>
      <c r="C303" s="40"/>
      <c r="D303" s="40"/>
      <c r="E303" s="40"/>
      <c r="F303" s="40"/>
      <c r="G303" s="40"/>
      <c r="H303" s="40"/>
      <c r="I303" s="40"/>
      <c r="J303" s="40"/>
      <c r="K303" s="40"/>
      <c r="L303" s="40"/>
      <c r="M303" s="40"/>
      <c r="N303" s="40"/>
      <c r="O303" s="40"/>
      <c r="P303" s="40"/>
      <c r="Q303" s="40"/>
      <c r="R303" s="40"/>
      <c r="S303" s="40"/>
      <c r="T303" s="40"/>
      <c r="U303" s="40"/>
      <c r="V303" s="40"/>
      <c r="W303" s="40"/>
      <c r="X303" s="40"/>
      <c r="Y303" s="40"/>
      <c r="Z303" s="40"/>
      <c r="AA303" s="40"/>
      <c r="AB303" s="40"/>
      <c r="AC303" s="40"/>
      <c r="AD303" s="40"/>
      <c r="AE303" s="40"/>
      <c r="AF303" s="40"/>
      <c r="AG303" s="40"/>
      <c r="AH303" s="40"/>
      <c r="AI303" s="40"/>
      <c r="AJ303" s="40"/>
      <c r="AK303" s="40"/>
      <c r="AL303" s="40"/>
      <c r="AM303" s="40"/>
      <c r="AN303" s="40"/>
      <c r="AO303" s="40"/>
      <c r="AP303" s="40"/>
      <c r="AQ303" s="40"/>
      <c r="AR303" s="40"/>
      <c r="AS303" s="40"/>
      <c r="AT303" s="40"/>
      <c r="AU303" s="40"/>
      <c r="AV303" s="40"/>
      <c r="AW303" s="40"/>
      <c r="AX303" s="40"/>
      <c r="AY303" s="40"/>
      <c r="AZ303" s="40"/>
      <c r="BA303" s="40"/>
      <c r="BB303" s="40"/>
      <c r="BC303" s="40"/>
      <c r="BD303" s="40"/>
      <c r="BE303" s="40"/>
      <c r="BF303" s="40"/>
      <c r="BG303" s="40"/>
      <c r="BH303" s="40"/>
      <c r="BI303" s="40"/>
      <c r="BJ303" s="40"/>
      <c r="BK303" s="40"/>
      <c r="BL303" s="40"/>
      <c r="BM303" s="40"/>
      <c r="BN303" s="40"/>
      <c r="BO303" s="40"/>
      <c r="BP303" s="40"/>
      <c r="BQ303" s="40"/>
      <c r="BR303" s="40"/>
      <c r="BS303" s="40"/>
      <c r="BT303" s="40"/>
      <c r="BU303" s="40"/>
      <c r="BV303" s="40"/>
      <c r="BW303" s="40"/>
      <c r="BX303" s="40"/>
      <c r="BY303" s="40"/>
      <c r="BZ303" s="40"/>
      <c r="CA303" s="40"/>
      <c r="CB303" s="40"/>
      <c r="CC303" s="40"/>
      <c r="CD303" s="40"/>
      <c r="CE303" s="40"/>
      <c r="CF303" s="40"/>
      <c r="CG303" s="40"/>
      <c r="CH303" s="40"/>
      <c r="CI303" s="40"/>
      <c r="CJ303" s="40"/>
      <c r="CK303" s="40"/>
      <c r="CL303" s="40"/>
    </row>
    <row r="304" spans="1:90" x14ac:dyDescent="0.25">
      <c r="A304" s="40"/>
      <c r="B304" s="40"/>
      <c r="C304" s="40"/>
      <c r="D304" s="40"/>
      <c r="E304" s="40"/>
      <c r="F304" s="40"/>
      <c r="G304" s="40"/>
      <c r="H304" s="40"/>
      <c r="I304" s="40"/>
      <c r="J304" s="40"/>
      <c r="K304" s="40"/>
      <c r="L304" s="40"/>
      <c r="M304" s="40"/>
      <c r="N304" s="40"/>
      <c r="O304" s="40"/>
      <c r="P304" s="40"/>
      <c r="Q304" s="40"/>
      <c r="R304" s="40"/>
      <c r="S304" s="40"/>
      <c r="T304" s="40"/>
      <c r="U304" s="40"/>
      <c r="V304" s="40"/>
      <c r="W304" s="40"/>
      <c r="X304" s="40"/>
      <c r="Y304" s="40"/>
      <c r="Z304" s="40"/>
      <c r="AA304" s="40"/>
      <c r="AB304" s="40"/>
      <c r="AC304" s="40"/>
      <c r="AD304" s="40"/>
      <c r="AE304" s="40"/>
      <c r="AF304" s="40"/>
      <c r="AG304" s="40"/>
      <c r="AH304" s="40"/>
      <c r="AI304" s="40"/>
      <c r="AJ304" s="40"/>
      <c r="AK304" s="40"/>
      <c r="AL304" s="40"/>
      <c r="AM304" s="40"/>
      <c r="AN304" s="40"/>
      <c r="AO304" s="40"/>
      <c r="AP304" s="40"/>
      <c r="AQ304" s="40"/>
      <c r="AR304" s="40"/>
      <c r="AS304" s="40"/>
      <c r="AT304" s="40"/>
      <c r="AU304" s="40"/>
      <c r="AV304" s="40"/>
      <c r="AW304" s="40"/>
      <c r="AX304" s="40"/>
      <c r="AY304" s="40"/>
      <c r="AZ304" s="40"/>
      <c r="BA304" s="40"/>
      <c r="BB304" s="40"/>
      <c r="BC304" s="40"/>
      <c r="BD304" s="40"/>
      <c r="BE304" s="40"/>
      <c r="BF304" s="40"/>
      <c r="BG304" s="40"/>
      <c r="BH304" s="40"/>
      <c r="BI304" s="40"/>
      <c r="BJ304" s="40"/>
      <c r="BK304" s="40"/>
      <c r="BL304" s="40"/>
      <c r="BM304" s="40"/>
      <c r="BN304" s="40"/>
      <c r="BO304" s="40"/>
      <c r="BP304" s="40"/>
      <c r="BQ304" s="40"/>
      <c r="BR304" s="40"/>
      <c r="BS304" s="40"/>
      <c r="BT304" s="40"/>
      <c r="BU304" s="40"/>
      <c r="BV304" s="40"/>
      <c r="BW304" s="40"/>
      <c r="BX304" s="40"/>
      <c r="BY304" s="40"/>
      <c r="BZ304" s="40"/>
      <c r="CA304" s="40"/>
      <c r="CB304" s="40"/>
      <c r="CC304" s="40"/>
      <c r="CD304" s="40"/>
      <c r="CE304" s="40"/>
      <c r="CF304" s="40"/>
      <c r="CG304" s="40"/>
      <c r="CH304" s="40"/>
      <c r="CI304" s="40"/>
      <c r="CJ304" s="40"/>
      <c r="CK304" s="40"/>
      <c r="CL304" s="40"/>
    </row>
    <row r="305" spans="1:90" x14ac:dyDescent="0.25">
      <c r="A305" s="40"/>
      <c r="B305" s="40"/>
      <c r="C305" s="40"/>
      <c r="D305" s="40"/>
      <c r="E305" s="40"/>
      <c r="F305" s="40"/>
      <c r="G305" s="40"/>
      <c r="H305" s="40"/>
      <c r="I305" s="40"/>
      <c r="J305" s="40"/>
      <c r="K305" s="40"/>
      <c r="L305" s="40"/>
      <c r="M305" s="40"/>
      <c r="N305" s="40"/>
      <c r="O305" s="40"/>
      <c r="P305" s="40"/>
      <c r="Q305" s="40"/>
      <c r="R305" s="40"/>
      <c r="S305" s="40"/>
      <c r="T305" s="40"/>
      <c r="U305" s="40"/>
      <c r="V305" s="40"/>
      <c r="W305" s="40"/>
      <c r="X305" s="40"/>
      <c r="Y305" s="40"/>
      <c r="Z305" s="40"/>
      <c r="AA305" s="40"/>
      <c r="AB305" s="40"/>
      <c r="AC305" s="40"/>
      <c r="AD305" s="40"/>
      <c r="AE305" s="40"/>
      <c r="AF305" s="40"/>
      <c r="AG305" s="40"/>
      <c r="AH305" s="40"/>
      <c r="AI305" s="40"/>
      <c r="AJ305" s="40"/>
      <c r="AK305" s="40"/>
      <c r="AL305" s="40"/>
      <c r="AM305" s="40"/>
      <c r="AN305" s="40"/>
      <c r="AO305" s="40"/>
      <c r="AP305" s="40"/>
      <c r="AQ305" s="40"/>
      <c r="AR305" s="40"/>
      <c r="AS305" s="40"/>
      <c r="AT305" s="40"/>
      <c r="AU305" s="40"/>
      <c r="AV305" s="40"/>
      <c r="AW305" s="40"/>
      <c r="AX305" s="40"/>
      <c r="AY305" s="40"/>
      <c r="AZ305" s="40"/>
      <c r="BA305" s="40"/>
      <c r="BB305" s="40"/>
      <c r="BC305" s="40"/>
      <c r="BD305" s="40"/>
      <c r="BE305" s="40"/>
      <c r="BF305" s="40"/>
      <c r="BG305" s="40"/>
      <c r="BH305" s="40"/>
      <c r="BI305" s="40"/>
      <c r="BJ305" s="40"/>
      <c r="BK305" s="40"/>
      <c r="BL305" s="40"/>
      <c r="BM305" s="40"/>
      <c r="BN305" s="40"/>
      <c r="BO305" s="40"/>
      <c r="BP305" s="40"/>
      <c r="BQ305" s="40"/>
      <c r="BR305" s="40"/>
      <c r="BS305" s="40"/>
      <c r="BT305" s="40"/>
      <c r="BU305" s="40"/>
      <c r="BV305" s="40"/>
      <c r="BW305" s="40"/>
      <c r="BX305" s="40"/>
      <c r="BY305" s="40"/>
      <c r="BZ305" s="40"/>
      <c r="CA305" s="40"/>
      <c r="CB305" s="40"/>
      <c r="CC305" s="40"/>
      <c r="CD305" s="40"/>
      <c r="CE305" s="40"/>
      <c r="CF305" s="40"/>
      <c r="CG305" s="40"/>
      <c r="CH305" s="40"/>
      <c r="CI305" s="40"/>
      <c r="CJ305" s="40"/>
      <c r="CK305" s="40"/>
      <c r="CL305" s="40"/>
    </row>
    <row r="306" spans="1:90" x14ac:dyDescent="0.25">
      <c r="A306" s="40"/>
      <c r="B306" s="40"/>
      <c r="C306" s="40"/>
      <c r="D306" s="40"/>
      <c r="E306" s="40"/>
      <c r="F306" s="40"/>
      <c r="G306" s="40"/>
      <c r="H306" s="40"/>
      <c r="I306" s="40"/>
      <c r="J306" s="40"/>
      <c r="K306" s="40"/>
      <c r="L306" s="40"/>
      <c r="M306" s="40"/>
      <c r="N306" s="40"/>
      <c r="O306" s="40"/>
      <c r="P306" s="40"/>
      <c r="Q306" s="40"/>
      <c r="R306" s="40"/>
      <c r="S306" s="40"/>
      <c r="T306" s="40"/>
      <c r="U306" s="40"/>
      <c r="V306" s="40"/>
      <c r="W306" s="40"/>
      <c r="X306" s="40"/>
      <c r="Y306" s="40"/>
      <c r="Z306" s="40"/>
      <c r="AA306" s="40"/>
      <c r="AB306" s="40"/>
      <c r="AC306" s="40"/>
      <c r="AD306" s="40"/>
      <c r="AE306" s="40"/>
      <c r="AF306" s="40"/>
      <c r="AG306" s="40"/>
      <c r="AH306" s="40"/>
      <c r="AI306" s="40"/>
      <c r="AJ306" s="40"/>
      <c r="AK306" s="40"/>
      <c r="AL306" s="40"/>
      <c r="AM306" s="40"/>
      <c r="AN306" s="40"/>
      <c r="AO306" s="40"/>
      <c r="AP306" s="40"/>
      <c r="AQ306" s="40"/>
      <c r="AR306" s="40"/>
      <c r="AS306" s="40"/>
      <c r="AT306" s="40"/>
      <c r="AU306" s="40"/>
      <c r="AV306" s="40"/>
      <c r="AW306" s="40"/>
      <c r="AX306" s="40"/>
      <c r="AY306" s="40"/>
      <c r="AZ306" s="40"/>
      <c r="BA306" s="40"/>
      <c r="BB306" s="40"/>
      <c r="BC306" s="40"/>
      <c r="BD306" s="40"/>
      <c r="BE306" s="40"/>
      <c r="BF306" s="40"/>
      <c r="BG306" s="40"/>
      <c r="BH306" s="40"/>
      <c r="BI306" s="40"/>
      <c r="BJ306" s="40"/>
      <c r="BK306" s="40"/>
      <c r="BL306" s="40"/>
      <c r="BM306" s="40"/>
      <c r="BN306" s="40"/>
      <c r="BO306" s="40"/>
      <c r="BP306" s="40"/>
      <c r="BQ306" s="40"/>
      <c r="BR306" s="40"/>
      <c r="BS306" s="40"/>
      <c r="BT306" s="40"/>
      <c r="BU306" s="40"/>
      <c r="BV306" s="40"/>
      <c r="BW306" s="40"/>
      <c r="BX306" s="40"/>
      <c r="BY306" s="40"/>
      <c r="BZ306" s="40"/>
      <c r="CA306" s="40"/>
      <c r="CB306" s="40"/>
      <c r="CC306" s="40"/>
      <c r="CD306" s="40"/>
      <c r="CE306" s="40"/>
      <c r="CF306" s="40"/>
      <c r="CG306" s="40"/>
      <c r="CH306" s="40"/>
      <c r="CI306" s="40"/>
      <c r="CJ306" s="40"/>
      <c r="CK306" s="40"/>
      <c r="CL306" s="40"/>
    </row>
    <row r="307" spans="1:90" x14ac:dyDescent="0.25">
      <c r="A307" s="40"/>
      <c r="B307" s="40"/>
      <c r="C307" s="40"/>
      <c r="D307" s="40"/>
      <c r="E307" s="40"/>
      <c r="F307" s="40"/>
      <c r="G307" s="40"/>
      <c r="H307" s="40"/>
      <c r="I307" s="40"/>
      <c r="J307" s="40"/>
      <c r="K307" s="40"/>
      <c r="L307" s="40"/>
      <c r="M307" s="40"/>
      <c r="N307" s="40"/>
      <c r="O307" s="40"/>
      <c r="P307" s="40"/>
      <c r="Q307" s="40"/>
      <c r="R307" s="40"/>
      <c r="S307" s="40"/>
      <c r="T307" s="40"/>
      <c r="U307" s="40"/>
      <c r="V307" s="40"/>
      <c r="W307" s="40"/>
      <c r="X307" s="40"/>
      <c r="Y307" s="40"/>
      <c r="Z307" s="40"/>
      <c r="AA307" s="40"/>
      <c r="AB307" s="40"/>
      <c r="AC307" s="40"/>
      <c r="AD307" s="40"/>
      <c r="AE307" s="40"/>
      <c r="AF307" s="40"/>
      <c r="AG307" s="40"/>
      <c r="AH307" s="40"/>
      <c r="AI307" s="40"/>
      <c r="AJ307" s="40"/>
      <c r="AK307" s="40"/>
      <c r="AL307" s="40"/>
      <c r="AM307" s="40"/>
      <c r="AN307" s="40"/>
      <c r="AO307" s="40"/>
      <c r="AP307" s="40"/>
      <c r="AQ307" s="40"/>
      <c r="AR307" s="40"/>
      <c r="AS307" s="40"/>
      <c r="AT307" s="40"/>
      <c r="AU307" s="40"/>
      <c r="AV307" s="40"/>
      <c r="AW307" s="40"/>
      <c r="AX307" s="40"/>
      <c r="AY307" s="40"/>
      <c r="AZ307" s="40"/>
      <c r="BA307" s="40"/>
      <c r="BB307" s="40"/>
      <c r="BC307" s="40"/>
      <c r="BD307" s="40"/>
      <c r="BE307" s="40"/>
      <c r="BF307" s="40"/>
      <c r="BG307" s="40"/>
      <c r="BH307" s="40"/>
      <c r="BI307" s="40"/>
      <c r="BJ307" s="40"/>
      <c r="BK307" s="40"/>
      <c r="BL307" s="40"/>
      <c r="BM307" s="40"/>
      <c r="BN307" s="40"/>
      <c r="BO307" s="40"/>
      <c r="BP307" s="40"/>
      <c r="BQ307" s="40"/>
      <c r="BR307" s="40"/>
      <c r="BS307" s="40"/>
      <c r="BT307" s="40"/>
      <c r="BU307" s="40"/>
      <c r="BV307" s="40"/>
      <c r="BW307" s="40"/>
      <c r="BX307" s="40"/>
      <c r="BY307" s="40"/>
      <c r="BZ307" s="40"/>
      <c r="CA307" s="40"/>
      <c r="CB307" s="40"/>
      <c r="CC307" s="40"/>
      <c r="CD307" s="40"/>
      <c r="CE307" s="40"/>
      <c r="CF307" s="40"/>
      <c r="CG307" s="40"/>
      <c r="CH307" s="40"/>
      <c r="CI307" s="40"/>
      <c r="CJ307" s="40"/>
      <c r="CK307" s="40"/>
      <c r="CL307" s="40"/>
    </row>
    <row r="308" spans="1:90" x14ac:dyDescent="0.25">
      <c r="A308" s="40"/>
      <c r="B308" s="40"/>
      <c r="C308" s="40"/>
      <c r="D308" s="40"/>
      <c r="E308" s="40"/>
      <c r="F308" s="40"/>
      <c r="G308" s="40"/>
      <c r="H308" s="40"/>
      <c r="I308" s="40"/>
      <c r="J308" s="40"/>
      <c r="K308" s="40"/>
      <c r="L308" s="40"/>
      <c r="M308" s="40"/>
      <c r="N308" s="40"/>
      <c r="O308" s="40"/>
      <c r="P308" s="40"/>
      <c r="Q308" s="40"/>
      <c r="R308" s="40"/>
      <c r="S308" s="40"/>
      <c r="T308" s="40"/>
      <c r="U308" s="40"/>
      <c r="V308" s="40"/>
      <c r="W308" s="40"/>
      <c r="X308" s="40"/>
      <c r="Y308" s="40"/>
      <c r="Z308" s="40"/>
      <c r="AA308" s="40"/>
      <c r="AB308" s="40"/>
      <c r="AC308" s="40"/>
      <c r="AD308" s="40"/>
      <c r="AE308" s="40"/>
      <c r="AF308" s="40"/>
      <c r="AG308" s="40"/>
      <c r="AH308" s="40"/>
      <c r="AI308" s="40"/>
      <c r="AJ308" s="40"/>
      <c r="AK308" s="40"/>
      <c r="AL308" s="40"/>
      <c r="AM308" s="40"/>
      <c r="AN308" s="40"/>
      <c r="AO308" s="40"/>
      <c r="AP308" s="40"/>
      <c r="AQ308" s="40"/>
      <c r="AR308" s="40"/>
      <c r="AS308" s="40"/>
      <c r="AT308" s="40"/>
      <c r="AU308" s="40"/>
      <c r="AV308" s="40"/>
      <c r="AW308" s="40"/>
      <c r="AX308" s="40"/>
      <c r="AY308" s="40"/>
      <c r="AZ308" s="40"/>
      <c r="BA308" s="40"/>
      <c r="BB308" s="40"/>
      <c r="BC308" s="40"/>
      <c r="BD308" s="40"/>
      <c r="BE308" s="40"/>
      <c r="BF308" s="40"/>
      <c r="BG308" s="40"/>
      <c r="BH308" s="40"/>
      <c r="BI308" s="40"/>
      <c r="BJ308" s="40"/>
      <c r="BK308" s="40"/>
      <c r="BL308" s="40"/>
      <c r="BM308" s="40"/>
      <c r="BN308" s="40"/>
      <c r="BO308" s="40"/>
      <c r="BP308" s="40"/>
      <c r="BQ308" s="40"/>
      <c r="BR308" s="40"/>
      <c r="BS308" s="40"/>
      <c r="BT308" s="40"/>
      <c r="BU308" s="40"/>
      <c r="BV308" s="40"/>
      <c r="BW308" s="40"/>
      <c r="BX308" s="40"/>
      <c r="BY308" s="40"/>
      <c r="BZ308" s="40"/>
      <c r="CA308" s="40"/>
      <c r="CB308" s="40"/>
      <c r="CC308" s="40"/>
      <c r="CD308" s="40"/>
      <c r="CE308" s="40"/>
      <c r="CF308" s="40"/>
      <c r="CG308" s="40"/>
      <c r="CH308" s="40"/>
      <c r="CI308" s="40"/>
      <c r="CJ308" s="40"/>
      <c r="CK308" s="40"/>
      <c r="CL308" s="40"/>
    </row>
    <row r="309" spans="1:90" x14ac:dyDescent="0.25">
      <c r="A309" s="40"/>
      <c r="B309" s="40"/>
      <c r="C309" s="40"/>
      <c r="D309" s="40"/>
      <c r="E309" s="40"/>
      <c r="F309" s="40"/>
      <c r="G309" s="40"/>
      <c r="H309" s="40"/>
      <c r="I309" s="40"/>
      <c r="J309" s="40"/>
      <c r="K309" s="40"/>
      <c r="L309" s="40"/>
      <c r="M309" s="40"/>
      <c r="N309" s="40"/>
      <c r="O309" s="40"/>
      <c r="P309" s="40"/>
      <c r="Q309" s="40"/>
      <c r="R309" s="40"/>
      <c r="S309" s="40"/>
      <c r="T309" s="40"/>
      <c r="U309" s="40"/>
      <c r="V309" s="40"/>
      <c r="W309" s="40"/>
      <c r="X309" s="40"/>
      <c r="Y309" s="40"/>
      <c r="Z309" s="40"/>
      <c r="AA309" s="40"/>
      <c r="AB309" s="40"/>
      <c r="AC309" s="40"/>
      <c r="AD309" s="40"/>
      <c r="AE309" s="40"/>
      <c r="AF309" s="40"/>
      <c r="AG309" s="40"/>
      <c r="AH309" s="40"/>
      <c r="AI309" s="40"/>
      <c r="AJ309" s="40"/>
      <c r="AK309" s="40"/>
      <c r="AL309" s="40"/>
      <c r="AM309" s="40"/>
      <c r="AN309" s="40"/>
      <c r="AO309" s="40"/>
      <c r="AP309" s="40"/>
      <c r="AQ309" s="40"/>
      <c r="AR309" s="40"/>
      <c r="AS309" s="40"/>
      <c r="AT309" s="40"/>
      <c r="AU309" s="40"/>
      <c r="AV309" s="40"/>
      <c r="AW309" s="40"/>
      <c r="AX309" s="40"/>
      <c r="AY309" s="40"/>
      <c r="AZ309" s="40"/>
      <c r="BA309" s="40"/>
      <c r="BB309" s="40"/>
      <c r="BC309" s="40"/>
      <c r="BD309" s="40"/>
      <c r="BE309" s="40"/>
      <c r="BF309" s="40"/>
      <c r="BG309" s="40"/>
      <c r="BH309" s="40"/>
      <c r="BI309" s="40"/>
      <c r="BJ309" s="40"/>
      <c r="BK309" s="40"/>
      <c r="BL309" s="40"/>
      <c r="BM309" s="40"/>
      <c r="BN309" s="40"/>
      <c r="BO309" s="40"/>
      <c r="BP309" s="40"/>
      <c r="BQ309" s="40"/>
      <c r="BR309" s="40"/>
      <c r="BS309" s="40"/>
      <c r="BT309" s="40"/>
      <c r="BU309" s="40"/>
      <c r="BV309" s="40"/>
      <c r="BW309" s="40"/>
      <c r="BX309" s="40"/>
      <c r="BY309" s="40"/>
      <c r="BZ309" s="40"/>
      <c r="CA309" s="40"/>
      <c r="CB309" s="40"/>
      <c r="CC309" s="40"/>
      <c r="CD309" s="40"/>
      <c r="CE309" s="40"/>
      <c r="CF309" s="40"/>
      <c r="CG309" s="40"/>
      <c r="CH309" s="40"/>
      <c r="CI309" s="40"/>
      <c r="CJ309" s="40"/>
      <c r="CK309" s="40"/>
      <c r="CL309" s="40"/>
    </row>
    <row r="310" spans="1:90" x14ac:dyDescent="0.25">
      <c r="A310" s="40"/>
      <c r="B310" s="40"/>
      <c r="C310" s="40"/>
      <c r="D310" s="40"/>
      <c r="E310" s="40"/>
      <c r="F310" s="40"/>
      <c r="G310" s="40"/>
      <c r="H310" s="40"/>
      <c r="I310" s="40"/>
      <c r="J310" s="40"/>
      <c r="K310" s="40"/>
      <c r="L310" s="40"/>
      <c r="M310" s="40"/>
      <c r="N310" s="40"/>
      <c r="O310" s="40"/>
      <c r="P310" s="40"/>
      <c r="Q310" s="40"/>
      <c r="R310" s="40"/>
      <c r="S310" s="40"/>
      <c r="T310" s="40"/>
      <c r="U310" s="40"/>
      <c r="V310" s="40"/>
      <c r="W310" s="40"/>
      <c r="X310" s="40"/>
      <c r="Y310" s="40"/>
      <c r="Z310" s="40"/>
      <c r="AA310" s="40"/>
      <c r="AB310" s="40"/>
      <c r="AC310" s="40"/>
      <c r="AD310" s="40"/>
      <c r="AE310" s="40"/>
      <c r="AF310" s="40"/>
      <c r="AG310" s="40"/>
      <c r="AH310" s="40"/>
      <c r="AI310" s="40"/>
      <c r="AJ310" s="40"/>
      <c r="AK310" s="40"/>
      <c r="AL310" s="40"/>
      <c r="AM310" s="40"/>
      <c r="AN310" s="40"/>
      <c r="AO310" s="40"/>
      <c r="AP310" s="40"/>
      <c r="AQ310" s="40"/>
      <c r="AR310" s="40"/>
      <c r="AS310" s="40"/>
      <c r="AT310" s="40"/>
      <c r="AU310" s="40"/>
      <c r="AV310" s="40"/>
      <c r="AW310" s="40"/>
      <c r="AX310" s="40"/>
      <c r="AY310" s="40"/>
      <c r="AZ310" s="40"/>
      <c r="BA310" s="40"/>
      <c r="BB310" s="40"/>
      <c r="BC310" s="40"/>
      <c r="BD310" s="40"/>
      <c r="BE310" s="40"/>
      <c r="BF310" s="40"/>
      <c r="BG310" s="40"/>
      <c r="BH310" s="40"/>
      <c r="BI310" s="40"/>
      <c r="BJ310" s="40"/>
      <c r="BK310" s="40"/>
      <c r="BL310" s="40"/>
      <c r="BM310" s="40"/>
      <c r="BN310" s="40"/>
      <c r="BO310" s="40"/>
      <c r="BP310" s="40"/>
      <c r="BQ310" s="40"/>
      <c r="BR310" s="40"/>
      <c r="BS310" s="40"/>
      <c r="BT310" s="40"/>
      <c r="BU310" s="40"/>
      <c r="BV310" s="40"/>
      <c r="BW310" s="40"/>
      <c r="BX310" s="40"/>
      <c r="BY310" s="40"/>
      <c r="BZ310" s="40"/>
      <c r="CA310" s="40"/>
      <c r="CB310" s="40"/>
      <c r="CC310" s="40"/>
      <c r="CD310" s="40"/>
      <c r="CE310" s="40"/>
      <c r="CF310" s="40"/>
      <c r="CG310" s="40"/>
      <c r="CH310" s="40"/>
      <c r="CI310" s="40"/>
      <c r="CJ310" s="40"/>
      <c r="CK310" s="40"/>
      <c r="CL310" s="40"/>
    </row>
    <row r="311" spans="1:90" x14ac:dyDescent="0.25">
      <c r="A311" s="40"/>
      <c r="B311" s="40"/>
      <c r="C311" s="40"/>
      <c r="D311" s="40"/>
      <c r="E311" s="40"/>
      <c r="F311" s="40"/>
      <c r="G311" s="40"/>
      <c r="H311" s="40"/>
      <c r="I311" s="40"/>
      <c r="J311" s="40"/>
      <c r="K311" s="40"/>
      <c r="L311" s="40"/>
      <c r="M311" s="40"/>
      <c r="N311" s="40"/>
      <c r="O311" s="40"/>
      <c r="P311" s="40"/>
      <c r="Q311" s="40"/>
      <c r="R311" s="40"/>
      <c r="S311" s="40"/>
      <c r="T311" s="40"/>
      <c r="U311" s="40"/>
      <c r="V311" s="40"/>
      <c r="W311" s="40"/>
      <c r="X311" s="40"/>
      <c r="Y311" s="40"/>
      <c r="Z311" s="40"/>
      <c r="AA311" s="40"/>
      <c r="AB311" s="40"/>
      <c r="AC311" s="40"/>
      <c r="AD311" s="40"/>
      <c r="AE311" s="40"/>
      <c r="AF311" s="40"/>
      <c r="AG311" s="40"/>
      <c r="AH311" s="40"/>
      <c r="AI311" s="40"/>
      <c r="AJ311" s="40"/>
      <c r="AK311" s="40"/>
      <c r="AL311" s="40"/>
      <c r="AM311" s="40"/>
      <c r="AN311" s="40"/>
      <c r="AO311" s="40"/>
      <c r="AP311" s="40"/>
      <c r="AQ311" s="40"/>
      <c r="AR311" s="40"/>
      <c r="AS311" s="40"/>
      <c r="AT311" s="40"/>
      <c r="AU311" s="40"/>
      <c r="AV311" s="40"/>
      <c r="AW311" s="40"/>
      <c r="AX311" s="40"/>
      <c r="AY311" s="40"/>
      <c r="AZ311" s="40"/>
      <c r="BA311" s="40"/>
      <c r="BB311" s="40"/>
      <c r="BC311" s="40"/>
      <c r="BD311" s="40"/>
      <c r="BE311" s="40"/>
      <c r="BF311" s="40"/>
      <c r="BG311" s="40"/>
      <c r="BH311" s="40"/>
      <c r="BI311" s="40"/>
      <c r="BJ311" s="40"/>
      <c r="BK311" s="40"/>
      <c r="BL311" s="40"/>
      <c r="BM311" s="40"/>
      <c r="BN311" s="40"/>
      <c r="BO311" s="40"/>
      <c r="BP311" s="40"/>
      <c r="BQ311" s="40"/>
      <c r="BR311" s="40"/>
      <c r="BS311" s="40"/>
      <c r="BT311" s="40"/>
      <c r="BU311" s="40"/>
      <c r="BV311" s="40"/>
      <c r="BW311" s="40"/>
      <c r="BX311" s="40"/>
      <c r="BY311" s="40"/>
      <c r="BZ311" s="40"/>
      <c r="CA311" s="40"/>
      <c r="CB311" s="40"/>
      <c r="CC311" s="40"/>
      <c r="CD311" s="40"/>
      <c r="CE311" s="40"/>
      <c r="CF311" s="40"/>
      <c r="CG311" s="40"/>
      <c r="CH311" s="40"/>
      <c r="CI311" s="40"/>
      <c r="CJ311" s="40"/>
      <c r="CK311" s="40"/>
      <c r="CL311" s="40"/>
    </row>
    <row r="312" spans="1:90" x14ac:dyDescent="0.25">
      <c r="A312" s="40"/>
      <c r="B312" s="40"/>
      <c r="C312" s="40"/>
      <c r="D312" s="40"/>
      <c r="E312" s="40"/>
      <c r="F312" s="40"/>
      <c r="G312" s="40"/>
      <c r="H312" s="40"/>
      <c r="I312" s="40"/>
      <c r="J312" s="40"/>
      <c r="K312" s="40"/>
      <c r="L312" s="40"/>
      <c r="M312" s="40"/>
      <c r="N312" s="40"/>
      <c r="O312" s="40"/>
      <c r="P312" s="40"/>
      <c r="Q312" s="40"/>
      <c r="R312" s="40"/>
      <c r="S312" s="40"/>
      <c r="T312" s="40"/>
      <c r="U312" s="40"/>
      <c r="V312" s="40"/>
      <c r="W312" s="40"/>
      <c r="X312" s="40"/>
      <c r="Y312" s="40"/>
      <c r="Z312" s="40"/>
      <c r="AA312" s="40"/>
      <c r="AB312" s="40"/>
      <c r="AC312" s="40"/>
      <c r="AD312" s="40"/>
      <c r="AE312" s="40"/>
      <c r="AF312" s="40"/>
      <c r="AG312" s="40"/>
      <c r="AH312" s="40"/>
      <c r="AI312" s="40"/>
      <c r="AJ312" s="40"/>
      <c r="AK312" s="40"/>
      <c r="AL312" s="40"/>
      <c r="AM312" s="40"/>
      <c r="AN312" s="40"/>
      <c r="AO312" s="40"/>
      <c r="AP312" s="40"/>
      <c r="AQ312" s="40"/>
      <c r="AR312" s="40"/>
      <c r="AS312" s="40"/>
      <c r="AT312" s="40"/>
      <c r="AU312" s="40"/>
      <c r="AV312" s="40"/>
      <c r="AW312" s="40"/>
      <c r="AX312" s="40"/>
      <c r="AY312" s="40"/>
      <c r="AZ312" s="40"/>
      <c r="BA312" s="40"/>
      <c r="BB312" s="40"/>
      <c r="BC312" s="40"/>
      <c r="BD312" s="40"/>
      <c r="BE312" s="40"/>
      <c r="BF312" s="40"/>
      <c r="BG312" s="40"/>
      <c r="BH312" s="40"/>
      <c r="BI312" s="40"/>
      <c r="BJ312" s="40"/>
      <c r="BK312" s="40"/>
      <c r="BL312" s="40"/>
      <c r="BM312" s="40"/>
      <c r="BN312" s="40"/>
      <c r="BO312" s="40"/>
      <c r="BP312" s="40"/>
      <c r="BQ312" s="40"/>
      <c r="BR312" s="40"/>
      <c r="BS312" s="40"/>
      <c r="BT312" s="40"/>
      <c r="BU312" s="40"/>
      <c r="BV312" s="40"/>
      <c r="BW312" s="40"/>
      <c r="BX312" s="40"/>
      <c r="BY312" s="40"/>
      <c r="BZ312" s="40"/>
      <c r="CA312" s="40"/>
      <c r="CB312" s="40"/>
      <c r="CC312" s="40"/>
      <c r="CD312" s="40"/>
      <c r="CE312" s="40"/>
      <c r="CF312" s="40"/>
      <c r="CG312" s="40"/>
      <c r="CH312" s="40"/>
      <c r="CI312" s="40"/>
      <c r="CJ312" s="40"/>
      <c r="CK312" s="40"/>
      <c r="CL312" s="40"/>
    </row>
    <row r="313" spans="1:90" x14ac:dyDescent="0.25">
      <c r="A313" s="40"/>
      <c r="B313" s="40"/>
      <c r="C313" s="40"/>
      <c r="D313" s="40"/>
      <c r="E313" s="40"/>
      <c r="F313" s="40"/>
      <c r="G313" s="40"/>
      <c r="H313" s="40"/>
      <c r="I313" s="40"/>
      <c r="J313" s="40"/>
      <c r="K313" s="40"/>
      <c r="L313" s="40"/>
      <c r="M313" s="40"/>
      <c r="N313" s="40"/>
      <c r="O313" s="40"/>
      <c r="P313" s="40"/>
      <c r="Q313" s="40"/>
      <c r="R313" s="40"/>
      <c r="S313" s="40"/>
      <c r="T313" s="40"/>
      <c r="U313" s="40"/>
      <c r="V313" s="40"/>
      <c r="W313" s="40"/>
      <c r="X313" s="40"/>
      <c r="Y313" s="40"/>
      <c r="Z313" s="40"/>
      <c r="AA313" s="40"/>
      <c r="AB313" s="40"/>
      <c r="AC313" s="40"/>
      <c r="AD313" s="40"/>
      <c r="AE313" s="40"/>
      <c r="AF313" s="40"/>
      <c r="AG313" s="40"/>
      <c r="AH313" s="40"/>
      <c r="AI313" s="40"/>
      <c r="AJ313" s="40"/>
      <c r="AK313" s="40"/>
      <c r="AL313" s="40"/>
      <c r="AM313" s="40"/>
      <c r="AN313" s="40"/>
      <c r="AO313" s="40"/>
      <c r="AP313" s="40"/>
      <c r="AQ313" s="40"/>
      <c r="AR313" s="40"/>
      <c r="AS313" s="40"/>
      <c r="AT313" s="40"/>
      <c r="AU313" s="40"/>
      <c r="AV313" s="40"/>
      <c r="AW313" s="40"/>
      <c r="AX313" s="40"/>
      <c r="AY313" s="40"/>
      <c r="AZ313" s="40"/>
      <c r="BA313" s="40"/>
      <c r="BB313" s="40"/>
      <c r="BC313" s="40"/>
      <c r="BD313" s="40"/>
      <c r="BE313" s="40"/>
      <c r="BF313" s="40"/>
      <c r="BG313" s="40"/>
      <c r="BH313" s="40"/>
      <c r="BI313" s="40"/>
      <c r="BJ313" s="40"/>
      <c r="BK313" s="40"/>
      <c r="BL313" s="40"/>
      <c r="BM313" s="40"/>
      <c r="BN313" s="40"/>
      <c r="BO313" s="40"/>
      <c r="BP313" s="40"/>
      <c r="BQ313" s="40"/>
      <c r="BR313" s="40"/>
      <c r="BS313" s="40"/>
      <c r="BT313" s="40"/>
      <c r="BU313" s="40"/>
      <c r="BV313" s="40"/>
      <c r="BW313" s="40"/>
      <c r="BX313" s="40"/>
      <c r="BY313" s="40"/>
      <c r="BZ313" s="40"/>
      <c r="CA313" s="40"/>
      <c r="CB313" s="40"/>
      <c r="CC313" s="40"/>
      <c r="CD313" s="40"/>
      <c r="CE313" s="40"/>
      <c r="CF313" s="40"/>
      <c r="CG313" s="40"/>
      <c r="CH313" s="40"/>
      <c r="CI313" s="40"/>
      <c r="CJ313" s="40"/>
      <c r="CK313" s="40"/>
      <c r="CL313" s="40"/>
    </row>
    <row r="314" spans="1:90" x14ac:dyDescent="0.25">
      <c r="A314" s="40"/>
      <c r="B314" s="40"/>
      <c r="C314" s="40"/>
      <c r="D314" s="40"/>
      <c r="E314" s="40"/>
      <c r="F314" s="40"/>
      <c r="G314" s="40"/>
      <c r="H314" s="40"/>
      <c r="I314" s="40"/>
      <c r="J314" s="40"/>
      <c r="K314" s="40"/>
      <c r="L314" s="40"/>
      <c r="M314" s="40"/>
      <c r="N314" s="40"/>
      <c r="O314" s="40"/>
      <c r="P314" s="40"/>
      <c r="Q314" s="40"/>
      <c r="R314" s="40"/>
      <c r="S314" s="40"/>
      <c r="T314" s="40"/>
      <c r="U314" s="40"/>
      <c r="V314" s="40"/>
      <c r="W314" s="40"/>
      <c r="X314" s="40"/>
      <c r="Y314" s="40"/>
      <c r="Z314" s="40"/>
      <c r="AA314" s="40"/>
      <c r="AB314" s="40"/>
      <c r="AC314" s="40"/>
      <c r="AD314" s="40"/>
      <c r="AE314" s="40"/>
      <c r="AF314" s="40"/>
      <c r="AG314" s="40"/>
      <c r="AH314" s="40"/>
      <c r="AI314" s="40"/>
      <c r="AJ314" s="40"/>
      <c r="AK314" s="40"/>
      <c r="AL314" s="40"/>
      <c r="AM314" s="40"/>
      <c r="AN314" s="40"/>
      <c r="AO314" s="40"/>
      <c r="AP314" s="40"/>
      <c r="AQ314" s="40"/>
      <c r="AR314" s="40"/>
      <c r="AS314" s="40"/>
      <c r="AT314" s="40"/>
      <c r="AU314" s="40"/>
      <c r="AV314" s="40"/>
      <c r="AW314" s="40"/>
      <c r="AX314" s="40"/>
      <c r="AY314" s="40"/>
      <c r="AZ314" s="40"/>
      <c r="BA314" s="40"/>
      <c r="BB314" s="40"/>
      <c r="BC314" s="40"/>
      <c r="BD314" s="40"/>
      <c r="BE314" s="40"/>
      <c r="BF314" s="40"/>
      <c r="BG314" s="40"/>
      <c r="BH314" s="40"/>
      <c r="BI314" s="40"/>
      <c r="BJ314" s="40"/>
      <c r="BK314" s="40"/>
      <c r="BL314" s="40"/>
      <c r="BM314" s="40"/>
      <c r="BN314" s="40"/>
      <c r="BO314" s="40"/>
      <c r="BP314" s="40"/>
      <c r="BQ314" s="40"/>
      <c r="BR314" s="40"/>
      <c r="BS314" s="40"/>
      <c r="BT314" s="40"/>
      <c r="BU314" s="40"/>
      <c r="BV314" s="40"/>
      <c r="BW314" s="40"/>
      <c r="BX314" s="40"/>
      <c r="BY314" s="40"/>
      <c r="BZ314" s="40"/>
      <c r="CA314" s="40"/>
      <c r="CB314" s="40"/>
      <c r="CC314" s="40"/>
      <c r="CD314" s="40"/>
      <c r="CE314" s="40"/>
      <c r="CF314" s="40"/>
      <c r="CG314" s="40"/>
      <c r="CH314" s="40"/>
      <c r="CI314" s="40"/>
      <c r="CJ314" s="40"/>
      <c r="CK314" s="40"/>
      <c r="CL314" s="40"/>
    </row>
    <row r="315" spans="1:90" x14ac:dyDescent="0.25">
      <c r="A315" s="40"/>
      <c r="B315" s="40"/>
      <c r="C315" s="40"/>
      <c r="D315" s="40"/>
      <c r="E315" s="40"/>
      <c r="F315" s="40"/>
      <c r="G315" s="40"/>
      <c r="H315" s="40"/>
      <c r="I315" s="40"/>
      <c r="J315" s="40"/>
      <c r="K315" s="40"/>
      <c r="L315" s="40"/>
      <c r="M315" s="40"/>
      <c r="N315" s="40"/>
      <c r="O315" s="40"/>
      <c r="P315" s="40"/>
      <c r="Q315" s="40"/>
      <c r="R315" s="40"/>
      <c r="S315" s="40"/>
      <c r="T315" s="40"/>
      <c r="U315" s="40"/>
      <c r="V315" s="40"/>
      <c r="W315" s="40"/>
      <c r="X315" s="40"/>
      <c r="Y315" s="40"/>
      <c r="Z315" s="40"/>
      <c r="AA315" s="40"/>
      <c r="AB315" s="40"/>
      <c r="AC315" s="40"/>
      <c r="AD315" s="40"/>
      <c r="AE315" s="40"/>
      <c r="AF315" s="40"/>
      <c r="AG315" s="40"/>
      <c r="AH315" s="40"/>
      <c r="AI315" s="40"/>
      <c r="AJ315" s="40"/>
      <c r="AK315" s="40"/>
      <c r="AL315" s="40"/>
      <c r="AM315" s="40"/>
      <c r="AN315" s="40"/>
      <c r="AO315" s="40"/>
      <c r="AP315" s="40"/>
      <c r="AQ315" s="40"/>
      <c r="AR315" s="40"/>
      <c r="AS315" s="40"/>
      <c r="AT315" s="40"/>
      <c r="AU315" s="40"/>
      <c r="AV315" s="40"/>
      <c r="AW315" s="40"/>
      <c r="AX315" s="40"/>
      <c r="AY315" s="40"/>
      <c r="AZ315" s="40"/>
      <c r="BA315" s="40"/>
      <c r="BB315" s="40"/>
      <c r="BC315" s="40"/>
      <c r="BD315" s="40"/>
      <c r="BE315" s="40"/>
      <c r="BF315" s="40"/>
      <c r="BG315" s="40"/>
      <c r="BH315" s="40"/>
      <c r="BI315" s="40"/>
      <c r="BJ315" s="40"/>
      <c r="BK315" s="40"/>
      <c r="BL315" s="40"/>
      <c r="BM315" s="40"/>
      <c r="BN315" s="40"/>
      <c r="BO315" s="40"/>
      <c r="BP315" s="40"/>
      <c r="BQ315" s="40"/>
      <c r="BR315" s="40"/>
      <c r="BS315" s="40"/>
      <c r="BT315" s="40"/>
      <c r="BU315" s="40"/>
      <c r="BV315" s="40"/>
      <c r="BW315" s="40"/>
      <c r="BX315" s="40"/>
      <c r="BY315" s="40"/>
      <c r="BZ315" s="40"/>
      <c r="CA315" s="40"/>
      <c r="CB315" s="40"/>
      <c r="CC315" s="40"/>
      <c r="CD315" s="40"/>
      <c r="CE315" s="40"/>
      <c r="CF315" s="40"/>
      <c r="CG315" s="40"/>
      <c r="CH315" s="40"/>
      <c r="CI315" s="40"/>
      <c r="CJ315" s="40"/>
      <c r="CK315" s="40"/>
      <c r="CL315" s="40"/>
    </row>
    <row r="316" spans="1:90" x14ac:dyDescent="0.25">
      <c r="A316" s="40"/>
      <c r="B316" s="40"/>
      <c r="C316" s="40"/>
      <c r="D316" s="40"/>
      <c r="E316" s="40"/>
      <c r="F316" s="40"/>
      <c r="G316" s="40"/>
      <c r="H316" s="40"/>
      <c r="I316" s="40"/>
      <c r="J316" s="40"/>
      <c r="K316" s="40"/>
      <c r="L316" s="40"/>
      <c r="M316" s="40"/>
      <c r="N316" s="40"/>
      <c r="O316" s="40"/>
      <c r="P316" s="40"/>
      <c r="Q316" s="40"/>
      <c r="R316" s="40"/>
      <c r="S316" s="40"/>
      <c r="T316" s="40"/>
      <c r="U316" s="40"/>
      <c r="V316" s="40"/>
      <c r="W316" s="40"/>
      <c r="X316" s="40"/>
      <c r="Y316" s="40"/>
      <c r="Z316" s="40"/>
      <c r="AA316" s="40"/>
      <c r="AB316" s="40"/>
      <c r="AC316" s="40"/>
      <c r="AD316" s="40"/>
      <c r="AE316" s="40"/>
      <c r="AF316" s="40"/>
      <c r="AG316" s="40"/>
      <c r="AH316" s="40"/>
      <c r="AI316" s="40"/>
      <c r="AJ316" s="40"/>
      <c r="AK316" s="40"/>
      <c r="AL316" s="40"/>
      <c r="AM316" s="40"/>
      <c r="AN316" s="40"/>
      <c r="AO316" s="40"/>
      <c r="AP316" s="40"/>
      <c r="AQ316" s="40"/>
      <c r="AR316" s="40"/>
      <c r="AS316" s="40"/>
      <c r="AT316" s="40"/>
      <c r="AU316" s="40"/>
      <c r="AV316" s="40"/>
      <c r="AW316" s="40"/>
      <c r="AX316" s="40"/>
      <c r="AY316" s="40"/>
      <c r="AZ316" s="40"/>
      <c r="BA316" s="40"/>
      <c r="BB316" s="40"/>
      <c r="BC316" s="40"/>
      <c r="BD316" s="40"/>
      <c r="BE316" s="40"/>
      <c r="BF316" s="40"/>
      <c r="BG316" s="40"/>
      <c r="BH316" s="40"/>
      <c r="BI316" s="40"/>
      <c r="BJ316" s="40"/>
      <c r="BK316" s="40"/>
      <c r="BL316" s="40"/>
      <c r="BM316" s="40"/>
      <c r="BN316" s="40"/>
      <c r="BO316" s="40"/>
      <c r="BP316" s="40"/>
      <c r="BQ316" s="40"/>
      <c r="BR316" s="40"/>
      <c r="BS316" s="40"/>
      <c r="BT316" s="40"/>
      <c r="BU316" s="40"/>
      <c r="BV316" s="40"/>
      <c r="BW316" s="40"/>
      <c r="BX316" s="40"/>
      <c r="BY316" s="40"/>
      <c r="BZ316" s="40"/>
      <c r="CA316" s="40"/>
      <c r="CB316" s="40"/>
      <c r="CC316" s="40"/>
      <c r="CD316" s="40"/>
      <c r="CE316" s="40"/>
      <c r="CF316" s="40"/>
      <c r="CG316" s="40"/>
      <c r="CH316" s="40"/>
      <c r="CI316" s="40"/>
      <c r="CJ316" s="40"/>
      <c r="CK316" s="40"/>
      <c r="CL316" s="40"/>
    </row>
    <row r="317" spans="1:90" x14ac:dyDescent="0.25">
      <c r="A317" s="40"/>
      <c r="B317" s="40"/>
      <c r="C317" s="40"/>
      <c r="D317" s="40"/>
      <c r="E317" s="40"/>
      <c r="F317" s="40"/>
      <c r="G317" s="40"/>
      <c r="H317" s="40"/>
      <c r="I317" s="40"/>
      <c r="J317" s="40"/>
      <c r="K317" s="40"/>
      <c r="L317" s="40"/>
      <c r="M317" s="40"/>
      <c r="N317" s="40"/>
      <c r="O317" s="40"/>
      <c r="P317" s="40"/>
      <c r="Q317" s="40"/>
      <c r="R317" s="40"/>
      <c r="S317" s="40"/>
      <c r="T317" s="40"/>
      <c r="U317" s="40"/>
      <c r="V317" s="40"/>
      <c r="W317" s="40"/>
      <c r="X317" s="40"/>
      <c r="Y317" s="40"/>
      <c r="Z317" s="40"/>
      <c r="AA317" s="40"/>
      <c r="AB317" s="40"/>
      <c r="AC317" s="40"/>
      <c r="AD317" s="40"/>
      <c r="AE317" s="40"/>
      <c r="AF317" s="40"/>
      <c r="AG317" s="40"/>
      <c r="AH317" s="40"/>
      <c r="AI317" s="40"/>
      <c r="AJ317" s="40"/>
      <c r="AK317" s="40"/>
      <c r="AL317" s="40"/>
      <c r="AM317" s="40"/>
      <c r="AN317" s="40"/>
      <c r="AO317" s="40"/>
      <c r="AP317" s="40"/>
      <c r="AQ317" s="40"/>
      <c r="AR317" s="40"/>
      <c r="AS317" s="40"/>
      <c r="AT317" s="40"/>
      <c r="AU317" s="40"/>
      <c r="AV317" s="40"/>
      <c r="AW317" s="40"/>
      <c r="AX317" s="40"/>
      <c r="AY317" s="40"/>
      <c r="AZ317" s="40"/>
      <c r="BA317" s="40"/>
      <c r="BB317" s="40"/>
      <c r="BC317" s="40"/>
      <c r="BD317" s="40"/>
      <c r="BE317" s="40"/>
      <c r="BF317" s="40"/>
      <c r="BG317" s="40"/>
      <c r="BH317" s="40"/>
      <c r="BI317" s="40"/>
      <c r="BJ317" s="40"/>
      <c r="BK317" s="40"/>
      <c r="BL317" s="40"/>
      <c r="BM317" s="40"/>
      <c r="BN317" s="40"/>
      <c r="BO317" s="40"/>
      <c r="BP317" s="40"/>
      <c r="BQ317" s="40"/>
      <c r="BR317" s="40"/>
      <c r="BS317" s="40"/>
      <c r="BT317" s="40"/>
      <c r="BU317" s="40"/>
      <c r="BV317" s="40"/>
      <c r="BW317" s="40"/>
      <c r="BX317" s="40"/>
      <c r="BY317" s="40"/>
      <c r="BZ317" s="40"/>
      <c r="CA317" s="40"/>
      <c r="CB317" s="40"/>
      <c r="CC317" s="40"/>
      <c r="CD317" s="40"/>
      <c r="CE317" s="40"/>
      <c r="CF317" s="40"/>
      <c r="CG317" s="40"/>
      <c r="CH317" s="40"/>
      <c r="CI317" s="40"/>
      <c r="CJ317" s="40"/>
      <c r="CK317" s="40"/>
      <c r="CL317" s="40"/>
    </row>
    <row r="318" spans="1:90" x14ac:dyDescent="0.25">
      <c r="A318" s="40"/>
      <c r="B318" s="40"/>
      <c r="C318" s="40"/>
      <c r="D318" s="40"/>
      <c r="E318" s="40"/>
      <c r="F318" s="40"/>
      <c r="G318" s="40"/>
      <c r="H318" s="40"/>
      <c r="I318" s="40"/>
      <c r="J318" s="40"/>
      <c r="K318" s="40"/>
      <c r="L318" s="40"/>
      <c r="M318" s="40"/>
      <c r="N318" s="40"/>
      <c r="O318" s="40"/>
      <c r="P318" s="40"/>
      <c r="Q318" s="40"/>
      <c r="R318" s="40"/>
      <c r="S318" s="40"/>
      <c r="T318" s="40"/>
      <c r="U318" s="40"/>
      <c r="V318" s="40"/>
      <c r="W318" s="40"/>
      <c r="X318" s="40"/>
      <c r="Y318" s="40"/>
      <c r="Z318" s="40"/>
      <c r="AA318" s="40"/>
      <c r="AB318" s="40"/>
      <c r="AC318" s="40"/>
      <c r="AD318" s="40"/>
      <c r="AE318" s="40"/>
      <c r="AF318" s="40"/>
      <c r="AG318" s="40"/>
      <c r="AH318" s="40"/>
      <c r="AI318" s="40"/>
      <c r="AJ318" s="40"/>
      <c r="AK318" s="40"/>
      <c r="AL318" s="40"/>
      <c r="AM318" s="40"/>
      <c r="AN318" s="40"/>
      <c r="AO318" s="40"/>
      <c r="AP318" s="40"/>
      <c r="AQ318" s="40"/>
      <c r="AR318" s="40"/>
      <c r="AS318" s="40"/>
      <c r="AT318" s="40"/>
      <c r="AU318" s="40"/>
      <c r="AV318" s="40"/>
      <c r="AW318" s="40"/>
      <c r="AX318" s="40"/>
      <c r="AY318" s="40"/>
      <c r="AZ318" s="40"/>
      <c r="BA318" s="40"/>
      <c r="BB318" s="40"/>
      <c r="BC318" s="40"/>
      <c r="BD318" s="40"/>
      <c r="BE318" s="40"/>
      <c r="BF318" s="40"/>
      <c r="BG318" s="40"/>
      <c r="BH318" s="40"/>
      <c r="BI318" s="40"/>
      <c r="BJ318" s="40"/>
      <c r="BK318" s="40"/>
      <c r="BL318" s="40"/>
      <c r="BM318" s="40"/>
      <c r="BN318" s="40"/>
      <c r="BO318" s="40"/>
      <c r="BP318" s="40"/>
      <c r="BQ318" s="40"/>
      <c r="BR318" s="40"/>
      <c r="BS318" s="40"/>
      <c r="BT318" s="40"/>
      <c r="BU318" s="40"/>
      <c r="BV318" s="40"/>
      <c r="BW318" s="40"/>
      <c r="BX318" s="40"/>
      <c r="BY318" s="40"/>
      <c r="BZ318" s="40"/>
      <c r="CA318" s="40"/>
      <c r="CB318" s="40"/>
      <c r="CC318" s="40"/>
      <c r="CD318" s="40"/>
      <c r="CE318" s="40"/>
      <c r="CF318" s="40"/>
      <c r="CG318" s="40"/>
      <c r="CH318" s="40"/>
      <c r="CI318" s="40"/>
      <c r="CJ318" s="40"/>
      <c r="CK318" s="40"/>
      <c r="CL318" s="40"/>
    </row>
    <row r="319" spans="1:90" x14ac:dyDescent="0.25">
      <c r="A319" s="40"/>
      <c r="B319" s="40"/>
      <c r="C319" s="40"/>
      <c r="D319" s="40"/>
      <c r="E319" s="40"/>
      <c r="F319" s="40"/>
      <c r="G319" s="40"/>
      <c r="H319" s="40"/>
      <c r="I319" s="40"/>
      <c r="J319" s="40"/>
      <c r="K319" s="40"/>
      <c r="L319" s="40"/>
      <c r="M319" s="40"/>
      <c r="N319" s="40"/>
      <c r="O319" s="40"/>
      <c r="P319" s="40"/>
      <c r="Q319" s="40"/>
      <c r="R319" s="40"/>
      <c r="S319" s="40"/>
      <c r="T319" s="40"/>
      <c r="U319" s="40"/>
      <c r="V319" s="40"/>
      <c r="W319" s="40"/>
      <c r="X319" s="40"/>
      <c r="Y319" s="40"/>
      <c r="Z319" s="40"/>
      <c r="AA319" s="40"/>
      <c r="AB319" s="40"/>
      <c r="AC319" s="40"/>
      <c r="AD319" s="40"/>
      <c r="AE319" s="40"/>
      <c r="AF319" s="40"/>
      <c r="AG319" s="40"/>
      <c r="AH319" s="40"/>
      <c r="AI319" s="40"/>
      <c r="AJ319" s="40"/>
      <c r="AK319" s="40"/>
      <c r="AL319" s="40"/>
      <c r="AM319" s="40"/>
      <c r="AN319" s="40"/>
      <c r="AO319" s="40"/>
      <c r="AP319" s="40"/>
      <c r="AQ319" s="40"/>
      <c r="AR319" s="40"/>
      <c r="AS319" s="40"/>
      <c r="AT319" s="40"/>
      <c r="AU319" s="40"/>
      <c r="AV319" s="40"/>
      <c r="AW319" s="40"/>
      <c r="AX319" s="40"/>
      <c r="AY319" s="40"/>
      <c r="AZ319" s="40"/>
      <c r="BA319" s="40"/>
      <c r="BB319" s="40"/>
      <c r="BC319" s="40"/>
      <c r="BD319" s="40"/>
      <c r="BE319" s="40"/>
      <c r="BF319" s="40"/>
      <c r="BG319" s="40"/>
      <c r="BH319" s="40"/>
      <c r="BI319" s="40"/>
      <c r="BJ319" s="40"/>
      <c r="BK319" s="40"/>
      <c r="BL319" s="40"/>
      <c r="BM319" s="40"/>
      <c r="BN319" s="40"/>
      <c r="BO319" s="40"/>
      <c r="BP319" s="40"/>
      <c r="BQ319" s="40"/>
      <c r="BR319" s="40"/>
      <c r="BS319" s="40"/>
      <c r="BT319" s="40"/>
      <c r="BU319" s="40"/>
      <c r="BV319" s="40"/>
      <c r="BW319" s="40"/>
      <c r="BX319" s="40"/>
      <c r="BY319" s="40"/>
      <c r="BZ319" s="40"/>
      <c r="CA319" s="40"/>
      <c r="CB319" s="40"/>
      <c r="CC319" s="40"/>
      <c r="CD319" s="40"/>
      <c r="CE319" s="40"/>
      <c r="CF319" s="40"/>
      <c r="CG319" s="40"/>
      <c r="CH319" s="40"/>
      <c r="CI319" s="40"/>
      <c r="CJ319" s="40"/>
      <c r="CK319" s="40"/>
      <c r="CL319" s="40"/>
    </row>
    <row r="320" spans="1:90" x14ac:dyDescent="0.25">
      <c r="A320" s="40"/>
      <c r="B320" s="40"/>
      <c r="C320" s="40"/>
      <c r="D320" s="40"/>
      <c r="E320" s="40"/>
      <c r="F320" s="40"/>
      <c r="G320" s="40"/>
      <c r="H320" s="40"/>
      <c r="I320" s="40"/>
      <c r="J320" s="40"/>
      <c r="K320" s="40"/>
      <c r="L320" s="40"/>
      <c r="M320" s="40"/>
      <c r="N320" s="40"/>
      <c r="O320" s="40"/>
      <c r="P320" s="40"/>
      <c r="Q320" s="40"/>
      <c r="R320" s="40"/>
      <c r="S320" s="40"/>
      <c r="T320" s="40"/>
      <c r="U320" s="40"/>
      <c r="V320" s="40"/>
      <c r="W320" s="40"/>
      <c r="X320" s="40"/>
      <c r="Y320" s="40"/>
      <c r="Z320" s="40"/>
      <c r="AA320" s="40"/>
      <c r="AB320" s="40"/>
      <c r="AC320" s="40"/>
      <c r="AD320" s="40"/>
      <c r="AE320" s="40"/>
      <c r="AF320" s="40"/>
      <c r="AG320" s="40"/>
      <c r="AH320" s="40"/>
      <c r="AI320" s="40"/>
      <c r="AJ320" s="40"/>
      <c r="AK320" s="40"/>
      <c r="AL320" s="40"/>
      <c r="AM320" s="40"/>
      <c r="AN320" s="40"/>
      <c r="AO320" s="40"/>
      <c r="AP320" s="40"/>
      <c r="AQ320" s="40"/>
      <c r="AR320" s="40"/>
      <c r="AS320" s="40"/>
      <c r="AT320" s="40"/>
      <c r="AU320" s="40"/>
      <c r="AV320" s="40"/>
      <c r="AW320" s="40"/>
      <c r="AX320" s="40"/>
      <c r="AY320" s="40"/>
      <c r="AZ320" s="40"/>
      <c r="BA320" s="40"/>
      <c r="BB320" s="40"/>
      <c r="BC320" s="40"/>
      <c r="BD320" s="40"/>
      <c r="BE320" s="40"/>
      <c r="BF320" s="40"/>
      <c r="BG320" s="40"/>
      <c r="BH320" s="40"/>
      <c r="BI320" s="40"/>
      <c r="BJ320" s="40"/>
      <c r="BK320" s="40"/>
      <c r="BL320" s="40"/>
      <c r="BM320" s="40"/>
      <c r="BN320" s="40"/>
      <c r="BO320" s="40"/>
      <c r="BP320" s="40"/>
      <c r="BQ320" s="40"/>
      <c r="BR320" s="40"/>
      <c r="BS320" s="40"/>
      <c r="BT320" s="40"/>
      <c r="BU320" s="40"/>
      <c r="BV320" s="40"/>
      <c r="BW320" s="40"/>
      <c r="BX320" s="40"/>
      <c r="BY320" s="40"/>
      <c r="BZ320" s="40"/>
      <c r="CA320" s="40"/>
      <c r="CB320" s="40"/>
      <c r="CC320" s="40"/>
      <c r="CD320" s="40"/>
      <c r="CE320" s="40"/>
      <c r="CF320" s="40"/>
      <c r="CG320" s="40"/>
      <c r="CH320" s="40"/>
      <c r="CI320" s="40"/>
      <c r="CJ320" s="40"/>
      <c r="CK320" s="40"/>
      <c r="CL320" s="40"/>
    </row>
    <row r="321" spans="1:90" x14ac:dyDescent="0.25">
      <c r="A321" s="40"/>
      <c r="B321" s="40"/>
      <c r="C321" s="40"/>
      <c r="D321" s="40"/>
      <c r="E321" s="40"/>
      <c r="F321" s="40"/>
      <c r="G321" s="40"/>
      <c r="H321" s="40"/>
      <c r="I321" s="40"/>
      <c r="J321" s="40"/>
      <c r="K321" s="40"/>
      <c r="L321" s="40"/>
      <c r="M321" s="40"/>
      <c r="N321" s="40"/>
      <c r="O321" s="40"/>
      <c r="P321" s="40"/>
      <c r="Q321" s="40"/>
      <c r="R321" s="40"/>
      <c r="S321" s="40"/>
      <c r="T321" s="40"/>
      <c r="U321" s="40"/>
      <c r="V321" s="40"/>
      <c r="W321" s="40"/>
      <c r="X321" s="40"/>
      <c r="Y321" s="40"/>
      <c r="Z321" s="40"/>
      <c r="AA321" s="40"/>
      <c r="AB321" s="40"/>
      <c r="AC321" s="40"/>
      <c r="AD321" s="40"/>
      <c r="AE321" s="40"/>
      <c r="AF321" s="40"/>
      <c r="AG321" s="40"/>
      <c r="AH321" s="40"/>
      <c r="AI321" s="40"/>
      <c r="AJ321" s="40"/>
      <c r="AK321" s="40"/>
      <c r="AL321" s="40"/>
      <c r="AM321" s="40"/>
      <c r="AN321" s="40"/>
      <c r="AO321" s="40"/>
      <c r="AP321" s="40"/>
      <c r="AQ321" s="40"/>
      <c r="AR321" s="40"/>
      <c r="AS321" s="40"/>
      <c r="AT321" s="40"/>
      <c r="AU321" s="40"/>
      <c r="AV321" s="40"/>
      <c r="AW321" s="40"/>
      <c r="AX321" s="40"/>
      <c r="AY321" s="40"/>
      <c r="AZ321" s="40"/>
      <c r="BA321" s="40"/>
      <c r="BB321" s="40"/>
      <c r="BC321" s="40"/>
      <c r="BD321" s="40"/>
      <c r="BE321" s="40"/>
      <c r="BF321" s="40"/>
      <c r="BG321" s="40"/>
      <c r="BH321" s="40"/>
      <c r="BI321" s="40"/>
      <c r="BJ321" s="40"/>
      <c r="BK321" s="40"/>
      <c r="BL321" s="40"/>
      <c r="BM321" s="40"/>
      <c r="BN321" s="40"/>
      <c r="BO321" s="40"/>
      <c r="BP321" s="40"/>
      <c r="BQ321" s="40"/>
      <c r="BR321" s="40"/>
      <c r="BS321" s="40"/>
      <c r="BT321" s="40"/>
      <c r="BU321" s="40"/>
      <c r="BV321" s="40"/>
      <c r="BW321" s="40"/>
      <c r="BX321" s="40"/>
      <c r="BY321" s="40"/>
      <c r="BZ321" s="40"/>
      <c r="CA321" s="40"/>
      <c r="CB321" s="40"/>
      <c r="CC321" s="40"/>
      <c r="CD321" s="40"/>
      <c r="CE321" s="40"/>
      <c r="CF321" s="40"/>
      <c r="CG321" s="40"/>
      <c r="CH321" s="40"/>
      <c r="CI321" s="40"/>
      <c r="CJ321" s="40"/>
      <c r="CK321" s="40"/>
      <c r="CL321" s="40"/>
    </row>
    <row r="322" spans="1:90" x14ac:dyDescent="0.25">
      <c r="A322" s="40"/>
      <c r="B322" s="40"/>
      <c r="C322" s="40"/>
      <c r="D322" s="40"/>
      <c r="E322" s="40"/>
      <c r="F322" s="40"/>
      <c r="G322" s="40"/>
      <c r="H322" s="40"/>
      <c r="I322" s="40"/>
      <c r="J322" s="40"/>
      <c r="K322" s="40"/>
      <c r="L322" s="40"/>
      <c r="M322" s="40"/>
      <c r="N322" s="40"/>
      <c r="O322" s="40"/>
      <c r="P322" s="40"/>
      <c r="Q322" s="40"/>
      <c r="R322" s="40"/>
      <c r="S322" s="40"/>
      <c r="T322" s="40"/>
      <c r="U322" s="40"/>
      <c r="V322" s="40"/>
      <c r="W322" s="40"/>
      <c r="X322" s="40"/>
      <c r="Y322" s="40"/>
      <c r="Z322" s="40"/>
      <c r="AA322" s="40"/>
      <c r="AB322" s="40"/>
      <c r="AC322" s="40"/>
      <c r="AD322" s="40"/>
      <c r="AE322" s="40"/>
      <c r="AF322" s="40"/>
      <c r="AG322" s="40"/>
      <c r="AH322" s="40"/>
      <c r="AI322" s="40"/>
      <c r="AJ322" s="40"/>
      <c r="AK322" s="40"/>
      <c r="AL322" s="40"/>
      <c r="AM322" s="40"/>
      <c r="AN322" s="40"/>
      <c r="AO322" s="40"/>
      <c r="AP322" s="40"/>
      <c r="AQ322" s="40"/>
      <c r="AR322" s="40"/>
      <c r="AS322" s="40"/>
      <c r="AT322" s="40"/>
      <c r="AU322" s="40"/>
      <c r="AV322" s="40"/>
      <c r="AW322" s="40"/>
      <c r="AX322" s="40"/>
      <c r="AY322" s="40"/>
      <c r="AZ322" s="40"/>
      <c r="BA322" s="40"/>
      <c r="BB322" s="40"/>
      <c r="BC322" s="40"/>
      <c r="BD322" s="40"/>
      <c r="BE322" s="40"/>
      <c r="BF322" s="40"/>
      <c r="BG322" s="40"/>
      <c r="BH322" s="40"/>
      <c r="BI322" s="40"/>
      <c r="BJ322" s="40"/>
      <c r="BK322" s="40"/>
      <c r="BL322" s="40"/>
      <c r="BM322" s="40"/>
      <c r="BN322" s="40"/>
      <c r="BO322" s="40"/>
      <c r="BP322" s="40"/>
      <c r="BQ322" s="40"/>
      <c r="BR322" s="40"/>
      <c r="BS322" s="40"/>
      <c r="BT322" s="40"/>
      <c r="BU322" s="40"/>
      <c r="BV322" s="40"/>
      <c r="BW322" s="40"/>
      <c r="BX322" s="40"/>
      <c r="BY322" s="40"/>
      <c r="BZ322" s="40"/>
      <c r="CA322" s="40"/>
      <c r="CB322" s="40"/>
      <c r="CC322" s="40"/>
      <c r="CD322" s="40"/>
      <c r="CE322" s="40"/>
      <c r="CF322" s="40"/>
      <c r="CG322" s="40"/>
      <c r="CH322" s="40"/>
      <c r="CI322" s="40"/>
      <c r="CJ322" s="40"/>
      <c r="CK322" s="40"/>
      <c r="CL322" s="40"/>
    </row>
    <row r="323" spans="1:90" x14ac:dyDescent="0.25">
      <c r="A323" s="40"/>
      <c r="B323" s="40"/>
      <c r="C323" s="40"/>
      <c r="D323" s="40"/>
      <c r="E323" s="40"/>
      <c r="F323" s="40"/>
      <c r="G323" s="40"/>
      <c r="H323" s="40"/>
      <c r="I323" s="40"/>
      <c r="J323" s="40"/>
      <c r="K323" s="40"/>
      <c r="L323" s="40"/>
      <c r="M323" s="40"/>
      <c r="N323" s="40"/>
      <c r="O323" s="40"/>
      <c r="P323" s="40"/>
      <c r="Q323" s="40"/>
      <c r="R323" s="40"/>
      <c r="S323" s="40"/>
      <c r="T323" s="40"/>
      <c r="U323" s="40"/>
      <c r="V323" s="40"/>
      <c r="W323" s="40"/>
      <c r="X323" s="40"/>
      <c r="Y323" s="40"/>
      <c r="Z323" s="40"/>
      <c r="AA323" s="40"/>
      <c r="AB323" s="40"/>
      <c r="AC323" s="40"/>
      <c r="AD323" s="40"/>
      <c r="AE323" s="40"/>
      <c r="AF323" s="40"/>
      <c r="AG323" s="40"/>
      <c r="AH323" s="40"/>
      <c r="AI323" s="40"/>
      <c r="AJ323" s="40"/>
      <c r="AK323" s="40"/>
      <c r="AL323" s="40"/>
      <c r="AM323" s="40"/>
      <c r="AN323" s="40"/>
      <c r="AO323" s="40"/>
      <c r="AP323" s="40"/>
      <c r="AQ323" s="40"/>
      <c r="AR323" s="40"/>
      <c r="AS323" s="40"/>
      <c r="AT323" s="40"/>
      <c r="AU323" s="40"/>
      <c r="AV323" s="40"/>
      <c r="AW323" s="40"/>
      <c r="AX323" s="40"/>
      <c r="AY323" s="40"/>
      <c r="AZ323" s="40"/>
      <c r="BA323" s="40"/>
      <c r="BB323" s="40"/>
      <c r="BC323" s="40"/>
      <c r="BD323" s="40"/>
      <c r="BE323" s="40"/>
      <c r="BF323" s="40"/>
      <c r="BG323" s="40"/>
      <c r="BH323" s="40"/>
      <c r="BI323" s="40"/>
      <c r="BJ323" s="40"/>
      <c r="BK323" s="40"/>
      <c r="BL323" s="40"/>
      <c r="BM323" s="40"/>
      <c r="BN323" s="40"/>
      <c r="BO323" s="40"/>
      <c r="BP323" s="40"/>
      <c r="BQ323" s="40"/>
      <c r="BR323" s="40"/>
      <c r="BS323" s="40"/>
      <c r="BT323" s="40"/>
      <c r="BU323" s="40"/>
      <c r="BV323" s="40"/>
      <c r="BW323" s="40"/>
      <c r="BX323" s="40"/>
      <c r="BY323" s="40"/>
      <c r="BZ323" s="40"/>
      <c r="CA323" s="40"/>
      <c r="CB323" s="40"/>
      <c r="CC323" s="40"/>
      <c r="CD323" s="40"/>
      <c r="CE323" s="40"/>
      <c r="CF323" s="40"/>
      <c r="CG323" s="40"/>
      <c r="CH323" s="40"/>
      <c r="CI323" s="40"/>
      <c r="CJ323" s="40"/>
      <c r="CK323" s="40"/>
      <c r="CL323" s="40"/>
    </row>
    <row r="324" spans="1:90" x14ac:dyDescent="0.25">
      <c r="A324" s="40"/>
      <c r="B324" s="40"/>
      <c r="C324" s="40"/>
      <c r="D324" s="40"/>
      <c r="E324" s="40"/>
      <c r="F324" s="40"/>
      <c r="G324" s="40"/>
      <c r="H324" s="40"/>
      <c r="I324" s="40"/>
      <c r="J324" s="40"/>
      <c r="K324" s="40"/>
      <c r="L324" s="40"/>
      <c r="M324" s="40"/>
      <c r="N324" s="40"/>
      <c r="O324" s="40"/>
      <c r="P324" s="40"/>
      <c r="Q324" s="40"/>
      <c r="R324" s="40"/>
      <c r="S324" s="40"/>
      <c r="T324" s="40"/>
      <c r="U324" s="40"/>
      <c r="V324" s="40"/>
      <c r="W324" s="40"/>
      <c r="X324" s="40"/>
      <c r="Y324" s="40"/>
      <c r="Z324" s="40"/>
      <c r="AA324" s="40"/>
      <c r="AB324" s="40"/>
      <c r="AC324" s="40"/>
      <c r="AD324" s="40"/>
      <c r="AE324" s="40"/>
      <c r="AF324" s="40"/>
      <c r="AG324" s="40"/>
      <c r="AH324" s="40"/>
      <c r="AI324" s="40"/>
      <c r="AJ324" s="40"/>
      <c r="AK324" s="40"/>
      <c r="AL324" s="40"/>
      <c r="AM324" s="40"/>
      <c r="AN324" s="40"/>
      <c r="AO324" s="40"/>
      <c r="AP324" s="40"/>
      <c r="AQ324" s="40"/>
      <c r="AR324" s="40"/>
      <c r="AS324" s="40"/>
      <c r="AT324" s="40"/>
      <c r="AU324" s="40"/>
      <c r="AV324" s="40"/>
      <c r="AW324" s="40"/>
      <c r="AX324" s="40"/>
      <c r="AY324" s="40"/>
      <c r="AZ324" s="40"/>
      <c r="BA324" s="40"/>
      <c r="BB324" s="40"/>
      <c r="BC324" s="40"/>
      <c r="BD324" s="40"/>
      <c r="BE324" s="40"/>
      <c r="BF324" s="40"/>
      <c r="BG324" s="40"/>
      <c r="BH324" s="40"/>
      <c r="BI324" s="40"/>
      <c r="BJ324" s="40"/>
      <c r="BK324" s="40"/>
      <c r="BL324" s="40"/>
      <c r="BM324" s="40"/>
      <c r="BN324" s="40"/>
      <c r="BO324" s="40"/>
      <c r="BP324" s="40"/>
      <c r="BQ324" s="40"/>
      <c r="BR324" s="40"/>
      <c r="BS324" s="40"/>
      <c r="BT324" s="40"/>
      <c r="BU324" s="40"/>
      <c r="BV324" s="40"/>
      <c r="BW324" s="40"/>
      <c r="BX324" s="40"/>
      <c r="BY324" s="40"/>
      <c r="BZ324" s="40"/>
      <c r="CA324" s="40"/>
      <c r="CB324" s="40"/>
      <c r="CC324" s="40"/>
      <c r="CD324" s="40"/>
      <c r="CE324" s="40"/>
      <c r="CF324" s="40"/>
      <c r="CG324" s="40"/>
      <c r="CH324" s="40"/>
      <c r="CI324" s="40"/>
      <c r="CJ324" s="40"/>
      <c r="CK324" s="40"/>
      <c r="CL324" s="40"/>
    </row>
    <row r="325" spans="1:90" x14ac:dyDescent="0.25">
      <c r="A325" s="40"/>
      <c r="B325" s="40"/>
      <c r="C325" s="40"/>
      <c r="D325" s="40"/>
      <c r="E325" s="40"/>
      <c r="F325" s="40"/>
      <c r="G325" s="40"/>
      <c r="H325" s="40"/>
      <c r="I325" s="40"/>
      <c r="J325" s="40"/>
      <c r="K325" s="40"/>
      <c r="L325" s="40"/>
      <c r="M325" s="40"/>
      <c r="N325" s="40"/>
      <c r="O325" s="40"/>
      <c r="P325" s="40"/>
      <c r="Q325" s="40"/>
      <c r="R325" s="40"/>
      <c r="S325" s="40"/>
      <c r="T325" s="40"/>
      <c r="U325" s="40"/>
      <c r="V325" s="40"/>
      <c r="W325" s="40"/>
      <c r="X325" s="40"/>
      <c r="Y325" s="40"/>
      <c r="Z325" s="40"/>
      <c r="AA325" s="40"/>
      <c r="AB325" s="40"/>
      <c r="AC325" s="40"/>
      <c r="AD325" s="40"/>
      <c r="AE325" s="40"/>
      <c r="AF325" s="40"/>
      <c r="AG325" s="40"/>
      <c r="AH325" s="40"/>
      <c r="AI325" s="40"/>
      <c r="AJ325" s="40"/>
      <c r="AK325" s="40"/>
      <c r="AL325" s="40"/>
      <c r="AM325" s="40"/>
      <c r="AN325" s="40"/>
      <c r="AO325" s="40"/>
      <c r="AP325" s="40"/>
      <c r="AQ325" s="40"/>
      <c r="AR325" s="40"/>
      <c r="AS325" s="40"/>
      <c r="AT325" s="40"/>
      <c r="AU325" s="40"/>
      <c r="AV325" s="40"/>
      <c r="AW325" s="40"/>
      <c r="AX325" s="40"/>
      <c r="AY325" s="40"/>
      <c r="AZ325" s="40"/>
      <c r="BA325" s="40"/>
      <c r="BB325" s="40"/>
      <c r="BC325" s="40"/>
      <c r="BD325" s="40"/>
      <c r="BE325" s="40"/>
      <c r="BF325" s="40"/>
      <c r="BG325" s="40"/>
      <c r="BH325" s="40"/>
      <c r="BI325" s="40"/>
      <c r="BJ325" s="40"/>
      <c r="BK325" s="40"/>
      <c r="BL325" s="40"/>
      <c r="BM325" s="40"/>
      <c r="BN325" s="40"/>
      <c r="BO325" s="40"/>
      <c r="BP325" s="40"/>
      <c r="BQ325" s="40"/>
      <c r="BR325" s="40"/>
      <c r="BS325" s="40"/>
      <c r="BT325" s="40"/>
      <c r="BU325" s="40"/>
      <c r="BV325" s="40"/>
      <c r="BW325" s="40"/>
      <c r="BX325" s="40"/>
      <c r="BY325" s="40"/>
      <c r="BZ325" s="40"/>
      <c r="CA325" s="40"/>
      <c r="CB325" s="40"/>
      <c r="CC325" s="40"/>
      <c r="CD325" s="40"/>
      <c r="CE325" s="40"/>
      <c r="CF325" s="40"/>
      <c r="CG325" s="40"/>
      <c r="CH325" s="40"/>
      <c r="CI325" s="40"/>
      <c r="CJ325" s="40"/>
      <c r="CK325" s="40"/>
      <c r="CL325" s="40"/>
    </row>
    <row r="326" spans="1:90" x14ac:dyDescent="0.25">
      <c r="A326" s="40"/>
      <c r="B326" s="40"/>
      <c r="C326" s="40"/>
      <c r="D326" s="40"/>
      <c r="E326" s="40"/>
      <c r="F326" s="40"/>
      <c r="G326" s="40"/>
      <c r="H326" s="40"/>
      <c r="I326" s="40"/>
      <c r="J326" s="40"/>
      <c r="K326" s="40"/>
      <c r="L326" s="40"/>
      <c r="M326" s="40"/>
      <c r="N326" s="40"/>
      <c r="O326" s="40"/>
      <c r="P326" s="40"/>
      <c r="Q326" s="40"/>
      <c r="R326" s="40"/>
      <c r="S326" s="40"/>
      <c r="T326" s="40"/>
      <c r="U326" s="40"/>
      <c r="V326" s="40"/>
      <c r="W326" s="40"/>
      <c r="X326" s="40"/>
      <c r="Y326" s="40"/>
      <c r="Z326" s="40"/>
      <c r="AA326" s="40"/>
      <c r="AB326" s="40"/>
      <c r="AC326" s="40"/>
      <c r="AD326" s="40"/>
      <c r="AE326" s="40"/>
      <c r="AF326" s="40"/>
      <c r="AG326" s="40"/>
      <c r="AH326" s="40"/>
      <c r="AI326" s="40"/>
      <c r="AJ326" s="40"/>
      <c r="AK326" s="40"/>
      <c r="AL326" s="40"/>
      <c r="AM326" s="40"/>
      <c r="AN326" s="40"/>
      <c r="AO326" s="40"/>
      <c r="AP326" s="40"/>
      <c r="AQ326" s="40"/>
      <c r="AR326" s="40"/>
      <c r="AS326" s="40"/>
      <c r="AT326" s="40"/>
      <c r="AU326" s="40"/>
      <c r="AV326" s="40"/>
      <c r="AW326" s="40"/>
      <c r="AX326" s="40"/>
      <c r="AY326" s="40"/>
      <c r="AZ326" s="40"/>
      <c r="BA326" s="40"/>
      <c r="BB326" s="40"/>
      <c r="BC326" s="40"/>
      <c r="BD326" s="40"/>
      <c r="BE326" s="40"/>
      <c r="BF326" s="40"/>
      <c r="BG326" s="40"/>
      <c r="BH326" s="40"/>
      <c r="BI326" s="40"/>
      <c r="BJ326" s="40"/>
      <c r="BK326" s="40"/>
      <c r="BL326" s="40"/>
      <c r="BM326" s="40"/>
      <c r="BN326" s="40"/>
      <c r="BO326" s="40"/>
      <c r="BP326" s="40"/>
      <c r="BQ326" s="40"/>
      <c r="BR326" s="40"/>
      <c r="BS326" s="40"/>
      <c r="BT326" s="40"/>
      <c r="BU326" s="40"/>
      <c r="BV326" s="40"/>
      <c r="BW326" s="40"/>
      <c r="BX326" s="40"/>
      <c r="BY326" s="40"/>
      <c r="BZ326" s="40"/>
      <c r="CA326" s="40"/>
      <c r="CB326" s="40"/>
      <c r="CC326" s="40"/>
      <c r="CD326" s="40"/>
      <c r="CE326" s="40"/>
      <c r="CF326" s="40"/>
      <c r="CG326" s="40"/>
      <c r="CH326" s="40"/>
      <c r="CI326" s="40"/>
      <c r="CJ326" s="40"/>
      <c r="CK326" s="40"/>
      <c r="CL326" s="40"/>
    </row>
    <row r="327" spans="1:90" x14ac:dyDescent="0.25">
      <c r="A327" s="40"/>
      <c r="B327" s="40"/>
      <c r="C327" s="40"/>
      <c r="D327" s="40"/>
      <c r="E327" s="40"/>
      <c r="F327" s="40"/>
      <c r="G327" s="40"/>
      <c r="H327" s="40"/>
      <c r="I327" s="40"/>
      <c r="J327" s="40"/>
      <c r="K327" s="40"/>
      <c r="L327" s="40"/>
      <c r="M327" s="40"/>
      <c r="N327" s="40"/>
      <c r="O327" s="40"/>
      <c r="P327" s="40"/>
      <c r="Q327" s="40"/>
      <c r="R327" s="40"/>
      <c r="S327" s="40"/>
      <c r="T327" s="40"/>
      <c r="U327" s="40"/>
      <c r="V327" s="40"/>
      <c r="W327" s="40"/>
      <c r="X327" s="40"/>
      <c r="Y327" s="40"/>
      <c r="Z327" s="40"/>
      <c r="AA327" s="40"/>
      <c r="AB327" s="40"/>
      <c r="AC327" s="40"/>
      <c r="AD327" s="40"/>
      <c r="AE327" s="40"/>
      <c r="AF327" s="40"/>
      <c r="AG327" s="40"/>
      <c r="AH327" s="40"/>
      <c r="AI327" s="40"/>
      <c r="AJ327" s="40"/>
      <c r="AK327" s="40"/>
      <c r="AL327" s="40"/>
      <c r="AM327" s="40"/>
      <c r="AN327" s="40"/>
      <c r="AO327" s="40"/>
      <c r="AP327" s="40"/>
      <c r="AQ327" s="40"/>
      <c r="AR327" s="40"/>
      <c r="AS327" s="40"/>
      <c r="AT327" s="40"/>
      <c r="AU327" s="40"/>
      <c r="AV327" s="40"/>
      <c r="AW327" s="40"/>
      <c r="AX327" s="40"/>
      <c r="AY327" s="40"/>
      <c r="AZ327" s="40"/>
      <c r="BA327" s="40"/>
      <c r="BB327" s="40"/>
      <c r="BC327" s="40"/>
      <c r="BD327" s="40"/>
      <c r="BE327" s="40"/>
      <c r="BF327" s="40"/>
      <c r="BG327" s="40"/>
      <c r="BH327" s="40"/>
      <c r="BI327" s="40"/>
      <c r="BJ327" s="40"/>
      <c r="BK327" s="40"/>
      <c r="BL327" s="40"/>
      <c r="BM327" s="40"/>
      <c r="BN327" s="40"/>
      <c r="BO327" s="40"/>
      <c r="BP327" s="40"/>
      <c r="BQ327" s="40"/>
      <c r="BR327" s="40"/>
      <c r="BS327" s="40"/>
      <c r="BT327" s="40"/>
      <c r="BU327" s="40"/>
      <c r="BV327" s="40"/>
      <c r="BW327" s="40"/>
      <c r="BX327" s="40"/>
      <c r="BY327" s="40"/>
      <c r="BZ327" s="40"/>
      <c r="CA327" s="40"/>
      <c r="CB327" s="40"/>
      <c r="CC327" s="40"/>
      <c r="CD327" s="40"/>
      <c r="CE327" s="40"/>
      <c r="CF327" s="40"/>
      <c r="CG327" s="40"/>
      <c r="CH327" s="40"/>
      <c r="CI327" s="40"/>
      <c r="CJ327" s="40"/>
      <c r="CK327" s="40"/>
      <c r="CL327" s="40"/>
    </row>
    <row r="328" spans="1:90" x14ac:dyDescent="0.25">
      <c r="A328" s="40"/>
      <c r="B328" s="40"/>
      <c r="C328" s="40"/>
      <c r="D328" s="40"/>
      <c r="E328" s="40"/>
      <c r="F328" s="40"/>
      <c r="G328" s="40"/>
      <c r="H328" s="40"/>
      <c r="I328" s="40"/>
      <c r="J328" s="40"/>
      <c r="K328" s="40"/>
      <c r="L328" s="40"/>
      <c r="M328" s="40"/>
      <c r="N328" s="40"/>
      <c r="O328" s="40"/>
      <c r="P328" s="40"/>
      <c r="Q328" s="40"/>
      <c r="R328" s="40"/>
      <c r="S328" s="40"/>
      <c r="T328" s="40"/>
      <c r="U328" s="40"/>
      <c r="V328" s="40"/>
      <c r="W328" s="40"/>
      <c r="X328" s="40"/>
      <c r="Y328" s="40"/>
      <c r="Z328" s="40"/>
      <c r="AA328" s="40"/>
      <c r="AB328" s="40"/>
      <c r="AC328" s="40"/>
      <c r="AD328" s="40"/>
      <c r="AE328" s="40"/>
      <c r="AF328" s="40"/>
      <c r="AG328" s="40"/>
      <c r="AH328" s="40"/>
      <c r="AI328" s="40"/>
      <c r="AJ328" s="40"/>
      <c r="AK328" s="40"/>
      <c r="AL328" s="40"/>
      <c r="AM328" s="40"/>
      <c r="AN328" s="40"/>
      <c r="AO328" s="40"/>
      <c r="AP328" s="40"/>
      <c r="AQ328" s="40"/>
      <c r="AR328" s="40"/>
      <c r="AS328" s="40"/>
      <c r="AT328" s="40"/>
      <c r="AU328" s="40"/>
      <c r="AV328" s="40"/>
      <c r="AW328" s="40"/>
      <c r="AX328" s="40"/>
      <c r="AY328" s="40"/>
      <c r="AZ328" s="40"/>
      <c r="BA328" s="40"/>
      <c r="BB328" s="40"/>
      <c r="BC328" s="40"/>
      <c r="BD328" s="40"/>
      <c r="BE328" s="40"/>
      <c r="BF328" s="40"/>
      <c r="BG328" s="40"/>
      <c r="BH328" s="40"/>
      <c r="BI328" s="40"/>
      <c r="BJ328" s="40"/>
      <c r="BK328" s="40"/>
      <c r="BL328" s="40"/>
      <c r="BM328" s="40"/>
      <c r="BN328" s="40"/>
      <c r="BO328" s="40"/>
      <c r="BP328" s="40"/>
      <c r="BQ328" s="40"/>
      <c r="BR328" s="40"/>
      <c r="BS328" s="40"/>
      <c r="BT328" s="40"/>
      <c r="BU328" s="40"/>
      <c r="BV328" s="40"/>
      <c r="BW328" s="40"/>
      <c r="BX328" s="40"/>
      <c r="BY328" s="40"/>
      <c r="BZ328" s="40"/>
      <c r="CA328" s="40"/>
      <c r="CB328" s="40"/>
      <c r="CC328" s="40"/>
      <c r="CD328" s="40"/>
      <c r="CE328" s="40"/>
      <c r="CF328" s="40"/>
      <c r="CG328" s="40"/>
      <c r="CH328" s="40"/>
      <c r="CI328" s="40"/>
      <c r="CJ328" s="40"/>
      <c r="CK328" s="40"/>
      <c r="CL328" s="40"/>
    </row>
    <row r="329" spans="1:90" x14ac:dyDescent="0.25">
      <c r="A329" s="40"/>
      <c r="B329" s="40"/>
      <c r="C329" s="40"/>
      <c r="D329" s="40"/>
      <c r="E329" s="40"/>
      <c r="F329" s="40"/>
      <c r="G329" s="40"/>
      <c r="H329" s="40"/>
      <c r="I329" s="40"/>
      <c r="J329" s="40"/>
      <c r="K329" s="40"/>
      <c r="L329" s="40"/>
      <c r="M329" s="40"/>
      <c r="N329" s="40"/>
      <c r="O329" s="40"/>
      <c r="P329" s="40"/>
      <c r="Q329" s="40"/>
      <c r="R329" s="40"/>
      <c r="S329" s="40"/>
      <c r="T329" s="40"/>
      <c r="U329" s="40"/>
      <c r="V329" s="40"/>
      <c r="W329" s="40"/>
      <c r="X329" s="40"/>
      <c r="Y329" s="40"/>
      <c r="Z329" s="40"/>
      <c r="AA329" s="40"/>
      <c r="AB329" s="40"/>
      <c r="AC329" s="40"/>
      <c r="AD329" s="40"/>
      <c r="AE329" s="40"/>
      <c r="AF329" s="40"/>
      <c r="AG329" s="40"/>
      <c r="AH329" s="40"/>
      <c r="AI329" s="40"/>
      <c r="AJ329" s="40"/>
      <c r="AK329" s="40"/>
      <c r="AL329" s="40"/>
      <c r="AM329" s="40"/>
      <c r="AN329" s="40"/>
      <c r="AO329" s="40"/>
      <c r="AP329" s="40"/>
      <c r="AQ329" s="40"/>
      <c r="AR329" s="40"/>
      <c r="AS329" s="40"/>
      <c r="AT329" s="40"/>
      <c r="AU329" s="40"/>
      <c r="AV329" s="40"/>
      <c r="AW329" s="40"/>
      <c r="AX329" s="40"/>
      <c r="AY329" s="40"/>
      <c r="AZ329" s="40"/>
      <c r="BA329" s="40"/>
      <c r="BB329" s="40"/>
      <c r="BC329" s="40"/>
      <c r="BD329" s="40"/>
      <c r="BE329" s="40"/>
      <c r="BF329" s="40"/>
      <c r="BG329" s="40"/>
      <c r="BH329" s="40"/>
      <c r="BI329" s="40"/>
      <c r="BJ329" s="40"/>
      <c r="BK329" s="40"/>
      <c r="BL329" s="40"/>
      <c r="BM329" s="40"/>
      <c r="BN329" s="40"/>
      <c r="BO329" s="40"/>
      <c r="BP329" s="40"/>
      <c r="BQ329" s="40"/>
      <c r="BR329" s="40"/>
      <c r="BS329" s="40"/>
      <c r="BT329" s="40"/>
      <c r="BU329" s="40"/>
      <c r="BV329" s="40"/>
      <c r="BW329" s="40"/>
      <c r="BX329" s="40"/>
      <c r="BY329" s="40"/>
      <c r="BZ329" s="40"/>
      <c r="CA329" s="40"/>
      <c r="CB329" s="40"/>
      <c r="CC329" s="40"/>
      <c r="CD329" s="40"/>
      <c r="CE329" s="40"/>
      <c r="CF329" s="40"/>
      <c r="CG329" s="40"/>
      <c r="CH329" s="40"/>
      <c r="CI329" s="40"/>
      <c r="CJ329" s="40"/>
      <c r="CK329" s="40"/>
      <c r="CL329" s="40"/>
    </row>
    <row r="330" spans="1:90" x14ac:dyDescent="0.25">
      <c r="A330" s="40"/>
      <c r="B330" s="40"/>
      <c r="C330" s="40"/>
      <c r="D330" s="40"/>
      <c r="E330" s="40"/>
      <c r="F330" s="40"/>
      <c r="G330" s="40"/>
      <c r="H330" s="40"/>
      <c r="I330" s="40"/>
      <c r="J330" s="40"/>
      <c r="K330" s="40"/>
      <c r="L330" s="40"/>
      <c r="M330" s="40"/>
      <c r="N330" s="40"/>
      <c r="O330" s="40"/>
      <c r="P330" s="40"/>
      <c r="Q330" s="40"/>
      <c r="R330" s="40"/>
      <c r="S330" s="40"/>
      <c r="T330" s="40"/>
      <c r="U330" s="40"/>
      <c r="V330" s="40"/>
      <c r="W330" s="40"/>
      <c r="X330" s="40"/>
      <c r="Y330" s="40"/>
      <c r="Z330" s="40"/>
      <c r="AA330" s="40"/>
      <c r="AB330" s="40"/>
      <c r="AC330" s="40"/>
      <c r="AD330" s="40"/>
      <c r="AE330" s="40"/>
      <c r="AF330" s="40"/>
      <c r="AG330" s="40"/>
      <c r="AH330" s="40"/>
      <c r="AI330" s="40"/>
      <c r="AJ330" s="40"/>
      <c r="AK330" s="40"/>
      <c r="AL330" s="40"/>
      <c r="AM330" s="40"/>
      <c r="AN330" s="40"/>
      <c r="AO330" s="40"/>
      <c r="AP330" s="40"/>
      <c r="AQ330" s="40"/>
      <c r="AR330" s="40"/>
      <c r="AS330" s="40"/>
      <c r="AT330" s="40"/>
      <c r="AU330" s="40"/>
      <c r="AV330" s="40"/>
      <c r="AW330" s="40"/>
      <c r="AX330" s="40"/>
      <c r="AY330" s="40"/>
      <c r="AZ330" s="40"/>
      <c r="BA330" s="40"/>
      <c r="BB330" s="40"/>
      <c r="BC330" s="40"/>
      <c r="BD330" s="40"/>
      <c r="BE330" s="40"/>
      <c r="BF330" s="40"/>
      <c r="BG330" s="40"/>
      <c r="BH330" s="40"/>
      <c r="BI330" s="40"/>
      <c r="BJ330" s="40"/>
      <c r="BK330" s="40"/>
      <c r="BL330" s="40"/>
      <c r="BM330" s="40"/>
      <c r="BN330" s="40"/>
      <c r="BO330" s="40"/>
      <c r="BP330" s="40"/>
      <c r="BQ330" s="40"/>
      <c r="BR330" s="40"/>
      <c r="BS330" s="40"/>
      <c r="BT330" s="40"/>
      <c r="BU330" s="40"/>
      <c r="BV330" s="40"/>
      <c r="BW330" s="40"/>
      <c r="BX330" s="40"/>
      <c r="BY330" s="40"/>
      <c r="BZ330" s="40"/>
      <c r="CA330" s="40"/>
      <c r="CB330" s="40"/>
      <c r="CC330" s="40"/>
      <c r="CD330" s="40"/>
      <c r="CE330" s="40"/>
      <c r="CF330" s="40"/>
      <c r="CG330" s="40"/>
      <c r="CH330" s="40"/>
      <c r="CI330" s="40"/>
      <c r="CJ330" s="40"/>
      <c r="CK330" s="40"/>
      <c r="CL330" s="40"/>
    </row>
    <row r="331" spans="1:90" x14ac:dyDescent="0.25">
      <c r="A331" s="40"/>
      <c r="B331" s="40"/>
      <c r="C331" s="40"/>
      <c r="D331" s="40"/>
      <c r="E331" s="40"/>
      <c r="F331" s="40"/>
      <c r="G331" s="40"/>
      <c r="H331" s="40"/>
      <c r="I331" s="40"/>
      <c r="J331" s="40"/>
      <c r="K331" s="40"/>
      <c r="L331" s="40"/>
      <c r="M331" s="40"/>
      <c r="N331" s="40"/>
      <c r="O331" s="40"/>
      <c r="P331" s="40"/>
      <c r="Q331" s="40"/>
      <c r="R331" s="40"/>
      <c r="S331" s="40"/>
      <c r="T331" s="40"/>
      <c r="U331" s="40"/>
      <c r="V331" s="40"/>
      <c r="W331" s="40"/>
      <c r="X331" s="40"/>
      <c r="Y331" s="40"/>
      <c r="Z331" s="40"/>
      <c r="AA331" s="40"/>
      <c r="AB331" s="40"/>
      <c r="AC331" s="40"/>
      <c r="AD331" s="40"/>
      <c r="AE331" s="40"/>
      <c r="AF331" s="40"/>
      <c r="AG331" s="40"/>
      <c r="AH331" s="40"/>
      <c r="AI331" s="40"/>
      <c r="AJ331" s="40"/>
      <c r="AK331" s="40"/>
      <c r="AL331" s="40"/>
      <c r="AM331" s="40"/>
      <c r="AN331" s="40"/>
      <c r="AO331" s="40"/>
      <c r="AP331" s="40"/>
      <c r="AQ331" s="40"/>
      <c r="AR331" s="40"/>
      <c r="AS331" s="40"/>
      <c r="AT331" s="40"/>
      <c r="AU331" s="40"/>
      <c r="AV331" s="40"/>
      <c r="AW331" s="40"/>
      <c r="AX331" s="40"/>
      <c r="AY331" s="40"/>
      <c r="AZ331" s="40"/>
      <c r="BA331" s="40"/>
      <c r="BB331" s="40"/>
      <c r="BC331" s="40"/>
      <c r="BD331" s="40"/>
      <c r="BE331" s="40"/>
      <c r="BF331" s="40"/>
      <c r="BG331" s="40"/>
      <c r="BH331" s="40"/>
      <c r="BI331" s="40"/>
      <c r="BJ331" s="40"/>
      <c r="BK331" s="40"/>
      <c r="BL331" s="40"/>
      <c r="BM331" s="40"/>
      <c r="BN331" s="40"/>
      <c r="BO331" s="40"/>
      <c r="BP331" s="40"/>
      <c r="BQ331" s="40"/>
      <c r="BR331" s="40"/>
      <c r="BS331" s="40"/>
      <c r="BT331" s="40"/>
      <c r="BU331" s="40"/>
      <c r="BV331" s="40"/>
      <c r="BW331" s="40"/>
      <c r="BX331" s="40"/>
      <c r="BY331" s="40"/>
      <c r="BZ331" s="40"/>
      <c r="CA331" s="40"/>
      <c r="CB331" s="40"/>
      <c r="CC331" s="40"/>
      <c r="CD331" s="40"/>
      <c r="CE331" s="40"/>
      <c r="CF331" s="40"/>
      <c r="CG331" s="40"/>
      <c r="CH331" s="40"/>
      <c r="CI331" s="40"/>
      <c r="CJ331" s="40"/>
      <c r="CK331" s="40"/>
      <c r="CL331" s="40"/>
    </row>
    <row r="332" spans="1:90" x14ac:dyDescent="0.25">
      <c r="A332" s="40"/>
      <c r="B332" s="40"/>
      <c r="C332" s="40"/>
      <c r="D332" s="40"/>
      <c r="E332" s="40"/>
      <c r="F332" s="40"/>
      <c r="G332" s="40"/>
      <c r="H332" s="40"/>
      <c r="I332" s="40"/>
      <c r="J332" s="40"/>
      <c r="K332" s="40"/>
      <c r="L332" s="40"/>
      <c r="M332" s="40"/>
      <c r="N332" s="40"/>
      <c r="O332" s="40"/>
      <c r="P332" s="40"/>
      <c r="Q332" s="40"/>
      <c r="R332" s="40"/>
      <c r="S332" s="40"/>
      <c r="T332" s="40"/>
      <c r="U332" s="40"/>
      <c r="V332" s="40"/>
      <c r="W332" s="40"/>
      <c r="X332" s="40"/>
      <c r="Y332" s="40"/>
      <c r="Z332" s="40"/>
      <c r="AA332" s="40"/>
      <c r="AB332" s="40"/>
      <c r="AC332" s="40"/>
      <c r="AD332" s="40"/>
      <c r="AE332" s="40"/>
      <c r="AF332" s="40"/>
      <c r="AG332" s="40"/>
      <c r="AH332" s="40"/>
      <c r="AI332" s="40"/>
      <c r="AJ332" s="40"/>
      <c r="AK332" s="40"/>
      <c r="AL332" s="40"/>
      <c r="AM332" s="40"/>
      <c r="AN332" s="40"/>
      <c r="AO332" s="40"/>
      <c r="AP332" s="40"/>
      <c r="AQ332" s="40"/>
      <c r="AR332" s="40"/>
      <c r="AS332" s="40"/>
      <c r="AT332" s="40"/>
      <c r="AU332" s="40"/>
      <c r="AV332" s="40"/>
      <c r="AW332" s="40"/>
      <c r="AX332" s="40"/>
      <c r="AY332" s="40"/>
      <c r="AZ332" s="40"/>
      <c r="BA332" s="40"/>
      <c r="BB332" s="40"/>
      <c r="BC332" s="40"/>
      <c r="BD332" s="40"/>
      <c r="BE332" s="40"/>
      <c r="BF332" s="40"/>
      <c r="BG332" s="40"/>
      <c r="BH332" s="40"/>
      <c r="BI332" s="40"/>
      <c r="BJ332" s="40"/>
      <c r="BK332" s="40"/>
      <c r="BL332" s="40"/>
      <c r="BM332" s="40"/>
      <c r="BN332" s="40"/>
      <c r="BO332" s="40"/>
      <c r="BP332" s="40"/>
      <c r="BQ332" s="40"/>
      <c r="BR332" s="40"/>
      <c r="BS332" s="40"/>
      <c r="BT332" s="40"/>
      <c r="BU332" s="40"/>
      <c r="BV332" s="40"/>
      <c r="BW332" s="40"/>
      <c r="BX332" s="40"/>
      <c r="BY332" s="40"/>
      <c r="BZ332" s="40"/>
      <c r="CA332" s="40"/>
      <c r="CB332" s="40"/>
      <c r="CC332" s="40"/>
      <c r="CD332" s="40"/>
      <c r="CE332" s="40"/>
      <c r="CF332" s="40"/>
      <c r="CG332" s="40"/>
      <c r="CH332" s="40"/>
      <c r="CI332" s="40"/>
      <c r="CJ332" s="40"/>
      <c r="CK332" s="40"/>
      <c r="CL332" s="40"/>
    </row>
    <row r="333" spans="1:90" x14ac:dyDescent="0.25">
      <c r="A333" s="40"/>
      <c r="B333" s="40"/>
      <c r="C333" s="40"/>
      <c r="D333" s="40"/>
      <c r="E333" s="40"/>
      <c r="F333" s="40"/>
      <c r="G333" s="40"/>
      <c r="H333" s="40"/>
      <c r="I333" s="40"/>
      <c r="J333" s="40"/>
      <c r="K333" s="40"/>
      <c r="L333" s="40"/>
      <c r="M333" s="40"/>
      <c r="N333" s="40"/>
      <c r="O333" s="40"/>
      <c r="P333" s="40"/>
      <c r="Q333" s="40"/>
      <c r="R333" s="40"/>
      <c r="S333" s="40"/>
      <c r="T333" s="40"/>
      <c r="U333" s="40"/>
      <c r="V333" s="40"/>
      <c r="W333" s="40"/>
      <c r="X333" s="40"/>
      <c r="Y333" s="40"/>
      <c r="Z333" s="40"/>
      <c r="AA333" s="40"/>
      <c r="AB333" s="40"/>
      <c r="AC333" s="40"/>
      <c r="AD333" s="40"/>
      <c r="AE333" s="40"/>
      <c r="AF333" s="40"/>
      <c r="AG333" s="40"/>
      <c r="AH333" s="40"/>
      <c r="AI333" s="40"/>
      <c r="AJ333" s="40"/>
      <c r="AK333" s="40"/>
      <c r="AL333" s="40"/>
      <c r="AM333" s="40"/>
      <c r="AN333" s="40"/>
      <c r="AO333" s="40"/>
      <c r="AP333" s="40"/>
      <c r="AQ333" s="40"/>
      <c r="AR333" s="40"/>
      <c r="AS333" s="40"/>
      <c r="AT333" s="40"/>
      <c r="AU333" s="40"/>
      <c r="AV333" s="40"/>
      <c r="AW333" s="40"/>
      <c r="AX333" s="40"/>
      <c r="AY333" s="40"/>
      <c r="AZ333" s="40"/>
      <c r="BA333" s="40"/>
      <c r="BB333" s="40"/>
      <c r="BC333" s="40"/>
      <c r="BD333" s="40"/>
      <c r="BE333" s="40"/>
      <c r="BF333" s="40"/>
      <c r="BG333" s="40"/>
      <c r="BH333" s="40"/>
      <c r="BI333" s="40"/>
      <c r="BJ333" s="40"/>
      <c r="BK333" s="40"/>
      <c r="BL333" s="40"/>
      <c r="BM333" s="40"/>
      <c r="BN333" s="40"/>
      <c r="BO333" s="40"/>
      <c r="BP333" s="40"/>
      <c r="BQ333" s="40"/>
      <c r="BR333" s="40"/>
      <c r="BS333" s="40"/>
      <c r="BT333" s="40"/>
      <c r="BU333" s="40"/>
      <c r="BV333" s="40"/>
      <c r="BW333" s="40"/>
      <c r="BX333" s="40"/>
      <c r="BY333" s="40"/>
      <c r="BZ333" s="40"/>
      <c r="CA333" s="40"/>
      <c r="CB333" s="40"/>
      <c r="CC333" s="40"/>
      <c r="CD333" s="40"/>
      <c r="CE333" s="40"/>
      <c r="CF333" s="40"/>
      <c r="CG333" s="40"/>
      <c r="CH333" s="40"/>
      <c r="CI333" s="40"/>
      <c r="CJ333" s="40"/>
      <c r="CK333" s="40"/>
      <c r="CL333" s="40"/>
    </row>
    <row r="334" spans="1:90" x14ac:dyDescent="0.25">
      <c r="A334" s="40"/>
      <c r="B334" s="40"/>
      <c r="C334" s="40"/>
      <c r="D334" s="40"/>
      <c r="E334" s="40"/>
      <c r="F334" s="40"/>
      <c r="G334" s="40"/>
      <c r="H334" s="40"/>
      <c r="I334" s="40"/>
      <c r="J334" s="40"/>
      <c r="K334" s="40"/>
      <c r="L334" s="40"/>
      <c r="M334" s="40"/>
      <c r="N334" s="40"/>
      <c r="O334" s="40"/>
      <c r="P334" s="40"/>
      <c r="Q334" s="40"/>
      <c r="R334" s="40"/>
      <c r="S334" s="40"/>
      <c r="T334" s="40"/>
      <c r="U334" s="40"/>
      <c r="V334" s="40"/>
      <c r="W334" s="40"/>
      <c r="X334" s="40"/>
      <c r="Y334" s="40"/>
      <c r="Z334" s="40"/>
      <c r="AA334" s="40"/>
      <c r="AB334" s="40"/>
      <c r="AC334" s="40"/>
      <c r="AD334" s="40"/>
      <c r="AE334" s="40"/>
      <c r="AF334" s="40"/>
      <c r="AG334" s="40"/>
      <c r="AH334" s="40"/>
      <c r="AI334" s="40"/>
      <c r="AJ334" s="40"/>
      <c r="AK334" s="40"/>
      <c r="AL334" s="40"/>
      <c r="AM334" s="40"/>
      <c r="AN334" s="40"/>
      <c r="AO334" s="40"/>
      <c r="AP334" s="40"/>
      <c r="AQ334" s="40"/>
      <c r="AR334" s="40"/>
      <c r="AS334" s="40"/>
      <c r="AT334" s="40"/>
      <c r="AU334" s="40"/>
      <c r="AV334" s="40"/>
      <c r="AW334" s="40"/>
      <c r="AX334" s="40"/>
      <c r="AY334" s="40"/>
      <c r="AZ334" s="40"/>
      <c r="BA334" s="40"/>
      <c r="BB334" s="40"/>
      <c r="BC334" s="40"/>
      <c r="BD334" s="40"/>
      <c r="BE334" s="40"/>
      <c r="BF334" s="40"/>
      <c r="BG334" s="40"/>
      <c r="BH334" s="40"/>
      <c r="BI334" s="40"/>
      <c r="BJ334" s="40"/>
      <c r="BK334" s="40"/>
      <c r="BL334" s="40"/>
      <c r="BM334" s="40"/>
      <c r="BN334" s="40"/>
      <c r="BO334" s="40"/>
      <c r="BP334" s="40"/>
      <c r="BQ334" s="40"/>
      <c r="BR334" s="40"/>
      <c r="BS334" s="40"/>
      <c r="BT334" s="40"/>
      <c r="BU334" s="40"/>
      <c r="BV334" s="40"/>
      <c r="BW334" s="40"/>
      <c r="BX334" s="40"/>
      <c r="BY334" s="40"/>
      <c r="BZ334" s="40"/>
      <c r="CA334" s="40"/>
      <c r="CB334" s="40"/>
      <c r="CC334" s="40"/>
      <c r="CD334" s="40"/>
      <c r="CE334" s="40"/>
      <c r="CF334" s="40"/>
      <c r="CG334" s="40"/>
      <c r="CH334" s="40"/>
      <c r="CI334" s="40"/>
      <c r="CJ334" s="40"/>
      <c r="CK334" s="40"/>
      <c r="CL334" s="40"/>
    </row>
    <row r="335" spans="1:90" x14ac:dyDescent="0.25">
      <c r="A335" s="40"/>
      <c r="B335" s="40"/>
      <c r="C335" s="40"/>
      <c r="D335" s="40"/>
      <c r="E335" s="40"/>
      <c r="F335" s="40"/>
      <c r="G335" s="40"/>
      <c r="H335" s="40"/>
      <c r="I335" s="40"/>
      <c r="J335" s="40"/>
      <c r="K335" s="40"/>
      <c r="L335" s="40"/>
      <c r="M335" s="40"/>
      <c r="N335" s="40"/>
      <c r="O335" s="40"/>
      <c r="P335" s="40"/>
      <c r="Q335" s="40"/>
      <c r="R335" s="40"/>
      <c r="S335" s="40"/>
      <c r="T335" s="40"/>
      <c r="U335" s="40"/>
      <c r="V335" s="40"/>
      <c r="W335" s="40"/>
      <c r="X335" s="40"/>
      <c r="Y335" s="40"/>
      <c r="Z335" s="40"/>
      <c r="AA335" s="40"/>
      <c r="AB335" s="40"/>
      <c r="AC335" s="40"/>
      <c r="AD335" s="40"/>
      <c r="AE335" s="40"/>
      <c r="AF335" s="40"/>
      <c r="AG335" s="40"/>
      <c r="AH335" s="40"/>
      <c r="AI335" s="40"/>
      <c r="AJ335" s="40"/>
      <c r="AK335" s="40"/>
      <c r="AL335" s="40"/>
      <c r="AM335" s="40"/>
      <c r="AN335" s="40"/>
      <c r="AO335" s="40"/>
      <c r="AP335" s="40"/>
      <c r="AQ335" s="40"/>
      <c r="AR335" s="40"/>
      <c r="AS335" s="40"/>
      <c r="AT335" s="40"/>
      <c r="AU335" s="40"/>
      <c r="AV335" s="40"/>
      <c r="AW335" s="40"/>
      <c r="AX335" s="40"/>
      <c r="AY335" s="40"/>
      <c r="AZ335" s="40"/>
      <c r="BA335" s="40"/>
      <c r="BB335" s="40"/>
      <c r="BC335" s="40"/>
      <c r="BD335" s="40"/>
      <c r="BE335" s="40"/>
      <c r="BF335" s="40"/>
      <c r="BG335" s="40"/>
      <c r="BH335" s="40"/>
      <c r="BI335" s="40"/>
      <c r="BJ335" s="40"/>
      <c r="BK335" s="40"/>
      <c r="BL335" s="40"/>
      <c r="BM335" s="40"/>
      <c r="BN335" s="40"/>
      <c r="BO335" s="40"/>
      <c r="BP335" s="40"/>
      <c r="BQ335" s="40"/>
      <c r="BR335" s="40"/>
      <c r="BS335" s="40"/>
      <c r="BT335" s="40"/>
      <c r="BU335" s="40"/>
      <c r="BV335" s="40"/>
      <c r="BW335" s="40"/>
      <c r="BX335" s="40"/>
      <c r="BY335" s="40"/>
      <c r="BZ335" s="40"/>
      <c r="CA335" s="40"/>
      <c r="CB335" s="40"/>
      <c r="CC335" s="40"/>
      <c r="CD335" s="40"/>
      <c r="CE335" s="40"/>
      <c r="CF335" s="40"/>
      <c r="CG335" s="40"/>
      <c r="CH335" s="40"/>
      <c r="CI335" s="40"/>
      <c r="CJ335" s="40"/>
      <c r="CK335" s="40"/>
      <c r="CL335" s="40"/>
    </row>
    <row r="336" spans="1:90" x14ac:dyDescent="0.25">
      <c r="A336" s="40"/>
      <c r="B336" s="40"/>
      <c r="C336" s="40"/>
      <c r="D336" s="40"/>
      <c r="E336" s="40"/>
      <c r="F336" s="40"/>
      <c r="G336" s="40"/>
      <c r="H336" s="40"/>
      <c r="I336" s="40"/>
      <c r="J336" s="40"/>
      <c r="K336" s="40"/>
      <c r="L336" s="40"/>
      <c r="M336" s="40"/>
      <c r="N336" s="40"/>
      <c r="O336" s="40"/>
      <c r="P336" s="40"/>
      <c r="Q336" s="40"/>
      <c r="R336" s="40"/>
      <c r="S336" s="40"/>
      <c r="T336" s="40"/>
      <c r="U336" s="40"/>
      <c r="V336" s="40"/>
      <c r="W336" s="40"/>
      <c r="X336" s="40"/>
      <c r="Y336" s="40"/>
      <c r="Z336" s="40"/>
      <c r="AA336" s="40"/>
      <c r="AB336" s="40"/>
      <c r="AC336" s="40"/>
      <c r="AD336" s="40"/>
      <c r="AE336" s="40"/>
      <c r="AF336" s="40"/>
      <c r="AG336" s="40"/>
      <c r="AH336" s="40"/>
      <c r="AI336" s="40"/>
      <c r="AJ336" s="40"/>
      <c r="AK336" s="40"/>
      <c r="AL336" s="40"/>
      <c r="AM336" s="40"/>
      <c r="AN336" s="40"/>
      <c r="AO336" s="40"/>
      <c r="AP336" s="40"/>
      <c r="AQ336" s="40"/>
      <c r="AR336" s="40"/>
      <c r="AS336" s="40"/>
      <c r="AT336" s="40"/>
      <c r="AU336" s="40"/>
      <c r="AV336" s="40"/>
      <c r="AW336" s="40"/>
      <c r="AX336" s="40"/>
      <c r="AY336" s="40"/>
      <c r="AZ336" s="40"/>
      <c r="BA336" s="40"/>
      <c r="BB336" s="40"/>
      <c r="BC336" s="40"/>
      <c r="BD336" s="40"/>
      <c r="BE336" s="40"/>
      <c r="BF336" s="40"/>
      <c r="BG336" s="40"/>
      <c r="BH336" s="40"/>
      <c r="BI336" s="40"/>
      <c r="BJ336" s="40"/>
      <c r="BK336" s="40"/>
      <c r="BL336" s="40"/>
      <c r="BM336" s="40"/>
      <c r="BN336" s="40"/>
      <c r="BO336" s="40"/>
      <c r="BP336" s="40"/>
      <c r="BQ336" s="40"/>
      <c r="BR336" s="40"/>
      <c r="BS336" s="40"/>
      <c r="BT336" s="40"/>
      <c r="BU336" s="40"/>
      <c r="BV336" s="40"/>
      <c r="BW336" s="40"/>
      <c r="BX336" s="40"/>
      <c r="BY336" s="40"/>
      <c r="BZ336" s="40"/>
      <c r="CA336" s="40"/>
      <c r="CB336" s="40"/>
      <c r="CC336" s="40"/>
      <c r="CD336" s="40"/>
      <c r="CE336" s="40"/>
      <c r="CF336" s="40"/>
      <c r="CG336" s="40"/>
      <c r="CH336" s="40"/>
      <c r="CI336" s="40"/>
      <c r="CJ336" s="40"/>
      <c r="CK336" s="40"/>
      <c r="CL336" s="40"/>
    </row>
    <row r="337" spans="1:90" x14ac:dyDescent="0.25">
      <c r="A337" s="40"/>
      <c r="B337" s="40"/>
      <c r="C337" s="40"/>
      <c r="D337" s="40"/>
      <c r="E337" s="40"/>
      <c r="F337" s="40"/>
      <c r="G337" s="40"/>
      <c r="H337" s="40"/>
      <c r="I337" s="40"/>
      <c r="J337" s="40"/>
      <c r="K337" s="40"/>
      <c r="L337" s="40"/>
      <c r="M337" s="40"/>
      <c r="N337" s="40"/>
      <c r="O337" s="40"/>
      <c r="P337" s="40"/>
      <c r="Q337" s="40"/>
      <c r="R337" s="40"/>
      <c r="S337" s="40"/>
      <c r="T337" s="40"/>
      <c r="U337" s="40"/>
      <c r="V337" s="40"/>
      <c r="W337" s="40"/>
      <c r="X337" s="40"/>
      <c r="Y337" s="40"/>
      <c r="Z337" s="40"/>
      <c r="AA337" s="40"/>
      <c r="AB337" s="40"/>
      <c r="AC337" s="40"/>
      <c r="AD337" s="40"/>
      <c r="AE337" s="40"/>
      <c r="AF337" s="40"/>
      <c r="AG337" s="40"/>
      <c r="AH337" s="40"/>
      <c r="AI337" s="40"/>
      <c r="AJ337" s="40"/>
      <c r="AK337" s="40"/>
      <c r="AL337" s="40"/>
      <c r="AM337" s="40"/>
      <c r="AN337" s="40"/>
      <c r="AO337" s="40"/>
      <c r="AP337" s="40"/>
      <c r="AQ337" s="40"/>
      <c r="AR337" s="40"/>
      <c r="AS337" s="40"/>
      <c r="AT337" s="40"/>
      <c r="AU337" s="40"/>
      <c r="AV337" s="40"/>
      <c r="AW337" s="40"/>
      <c r="AX337" s="40"/>
      <c r="AY337" s="40"/>
      <c r="AZ337" s="40"/>
      <c r="BA337" s="40"/>
      <c r="BB337" s="40"/>
      <c r="BC337" s="40"/>
      <c r="BD337" s="40"/>
      <c r="BE337" s="40"/>
      <c r="BF337" s="40"/>
      <c r="BG337" s="40"/>
      <c r="BH337" s="40"/>
      <c r="BI337" s="40"/>
      <c r="BJ337" s="40"/>
      <c r="BK337" s="40"/>
      <c r="BL337" s="40"/>
      <c r="BM337" s="40"/>
      <c r="BN337" s="40"/>
      <c r="BO337" s="40"/>
      <c r="BP337" s="40"/>
      <c r="BQ337" s="40"/>
      <c r="BR337" s="40"/>
      <c r="BS337" s="40"/>
      <c r="BT337" s="40"/>
      <c r="BU337" s="40"/>
      <c r="BV337" s="40"/>
      <c r="BW337" s="40"/>
      <c r="BX337" s="40"/>
      <c r="BY337" s="40"/>
      <c r="BZ337" s="40"/>
      <c r="CA337" s="40"/>
      <c r="CB337" s="40"/>
      <c r="CC337" s="40"/>
      <c r="CD337" s="40"/>
      <c r="CE337" s="40"/>
      <c r="CF337" s="40"/>
      <c r="CG337" s="40"/>
      <c r="CH337" s="40"/>
      <c r="CI337" s="40"/>
      <c r="CJ337" s="40"/>
      <c r="CK337" s="40"/>
      <c r="CL337" s="40"/>
    </row>
    <row r="338" spans="1:90" x14ac:dyDescent="0.25">
      <c r="A338" s="40"/>
      <c r="B338" s="40"/>
      <c r="C338" s="40"/>
      <c r="D338" s="40"/>
      <c r="E338" s="40"/>
      <c r="F338" s="40"/>
      <c r="G338" s="40"/>
      <c r="H338" s="40"/>
      <c r="I338" s="40"/>
      <c r="J338" s="40"/>
      <c r="K338" s="40"/>
      <c r="L338" s="40"/>
      <c r="M338" s="40"/>
      <c r="N338" s="40"/>
      <c r="O338" s="40"/>
      <c r="P338" s="40"/>
      <c r="Q338" s="40"/>
      <c r="R338" s="40"/>
      <c r="S338" s="40"/>
      <c r="T338" s="40"/>
      <c r="U338" s="40"/>
      <c r="V338" s="40"/>
      <c r="W338" s="40"/>
      <c r="X338" s="40"/>
      <c r="Y338" s="40"/>
      <c r="Z338" s="40"/>
      <c r="AA338" s="40"/>
      <c r="AB338" s="40"/>
      <c r="AC338" s="40"/>
      <c r="AD338" s="40"/>
      <c r="AE338" s="40"/>
      <c r="AF338" s="40"/>
      <c r="AG338" s="40"/>
      <c r="AH338" s="40"/>
      <c r="AI338" s="40"/>
      <c r="AJ338" s="40"/>
      <c r="AK338" s="40"/>
      <c r="AL338" s="40"/>
      <c r="AM338" s="40"/>
      <c r="AN338" s="40"/>
      <c r="AO338" s="40"/>
      <c r="AP338" s="40"/>
      <c r="AQ338" s="40"/>
      <c r="AR338" s="40"/>
      <c r="AS338" s="40"/>
      <c r="AT338" s="40"/>
      <c r="AU338" s="40"/>
      <c r="AV338" s="40"/>
      <c r="AW338" s="40"/>
      <c r="AX338" s="40"/>
      <c r="AY338" s="40"/>
      <c r="AZ338" s="40"/>
      <c r="BA338" s="40"/>
      <c r="BB338" s="40"/>
      <c r="BC338" s="40"/>
      <c r="BD338" s="40"/>
      <c r="BE338" s="40"/>
      <c r="BF338" s="40"/>
      <c r="BG338" s="40"/>
      <c r="BH338" s="40"/>
      <c r="BI338" s="40"/>
      <c r="BJ338" s="40"/>
      <c r="BK338" s="40"/>
      <c r="BL338" s="40"/>
      <c r="BM338" s="40"/>
      <c r="BN338" s="40"/>
      <c r="BO338" s="40"/>
      <c r="BP338" s="40"/>
      <c r="BQ338" s="40"/>
      <c r="BR338" s="40"/>
      <c r="BS338" s="40"/>
      <c r="BT338" s="40"/>
      <c r="BU338" s="40"/>
      <c r="BV338" s="40"/>
      <c r="BW338" s="40"/>
      <c r="BX338" s="40"/>
      <c r="BY338" s="40"/>
      <c r="BZ338" s="40"/>
      <c r="CA338" s="40"/>
      <c r="CB338" s="40"/>
      <c r="CC338" s="40"/>
      <c r="CD338" s="40"/>
      <c r="CE338" s="40"/>
      <c r="CF338" s="40"/>
      <c r="CG338" s="40"/>
      <c r="CH338" s="40"/>
      <c r="CI338" s="40"/>
      <c r="CJ338" s="40"/>
      <c r="CK338" s="40"/>
      <c r="CL338" s="40"/>
    </row>
    <row r="339" spans="1:90" x14ac:dyDescent="0.25">
      <c r="A339" s="40"/>
      <c r="B339" s="40"/>
      <c r="C339" s="40"/>
      <c r="D339" s="40"/>
      <c r="E339" s="40"/>
      <c r="F339" s="40"/>
      <c r="G339" s="40"/>
      <c r="H339" s="40"/>
      <c r="I339" s="40"/>
      <c r="J339" s="40"/>
      <c r="K339" s="40"/>
      <c r="L339" s="40"/>
      <c r="M339" s="40"/>
      <c r="N339" s="40"/>
      <c r="O339" s="40"/>
      <c r="P339" s="40"/>
      <c r="Q339" s="40"/>
      <c r="R339" s="40"/>
      <c r="S339" s="40"/>
      <c r="T339" s="40"/>
      <c r="U339" s="40"/>
      <c r="V339" s="40"/>
      <c r="W339" s="40"/>
      <c r="X339" s="40"/>
      <c r="Y339" s="40"/>
      <c r="Z339" s="40"/>
      <c r="AA339" s="40"/>
      <c r="AB339" s="40"/>
      <c r="AC339" s="40"/>
      <c r="AD339" s="40"/>
      <c r="AE339" s="40"/>
      <c r="AF339" s="40"/>
      <c r="AG339" s="40"/>
      <c r="AH339" s="40"/>
      <c r="AI339" s="40"/>
      <c r="AJ339" s="40"/>
      <c r="AK339" s="40"/>
      <c r="AL339" s="40"/>
      <c r="AM339" s="40"/>
      <c r="AN339" s="40"/>
      <c r="AO339" s="40"/>
      <c r="AP339" s="40"/>
      <c r="AQ339" s="40"/>
      <c r="AR339" s="40"/>
      <c r="AS339" s="40"/>
      <c r="AT339" s="40"/>
      <c r="AU339" s="40"/>
      <c r="AV339" s="40"/>
      <c r="AW339" s="40"/>
      <c r="AX339" s="40"/>
      <c r="AY339" s="40"/>
      <c r="AZ339" s="40"/>
      <c r="BA339" s="40"/>
      <c r="BB339" s="40"/>
      <c r="BC339" s="40"/>
      <c r="BD339" s="40"/>
      <c r="BE339" s="40"/>
      <c r="BF339" s="40"/>
      <c r="BG339" s="40"/>
      <c r="BH339" s="40"/>
      <c r="BI339" s="40"/>
      <c r="BJ339" s="40"/>
      <c r="BK339" s="40"/>
      <c r="BL339" s="40"/>
      <c r="BM339" s="40"/>
      <c r="BN339" s="40"/>
      <c r="BO339" s="40"/>
      <c r="BP339" s="40"/>
      <c r="BQ339" s="40"/>
      <c r="BR339" s="40"/>
      <c r="BS339" s="40"/>
      <c r="BT339" s="40"/>
      <c r="BU339" s="40"/>
      <c r="BV339" s="40"/>
      <c r="BW339" s="40"/>
      <c r="BX339" s="40"/>
      <c r="BY339" s="40"/>
      <c r="BZ339" s="40"/>
      <c r="CA339" s="40"/>
      <c r="CB339" s="40"/>
      <c r="CC339" s="40"/>
      <c r="CD339" s="40"/>
      <c r="CE339" s="40"/>
      <c r="CF339" s="40"/>
      <c r="CG339" s="40"/>
      <c r="CH339" s="40"/>
      <c r="CI339" s="40"/>
      <c r="CJ339" s="40"/>
      <c r="CK339" s="40"/>
      <c r="CL339" s="40"/>
    </row>
    <row r="340" spans="1:90" x14ac:dyDescent="0.25">
      <c r="A340" s="40"/>
      <c r="B340" s="40"/>
      <c r="C340" s="40"/>
      <c r="D340" s="40"/>
      <c r="E340" s="40"/>
      <c r="F340" s="40"/>
      <c r="G340" s="40"/>
      <c r="H340" s="40"/>
      <c r="I340" s="40"/>
      <c r="J340" s="40"/>
      <c r="K340" s="40"/>
      <c r="L340" s="40"/>
      <c r="M340" s="40"/>
      <c r="N340" s="40"/>
      <c r="O340" s="40"/>
      <c r="P340" s="40"/>
      <c r="Q340" s="40"/>
      <c r="R340" s="40"/>
      <c r="S340" s="40"/>
      <c r="T340" s="40"/>
      <c r="U340" s="40"/>
      <c r="V340" s="40"/>
      <c r="W340" s="40"/>
      <c r="X340" s="40"/>
      <c r="Y340" s="40"/>
      <c r="Z340" s="40"/>
      <c r="AA340" s="40"/>
      <c r="AB340" s="40"/>
      <c r="AC340" s="40"/>
      <c r="AD340" s="40"/>
      <c r="AE340" s="40"/>
      <c r="AF340" s="40"/>
      <c r="AG340" s="40"/>
      <c r="AH340" s="40"/>
      <c r="AI340" s="40"/>
      <c r="AJ340" s="40"/>
      <c r="AK340" s="40"/>
      <c r="AL340" s="40"/>
      <c r="AM340" s="40"/>
      <c r="AN340" s="40"/>
      <c r="AO340" s="40"/>
      <c r="AP340" s="40"/>
      <c r="AQ340" s="40"/>
      <c r="AR340" s="40"/>
      <c r="AS340" s="40"/>
      <c r="AT340" s="40"/>
      <c r="AU340" s="40"/>
      <c r="AV340" s="40"/>
      <c r="AW340" s="40"/>
      <c r="AX340" s="40"/>
      <c r="AY340" s="40"/>
      <c r="AZ340" s="40"/>
      <c r="BA340" s="40"/>
      <c r="BB340" s="40"/>
      <c r="BC340" s="40"/>
      <c r="BD340" s="40"/>
      <c r="BE340" s="40"/>
      <c r="BF340" s="40"/>
      <c r="BG340" s="40"/>
      <c r="BH340" s="40"/>
      <c r="BI340" s="40"/>
      <c r="BJ340" s="40"/>
      <c r="BK340" s="40"/>
      <c r="BL340" s="40"/>
      <c r="BM340" s="40"/>
      <c r="BN340" s="40"/>
      <c r="BO340" s="40"/>
      <c r="BP340" s="40"/>
      <c r="BQ340" s="40"/>
      <c r="BR340" s="40"/>
      <c r="BS340" s="40"/>
      <c r="BT340" s="40"/>
      <c r="BU340" s="40"/>
      <c r="BV340" s="40"/>
      <c r="BW340" s="40"/>
      <c r="BX340" s="40"/>
      <c r="BY340" s="40"/>
      <c r="BZ340" s="40"/>
      <c r="CA340" s="40"/>
      <c r="CB340" s="40"/>
      <c r="CC340" s="40"/>
      <c r="CD340" s="40"/>
      <c r="CE340" s="40"/>
      <c r="CF340" s="40"/>
      <c r="CG340" s="40"/>
      <c r="CH340" s="40"/>
      <c r="CI340" s="40"/>
      <c r="CJ340" s="40"/>
      <c r="CK340" s="40"/>
      <c r="CL340" s="40"/>
    </row>
    <row r="341" spans="1:90" x14ac:dyDescent="0.25">
      <c r="A341" s="40"/>
      <c r="B341" s="40"/>
      <c r="C341" s="40"/>
      <c r="D341" s="40"/>
      <c r="E341" s="40"/>
      <c r="F341" s="40"/>
      <c r="G341" s="40"/>
      <c r="H341" s="40"/>
      <c r="I341" s="40"/>
      <c r="J341" s="40"/>
      <c r="K341" s="40"/>
      <c r="L341" s="40"/>
      <c r="M341" s="40"/>
      <c r="N341" s="40"/>
      <c r="O341" s="40"/>
      <c r="P341" s="40"/>
      <c r="Q341" s="40"/>
      <c r="R341" s="40"/>
      <c r="S341" s="40"/>
      <c r="T341" s="40"/>
      <c r="U341" s="40"/>
      <c r="V341" s="40"/>
      <c r="W341" s="40"/>
      <c r="X341" s="40"/>
      <c r="Y341" s="40"/>
      <c r="Z341" s="40"/>
      <c r="AA341" s="40"/>
      <c r="AB341" s="40"/>
      <c r="AC341" s="40"/>
      <c r="AD341" s="40"/>
      <c r="AE341" s="40"/>
      <c r="AF341" s="40"/>
      <c r="AG341" s="40"/>
      <c r="AH341" s="40"/>
      <c r="AI341" s="40"/>
      <c r="AJ341" s="40"/>
      <c r="AK341" s="40"/>
      <c r="AL341" s="40"/>
      <c r="AM341" s="40"/>
      <c r="AN341" s="40"/>
      <c r="AO341" s="40"/>
      <c r="AP341" s="40"/>
      <c r="AQ341" s="40"/>
      <c r="AR341" s="40"/>
      <c r="AS341" s="40"/>
      <c r="AT341" s="40"/>
      <c r="AU341" s="40"/>
      <c r="AV341" s="40"/>
      <c r="AW341" s="40"/>
      <c r="AX341" s="40"/>
      <c r="AY341" s="40"/>
      <c r="AZ341" s="40"/>
      <c r="BA341" s="40"/>
      <c r="BB341" s="40"/>
      <c r="BC341" s="40"/>
      <c r="BD341" s="40"/>
      <c r="BE341" s="40"/>
      <c r="BF341" s="40"/>
      <c r="BG341" s="40"/>
      <c r="BH341" s="40"/>
      <c r="BI341" s="40"/>
      <c r="BJ341" s="40"/>
      <c r="BK341" s="40"/>
      <c r="BL341" s="40"/>
      <c r="BM341" s="40"/>
      <c r="BN341" s="40"/>
      <c r="BO341" s="40"/>
      <c r="BP341" s="40"/>
      <c r="BQ341" s="40"/>
      <c r="BR341" s="40"/>
      <c r="BS341" s="40"/>
      <c r="BT341" s="40"/>
      <c r="BU341" s="40"/>
      <c r="BV341" s="40"/>
      <c r="BW341" s="40"/>
      <c r="BX341" s="40"/>
      <c r="BY341" s="40"/>
      <c r="BZ341" s="40"/>
      <c r="CA341" s="40"/>
      <c r="CB341" s="40"/>
      <c r="CC341" s="40"/>
      <c r="CD341" s="40"/>
      <c r="CE341" s="40"/>
      <c r="CF341" s="40"/>
      <c r="CG341" s="40"/>
      <c r="CH341" s="40"/>
      <c r="CI341" s="40"/>
      <c r="CJ341" s="40"/>
      <c r="CK341" s="40"/>
      <c r="CL341" s="40"/>
    </row>
    <row r="342" spans="1:90" x14ac:dyDescent="0.25">
      <c r="A342" s="40"/>
      <c r="B342" s="40"/>
      <c r="C342" s="40"/>
      <c r="D342" s="40"/>
      <c r="E342" s="40"/>
      <c r="F342" s="40"/>
      <c r="G342" s="40"/>
      <c r="H342" s="40"/>
      <c r="I342" s="40"/>
      <c r="J342" s="40"/>
      <c r="K342" s="40"/>
      <c r="L342" s="40"/>
      <c r="M342" s="40"/>
      <c r="N342" s="40"/>
      <c r="O342" s="40"/>
      <c r="P342" s="40"/>
      <c r="Q342" s="40"/>
      <c r="R342" s="40"/>
      <c r="S342" s="40"/>
      <c r="T342" s="40"/>
      <c r="U342" s="40"/>
      <c r="V342" s="40"/>
      <c r="W342" s="40"/>
      <c r="X342" s="40"/>
      <c r="Y342" s="40"/>
      <c r="Z342" s="40"/>
      <c r="AA342" s="40"/>
      <c r="AB342" s="40"/>
      <c r="AC342" s="40"/>
      <c r="AD342" s="40"/>
      <c r="AE342" s="40"/>
      <c r="AF342" s="40"/>
      <c r="AG342" s="40"/>
      <c r="AH342" s="40"/>
      <c r="AI342" s="40"/>
      <c r="AJ342" s="40"/>
      <c r="AK342" s="40"/>
      <c r="AL342" s="40"/>
      <c r="AM342" s="40"/>
      <c r="AN342" s="40"/>
      <c r="AO342" s="40"/>
      <c r="AP342" s="40"/>
      <c r="AQ342" s="40"/>
      <c r="AR342" s="40"/>
      <c r="AS342" s="40"/>
      <c r="AT342" s="40"/>
      <c r="AU342" s="40"/>
      <c r="AV342" s="40"/>
      <c r="AW342" s="40"/>
      <c r="AX342" s="40"/>
      <c r="AY342" s="40"/>
      <c r="AZ342" s="40"/>
      <c r="BA342" s="40"/>
      <c r="BB342" s="40"/>
      <c r="BC342" s="40"/>
      <c r="BD342" s="40"/>
      <c r="BE342" s="40"/>
      <c r="BF342" s="40"/>
      <c r="BG342" s="40"/>
      <c r="BH342" s="40"/>
      <c r="BI342" s="40"/>
      <c r="BJ342" s="40"/>
      <c r="BK342" s="40"/>
      <c r="BL342" s="40"/>
      <c r="BM342" s="40"/>
      <c r="BN342" s="40"/>
      <c r="BO342" s="40"/>
      <c r="BP342" s="40"/>
      <c r="BQ342" s="40"/>
      <c r="BR342" s="40"/>
      <c r="BS342" s="40"/>
      <c r="BT342" s="40"/>
      <c r="BU342" s="40"/>
      <c r="BV342" s="40"/>
      <c r="BW342" s="40"/>
      <c r="BX342" s="40"/>
      <c r="BY342" s="40"/>
      <c r="BZ342" s="40"/>
      <c r="CA342" s="40"/>
      <c r="CB342" s="40"/>
      <c r="CC342" s="40"/>
      <c r="CD342" s="40"/>
      <c r="CE342" s="40"/>
      <c r="CF342" s="40"/>
      <c r="CG342" s="40"/>
      <c r="CH342" s="40"/>
      <c r="CI342" s="40"/>
      <c r="CJ342" s="40"/>
      <c r="CK342" s="40"/>
      <c r="CL342" s="40"/>
    </row>
    <row r="343" spans="1:90" x14ac:dyDescent="0.25">
      <c r="A343" s="40"/>
      <c r="B343" s="40"/>
      <c r="C343" s="40"/>
      <c r="D343" s="40"/>
      <c r="E343" s="40"/>
      <c r="F343" s="40"/>
      <c r="G343" s="40"/>
      <c r="H343" s="40"/>
      <c r="I343" s="40"/>
      <c r="J343" s="40"/>
      <c r="K343" s="40"/>
      <c r="L343" s="40"/>
      <c r="M343" s="40"/>
      <c r="N343" s="40"/>
      <c r="O343" s="40"/>
      <c r="P343" s="40"/>
      <c r="Q343" s="40"/>
      <c r="R343" s="40"/>
      <c r="S343" s="40"/>
      <c r="T343" s="40"/>
      <c r="U343" s="40"/>
      <c r="V343" s="40"/>
      <c r="W343" s="40"/>
      <c r="X343" s="40"/>
      <c r="Y343" s="40"/>
      <c r="Z343" s="40"/>
      <c r="AA343" s="40"/>
      <c r="AB343" s="40"/>
      <c r="AC343" s="40"/>
      <c r="AD343" s="40"/>
      <c r="AE343" s="40"/>
      <c r="AF343" s="40"/>
      <c r="AG343" s="40"/>
      <c r="AH343" s="40"/>
      <c r="AI343" s="40"/>
      <c r="AJ343" s="40"/>
      <c r="AK343" s="40"/>
      <c r="AL343" s="40"/>
      <c r="AM343" s="40"/>
      <c r="AN343" s="40"/>
      <c r="AO343" s="40"/>
      <c r="AP343" s="40"/>
      <c r="AQ343" s="40"/>
      <c r="AR343" s="40"/>
      <c r="AS343" s="40"/>
      <c r="AT343" s="40"/>
      <c r="AU343" s="40"/>
      <c r="AV343" s="40"/>
      <c r="AW343" s="40"/>
      <c r="AX343" s="40"/>
      <c r="AY343" s="40"/>
      <c r="AZ343" s="40"/>
      <c r="BA343" s="40"/>
      <c r="BB343" s="40"/>
      <c r="BC343" s="40"/>
      <c r="BD343" s="40"/>
      <c r="BE343" s="40"/>
      <c r="BF343" s="40"/>
      <c r="BG343" s="40"/>
      <c r="BH343" s="40"/>
      <c r="BI343" s="40"/>
      <c r="BJ343" s="40"/>
      <c r="BK343" s="40"/>
      <c r="BL343" s="40"/>
      <c r="BM343" s="40"/>
      <c r="BN343" s="40"/>
      <c r="BO343" s="40"/>
      <c r="BP343" s="40"/>
      <c r="BQ343" s="40"/>
      <c r="BR343" s="40"/>
      <c r="BS343" s="40"/>
      <c r="BT343" s="40"/>
      <c r="BU343" s="40"/>
      <c r="BV343" s="40"/>
      <c r="BW343" s="40"/>
      <c r="BX343" s="40"/>
      <c r="BY343" s="40"/>
      <c r="BZ343" s="40"/>
      <c r="CA343" s="40"/>
      <c r="CB343" s="40"/>
      <c r="CC343" s="40"/>
      <c r="CD343" s="40"/>
      <c r="CE343" s="40"/>
      <c r="CF343" s="40"/>
      <c r="CG343" s="40"/>
      <c r="CH343" s="40"/>
      <c r="CI343" s="40"/>
      <c r="CJ343" s="40"/>
      <c r="CK343" s="40"/>
      <c r="CL343" s="40"/>
    </row>
    <row r="344" spans="1:90" x14ac:dyDescent="0.25">
      <c r="A344" s="40"/>
      <c r="B344" s="40"/>
      <c r="C344" s="40"/>
      <c r="D344" s="40"/>
      <c r="E344" s="40"/>
      <c r="F344" s="40"/>
      <c r="G344" s="40"/>
      <c r="H344" s="40"/>
      <c r="I344" s="40"/>
      <c r="J344" s="40"/>
      <c r="K344" s="40"/>
      <c r="L344" s="40"/>
      <c r="M344" s="40"/>
      <c r="N344" s="40"/>
      <c r="O344" s="40"/>
      <c r="P344" s="40"/>
      <c r="Q344" s="40"/>
      <c r="R344" s="40"/>
      <c r="S344" s="40"/>
      <c r="T344" s="40"/>
      <c r="U344" s="40"/>
      <c r="V344" s="40"/>
      <c r="W344" s="40"/>
      <c r="X344" s="40"/>
      <c r="Y344" s="40"/>
      <c r="Z344" s="40"/>
      <c r="AA344" s="40"/>
      <c r="AB344" s="40"/>
      <c r="AC344" s="40"/>
      <c r="AD344" s="40"/>
      <c r="AE344" s="40"/>
      <c r="AF344" s="40"/>
      <c r="AG344" s="40"/>
      <c r="AH344" s="40"/>
      <c r="AI344" s="40"/>
      <c r="AJ344" s="40"/>
      <c r="AK344" s="40"/>
      <c r="AL344" s="40"/>
      <c r="AM344" s="40"/>
      <c r="AN344" s="40"/>
      <c r="AO344" s="40"/>
      <c r="AP344" s="40"/>
      <c r="AQ344" s="40"/>
      <c r="AR344" s="40"/>
      <c r="AS344" s="40"/>
      <c r="AT344" s="40"/>
      <c r="AU344" s="40"/>
      <c r="AV344" s="40"/>
      <c r="AW344" s="40"/>
      <c r="AX344" s="40"/>
      <c r="AY344" s="40"/>
      <c r="AZ344" s="40"/>
      <c r="BA344" s="40"/>
      <c r="BB344" s="40"/>
      <c r="BC344" s="40"/>
      <c r="BD344" s="40"/>
      <c r="BE344" s="40"/>
      <c r="BF344" s="40"/>
      <c r="BG344" s="40"/>
      <c r="BH344" s="40"/>
      <c r="BI344" s="40"/>
      <c r="BJ344" s="40"/>
      <c r="BK344" s="40"/>
      <c r="BL344" s="40"/>
      <c r="BM344" s="40"/>
      <c r="BN344" s="40"/>
      <c r="BO344" s="40"/>
      <c r="BP344" s="40"/>
      <c r="BQ344" s="40"/>
      <c r="BR344" s="40"/>
      <c r="BS344" s="40"/>
      <c r="BT344" s="40"/>
      <c r="BU344" s="40"/>
      <c r="BV344" s="40"/>
      <c r="BW344" s="40"/>
      <c r="BX344" s="40"/>
      <c r="BY344" s="40"/>
      <c r="BZ344" s="40"/>
      <c r="CA344" s="40"/>
      <c r="CB344" s="40"/>
      <c r="CC344" s="40"/>
      <c r="CD344" s="40"/>
      <c r="CE344" s="40"/>
      <c r="CF344" s="40"/>
      <c r="CG344" s="40"/>
      <c r="CH344" s="40"/>
      <c r="CI344" s="40"/>
      <c r="CJ344" s="40"/>
      <c r="CK344" s="40"/>
      <c r="CL344" s="40"/>
    </row>
    <row r="345" spans="1:90" x14ac:dyDescent="0.25">
      <c r="A345" s="40"/>
      <c r="B345" s="40"/>
      <c r="C345" s="40"/>
      <c r="D345" s="40"/>
      <c r="E345" s="40"/>
      <c r="F345" s="40"/>
      <c r="G345" s="40"/>
      <c r="H345" s="40"/>
      <c r="I345" s="40"/>
      <c r="J345" s="40"/>
      <c r="K345" s="40"/>
      <c r="L345" s="40"/>
      <c r="M345" s="40"/>
      <c r="N345" s="40"/>
      <c r="O345" s="40"/>
      <c r="P345" s="40"/>
      <c r="Q345" s="40"/>
      <c r="R345" s="40"/>
      <c r="S345" s="40"/>
      <c r="T345" s="40"/>
      <c r="U345" s="40"/>
      <c r="V345" s="40"/>
      <c r="W345" s="40"/>
      <c r="X345" s="40"/>
      <c r="Y345" s="40"/>
      <c r="Z345" s="40"/>
      <c r="AA345" s="40"/>
      <c r="AB345" s="40"/>
      <c r="AC345" s="40"/>
      <c r="AD345" s="40"/>
      <c r="AE345" s="40"/>
      <c r="AF345" s="40"/>
      <c r="AG345" s="40"/>
      <c r="AH345" s="40"/>
      <c r="AI345" s="40"/>
      <c r="AJ345" s="40"/>
      <c r="AK345" s="40"/>
      <c r="AL345" s="40"/>
      <c r="AM345" s="40"/>
      <c r="AN345" s="40"/>
      <c r="AO345" s="40"/>
      <c r="AP345" s="40"/>
      <c r="AQ345" s="40"/>
      <c r="AR345" s="40"/>
      <c r="AS345" s="40"/>
      <c r="AT345" s="40"/>
      <c r="AU345" s="40"/>
      <c r="AV345" s="40"/>
      <c r="AW345" s="40"/>
      <c r="AX345" s="40"/>
      <c r="AY345" s="40"/>
      <c r="AZ345" s="40"/>
      <c r="BA345" s="40"/>
      <c r="BB345" s="40"/>
      <c r="BC345" s="40"/>
      <c r="BD345" s="40"/>
      <c r="BE345" s="40"/>
      <c r="BF345" s="40"/>
      <c r="BG345" s="40"/>
      <c r="BH345" s="40"/>
      <c r="BI345" s="40"/>
      <c r="BJ345" s="40"/>
      <c r="BK345" s="40"/>
      <c r="BL345" s="40"/>
      <c r="BM345" s="40"/>
      <c r="BN345" s="40"/>
      <c r="BO345" s="40"/>
      <c r="BP345" s="40"/>
      <c r="BQ345" s="40"/>
      <c r="BR345" s="40"/>
      <c r="BS345" s="40"/>
      <c r="BT345" s="40"/>
      <c r="BU345" s="40"/>
      <c r="BV345" s="40"/>
      <c r="BW345" s="40"/>
      <c r="BX345" s="40"/>
      <c r="BY345" s="40"/>
      <c r="BZ345" s="40"/>
      <c r="CA345" s="40"/>
      <c r="CB345" s="40"/>
      <c r="CC345" s="40"/>
      <c r="CD345" s="40"/>
      <c r="CE345" s="40"/>
      <c r="CF345" s="40"/>
      <c r="CG345" s="40"/>
      <c r="CH345" s="40"/>
      <c r="CI345" s="40"/>
      <c r="CJ345" s="40"/>
      <c r="CK345" s="40"/>
      <c r="CL345" s="40"/>
    </row>
    <row r="346" spans="1:90" x14ac:dyDescent="0.25">
      <c r="A346" s="40"/>
      <c r="B346" s="40"/>
      <c r="C346" s="40"/>
      <c r="D346" s="40"/>
      <c r="E346" s="40"/>
      <c r="F346" s="40"/>
      <c r="G346" s="40"/>
      <c r="H346" s="40"/>
      <c r="I346" s="40"/>
      <c r="J346" s="40"/>
      <c r="K346" s="40"/>
      <c r="L346" s="40"/>
      <c r="M346" s="40"/>
      <c r="N346" s="40"/>
      <c r="O346" s="40"/>
      <c r="P346" s="40"/>
      <c r="Q346" s="40"/>
      <c r="R346" s="40"/>
      <c r="S346" s="40"/>
      <c r="T346" s="40"/>
      <c r="U346" s="40"/>
      <c r="V346" s="40"/>
      <c r="W346" s="40"/>
      <c r="X346" s="40"/>
      <c r="Y346" s="40"/>
      <c r="Z346" s="40"/>
      <c r="AA346" s="40"/>
      <c r="AB346" s="40"/>
      <c r="AC346" s="40"/>
      <c r="AD346" s="40"/>
      <c r="AE346" s="40"/>
      <c r="AF346" s="40"/>
      <c r="AG346" s="40"/>
      <c r="AH346" s="40"/>
      <c r="AI346" s="40"/>
      <c r="AJ346" s="40"/>
      <c r="AK346" s="40"/>
      <c r="AL346" s="40"/>
      <c r="AM346" s="40"/>
      <c r="AN346" s="40"/>
      <c r="AO346" s="40"/>
      <c r="AP346" s="40"/>
      <c r="AQ346" s="40"/>
      <c r="AR346" s="40"/>
      <c r="AS346" s="40"/>
      <c r="AT346" s="40"/>
      <c r="AU346" s="40"/>
      <c r="AV346" s="40"/>
      <c r="AW346" s="40"/>
      <c r="AX346" s="40"/>
      <c r="AY346" s="40"/>
      <c r="AZ346" s="40"/>
      <c r="BA346" s="40"/>
      <c r="BB346" s="40"/>
      <c r="BC346" s="40"/>
      <c r="BD346" s="40"/>
      <c r="BE346" s="40"/>
      <c r="BF346" s="40"/>
      <c r="BG346" s="40"/>
      <c r="BH346" s="40"/>
      <c r="BI346" s="40"/>
      <c r="BJ346" s="40"/>
      <c r="BK346" s="40"/>
      <c r="BL346" s="40"/>
      <c r="BM346" s="40"/>
      <c r="BN346" s="40"/>
      <c r="BO346" s="40"/>
      <c r="BP346" s="40"/>
      <c r="BQ346" s="40"/>
      <c r="BR346" s="40"/>
      <c r="BS346" s="40"/>
      <c r="BT346" s="40"/>
      <c r="BU346" s="40"/>
      <c r="BV346" s="40"/>
      <c r="BW346" s="40"/>
      <c r="BX346" s="40"/>
      <c r="BY346" s="40"/>
      <c r="BZ346" s="40"/>
      <c r="CA346" s="40"/>
      <c r="CB346" s="40"/>
      <c r="CC346" s="40"/>
      <c r="CD346" s="40"/>
      <c r="CE346" s="40"/>
      <c r="CF346" s="40"/>
      <c r="CG346" s="40"/>
      <c r="CH346" s="40"/>
      <c r="CI346" s="40"/>
      <c r="CJ346" s="40"/>
      <c r="CK346" s="40"/>
      <c r="CL346" s="40"/>
    </row>
    <row r="347" spans="1:90" x14ac:dyDescent="0.25">
      <c r="A347" s="40"/>
      <c r="B347" s="40"/>
      <c r="C347" s="40"/>
      <c r="D347" s="40"/>
      <c r="E347" s="40"/>
      <c r="F347" s="40"/>
      <c r="G347" s="40"/>
      <c r="H347" s="40"/>
      <c r="I347" s="40"/>
      <c r="J347" s="40"/>
      <c r="K347" s="40"/>
      <c r="L347" s="40"/>
      <c r="M347" s="40"/>
      <c r="N347" s="40"/>
      <c r="O347" s="40"/>
      <c r="P347" s="40"/>
      <c r="Q347" s="40"/>
      <c r="R347" s="40"/>
      <c r="S347" s="40"/>
      <c r="T347" s="40"/>
      <c r="U347" s="40"/>
      <c r="V347" s="40"/>
      <c r="W347" s="40"/>
      <c r="X347" s="40"/>
      <c r="Y347" s="40"/>
      <c r="Z347" s="40"/>
      <c r="AA347" s="40"/>
      <c r="AB347" s="40"/>
      <c r="AC347" s="40"/>
      <c r="AD347" s="40"/>
      <c r="AE347" s="40"/>
      <c r="AF347" s="40"/>
      <c r="AG347" s="40"/>
      <c r="AH347" s="40"/>
      <c r="AI347" s="40"/>
      <c r="AJ347" s="40"/>
      <c r="AK347" s="40"/>
      <c r="AL347" s="40"/>
      <c r="AM347" s="40"/>
      <c r="AN347" s="40"/>
      <c r="AO347" s="40"/>
      <c r="AP347" s="40"/>
      <c r="AQ347" s="40"/>
      <c r="AR347" s="40"/>
      <c r="AS347" s="40"/>
      <c r="AT347" s="40"/>
      <c r="AU347" s="40"/>
      <c r="AV347" s="40"/>
      <c r="AW347" s="40"/>
      <c r="AX347" s="40"/>
      <c r="AY347" s="40"/>
      <c r="AZ347" s="40"/>
      <c r="BA347" s="40"/>
      <c r="BB347" s="40"/>
      <c r="BC347" s="40"/>
      <c r="BD347" s="40"/>
      <c r="BE347" s="40"/>
      <c r="BF347" s="40"/>
      <c r="BG347" s="40"/>
      <c r="BH347" s="40"/>
      <c r="BI347" s="40"/>
      <c r="BJ347" s="40"/>
      <c r="BK347" s="40"/>
      <c r="BL347" s="40"/>
      <c r="BM347" s="40"/>
      <c r="BN347" s="40"/>
      <c r="BO347" s="40"/>
      <c r="BP347" s="40"/>
      <c r="BQ347" s="40"/>
      <c r="BR347" s="40"/>
      <c r="BS347" s="40"/>
      <c r="BT347" s="40"/>
      <c r="BU347" s="40"/>
      <c r="BV347" s="40"/>
      <c r="BW347" s="40"/>
      <c r="BX347" s="40"/>
      <c r="BY347" s="40"/>
      <c r="BZ347" s="40"/>
      <c r="CA347" s="40"/>
      <c r="CB347" s="40"/>
      <c r="CC347" s="40"/>
      <c r="CD347" s="40"/>
      <c r="CE347" s="40"/>
      <c r="CF347" s="40"/>
      <c r="CG347" s="40"/>
      <c r="CH347" s="40"/>
      <c r="CI347" s="40"/>
      <c r="CJ347" s="40"/>
      <c r="CK347" s="40"/>
      <c r="CL347" s="40"/>
    </row>
    <row r="348" spans="1:90" x14ac:dyDescent="0.25">
      <c r="A348" s="40"/>
      <c r="B348" s="40"/>
      <c r="C348" s="40"/>
      <c r="D348" s="40"/>
      <c r="E348" s="40"/>
      <c r="F348" s="40"/>
      <c r="G348" s="40"/>
      <c r="H348" s="40"/>
      <c r="I348" s="40"/>
      <c r="J348" s="40"/>
      <c r="K348" s="40"/>
      <c r="L348" s="40"/>
      <c r="M348" s="40"/>
      <c r="N348" s="40"/>
      <c r="O348" s="40"/>
      <c r="P348" s="40"/>
      <c r="Q348" s="40"/>
      <c r="R348" s="40"/>
      <c r="S348" s="40"/>
      <c r="T348" s="40"/>
      <c r="U348" s="40"/>
      <c r="V348" s="40"/>
      <c r="W348" s="40"/>
      <c r="X348" s="40"/>
      <c r="Y348" s="40"/>
      <c r="Z348" s="40"/>
      <c r="AA348" s="40"/>
      <c r="AB348" s="40"/>
      <c r="AC348" s="40"/>
      <c r="AD348" s="40"/>
      <c r="AE348" s="40"/>
      <c r="AF348" s="40"/>
      <c r="AG348" s="40"/>
      <c r="AH348" s="40"/>
      <c r="AI348" s="40"/>
      <c r="AJ348" s="40"/>
      <c r="AK348" s="40"/>
      <c r="AL348" s="40"/>
      <c r="AM348" s="40"/>
      <c r="AN348" s="40"/>
      <c r="AO348" s="40"/>
      <c r="AP348" s="40"/>
      <c r="AQ348" s="40"/>
      <c r="AR348" s="40"/>
      <c r="AS348" s="40"/>
      <c r="AT348" s="40"/>
      <c r="AU348" s="40"/>
      <c r="AV348" s="40"/>
      <c r="AW348" s="40"/>
      <c r="AX348" s="40"/>
      <c r="AY348" s="40"/>
      <c r="AZ348" s="40"/>
      <c r="BA348" s="40"/>
      <c r="BB348" s="40"/>
      <c r="BC348" s="40"/>
      <c r="BD348" s="40"/>
      <c r="BE348" s="40"/>
      <c r="BF348" s="40"/>
      <c r="BG348" s="40"/>
      <c r="BH348" s="40"/>
      <c r="BI348" s="40"/>
      <c r="BJ348" s="40"/>
      <c r="BK348" s="40"/>
      <c r="BL348" s="40"/>
      <c r="BM348" s="40"/>
      <c r="BN348" s="40"/>
      <c r="BO348" s="40"/>
      <c r="BP348" s="40"/>
      <c r="BQ348" s="40"/>
      <c r="BR348" s="40"/>
      <c r="BS348" s="40"/>
      <c r="BT348" s="40"/>
      <c r="BU348" s="40"/>
      <c r="BV348" s="40"/>
      <c r="BW348" s="40"/>
      <c r="BX348" s="40"/>
      <c r="BY348" s="40"/>
      <c r="BZ348" s="40"/>
      <c r="CA348" s="40"/>
      <c r="CB348" s="40"/>
      <c r="CC348" s="40"/>
      <c r="CD348" s="40"/>
      <c r="CE348" s="40"/>
      <c r="CF348" s="40"/>
      <c r="CG348" s="40"/>
      <c r="CH348" s="40"/>
      <c r="CI348" s="40"/>
      <c r="CJ348" s="40"/>
      <c r="CK348" s="40"/>
      <c r="CL348" s="40"/>
    </row>
    <row r="349" spans="1:90" x14ac:dyDescent="0.25">
      <c r="A349" s="40"/>
      <c r="B349" s="40"/>
      <c r="C349" s="40"/>
      <c r="D349" s="40"/>
      <c r="E349" s="40"/>
      <c r="F349" s="40"/>
      <c r="G349" s="40"/>
      <c r="H349" s="40"/>
      <c r="I349" s="40"/>
      <c r="J349" s="40"/>
      <c r="K349" s="40"/>
      <c r="L349" s="40"/>
      <c r="M349" s="40"/>
      <c r="N349" s="40"/>
      <c r="O349" s="40"/>
      <c r="P349" s="40"/>
      <c r="Q349" s="40"/>
      <c r="R349" s="40"/>
      <c r="S349" s="40"/>
      <c r="T349" s="40"/>
      <c r="U349" s="40"/>
      <c r="V349" s="40"/>
      <c r="W349" s="40"/>
      <c r="X349" s="40"/>
      <c r="Y349" s="40"/>
      <c r="Z349" s="40"/>
      <c r="AA349" s="40"/>
      <c r="AB349" s="40"/>
      <c r="AC349" s="40"/>
      <c r="AD349" s="40"/>
      <c r="AE349" s="40"/>
      <c r="AF349" s="40"/>
      <c r="AG349" s="40"/>
      <c r="AH349" s="40"/>
      <c r="AI349" s="40"/>
      <c r="AJ349" s="40"/>
      <c r="AK349" s="40"/>
      <c r="AL349" s="40"/>
      <c r="AM349" s="40"/>
      <c r="AN349" s="40"/>
      <c r="AO349" s="40"/>
      <c r="AP349" s="40"/>
      <c r="AQ349" s="40"/>
      <c r="AR349" s="40"/>
      <c r="AS349" s="40"/>
      <c r="AT349" s="40"/>
      <c r="AU349" s="40"/>
      <c r="AV349" s="40"/>
      <c r="AW349" s="40"/>
      <c r="AX349" s="40"/>
      <c r="AY349" s="40"/>
      <c r="AZ349" s="40"/>
      <c r="BA349" s="40"/>
      <c r="BB349" s="40"/>
      <c r="BC349" s="40"/>
      <c r="BD349" s="40"/>
      <c r="BE349" s="40"/>
      <c r="BF349" s="40"/>
      <c r="BG349" s="40"/>
      <c r="BH349" s="40"/>
      <c r="BI349" s="40"/>
      <c r="BJ349" s="40"/>
      <c r="BK349" s="40"/>
      <c r="BL349" s="40"/>
      <c r="BM349" s="40"/>
      <c r="BN349" s="40"/>
      <c r="BO349" s="40"/>
      <c r="BP349" s="40"/>
      <c r="BQ349" s="40"/>
      <c r="BR349" s="40"/>
      <c r="BS349" s="40"/>
      <c r="BT349" s="40"/>
      <c r="BU349" s="40"/>
      <c r="BV349" s="40"/>
      <c r="BW349" s="40"/>
      <c r="BX349" s="40"/>
      <c r="BY349" s="40"/>
      <c r="BZ349" s="40"/>
      <c r="CA349" s="40"/>
      <c r="CB349" s="40"/>
      <c r="CC349" s="40"/>
      <c r="CD349" s="40"/>
      <c r="CE349" s="40"/>
      <c r="CF349" s="40"/>
      <c r="CG349" s="40"/>
      <c r="CH349" s="40"/>
      <c r="CI349" s="40"/>
      <c r="CJ349" s="40"/>
      <c r="CK349" s="40"/>
      <c r="CL349" s="40"/>
    </row>
    <row r="350" spans="1:90" x14ac:dyDescent="0.25">
      <c r="A350" s="40"/>
      <c r="B350" s="40"/>
      <c r="C350" s="40"/>
      <c r="D350" s="40"/>
      <c r="E350" s="40"/>
      <c r="F350" s="40"/>
      <c r="G350" s="40"/>
      <c r="H350" s="40"/>
      <c r="I350" s="40"/>
      <c r="J350" s="40"/>
      <c r="K350" s="40"/>
      <c r="L350" s="40"/>
      <c r="M350" s="40"/>
      <c r="N350" s="40"/>
      <c r="O350" s="40"/>
      <c r="P350" s="40"/>
      <c r="Q350" s="40"/>
      <c r="R350" s="40"/>
      <c r="S350" s="40"/>
      <c r="T350" s="40"/>
      <c r="U350" s="40"/>
      <c r="V350" s="40"/>
      <c r="W350" s="40"/>
      <c r="X350" s="40"/>
      <c r="Y350" s="40"/>
      <c r="Z350" s="40"/>
      <c r="AA350" s="40"/>
      <c r="AB350" s="40"/>
      <c r="AC350" s="40"/>
      <c r="AD350" s="40"/>
      <c r="AE350" s="40"/>
      <c r="AF350" s="40"/>
      <c r="AG350" s="40"/>
      <c r="AH350" s="40"/>
      <c r="AI350" s="40"/>
      <c r="AJ350" s="40"/>
      <c r="AK350" s="40"/>
      <c r="AL350" s="40"/>
      <c r="AM350" s="40"/>
      <c r="AN350" s="40"/>
      <c r="AO350" s="40"/>
      <c r="AP350" s="40"/>
      <c r="AQ350" s="40"/>
      <c r="AR350" s="40"/>
      <c r="AS350" s="40"/>
      <c r="AT350" s="40"/>
      <c r="AU350" s="40"/>
      <c r="AV350" s="40"/>
      <c r="AW350" s="40"/>
      <c r="AX350" s="40"/>
      <c r="AY350" s="40"/>
      <c r="AZ350" s="40"/>
      <c r="BA350" s="40"/>
      <c r="BB350" s="40"/>
      <c r="BC350" s="40"/>
      <c r="BD350" s="40"/>
      <c r="BE350" s="40"/>
      <c r="BF350" s="40"/>
      <c r="BG350" s="40"/>
      <c r="BH350" s="40"/>
      <c r="BI350" s="40"/>
      <c r="BJ350" s="40"/>
      <c r="BK350" s="40"/>
      <c r="BL350" s="40"/>
      <c r="BM350" s="40"/>
      <c r="BN350" s="40"/>
      <c r="BO350" s="40"/>
      <c r="BP350" s="40"/>
      <c r="BQ350" s="40"/>
      <c r="BR350" s="40"/>
      <c r="BS350" s="40"/>
      <c r="BT350" s="40"/>
      <c r="BU350" s="40"/>
      <c r="BV350" s="40"/>
      <c r="BW350" s="40"/>
      <c r="BX350" s="40"/>
      <c r="BY350" s="40"/>
      <c r="BZ350" s="40"/>
      <c r="CA350" s="40"/>
      <c r="CB350" s="40"/>
      <c r="CC350" s="40"/>
      <c r="CD350" s="40"/>
      <c r="CE350" s="40"/>
      <c r="CF350" s="40"/>
      <c r="CG350" s="40"/>
      <c r="CH350" s="40"/>
      <c r="CI350" s="40"/>
      <c r="CJ350" s="40"/>
      <c r="CK350" s="40"/>
      <c r="CL350" s="40"/>
    </row>
    <row r="351" spans="1:90" x14ac:dyDescent="0.25">
      <c r="A351" s="40"/>
      <c r="B351" s="40"/>
      <c r="C351" s="40"/>
      <c r="D351" s="40"/>
      <c r="E351" s="40"/>
      <c r="F351" s="40"/>
      <c r="G351" s="40"/>
      <c r="H351" s="40"/>
      <c r="I351" s="40"/>
      <c r="J351" s="40"/>
      <c r="K351" s="40"/>
      <c r="L351" s="40"/>
      <c r="M351" s="40"/>
      <c r="N351" s="40"/>
      <c r="O351" s="40"/>
      <c r="P351" s="40"/>
      <c r="Q351" s="40"/>
      <c r="R351" s="40"/>
      <c r="S351" s="40"/>
      <c r="T351" s="40"/>
      <c r="U351" s="40"/>
      <c r="V351" s="40"/>
      <c r="W351" s="40"/>
      <c r="X351" s="40"/>
      <c r="Y351" s="40"/>
      <c r="Z351" s="40"/>
      <c r="AA351" s="40"/>
      <c r="AB351" s="40"/>
      <c r="AC351" s="40"/>
      <c r="AD351" s="40"/>
      <c r="AE351" s="40"/>
      <c r="AF351" s="40"/>
      <c r="AG351" s="40"/>
      <c r="AH351" s="40"/>
      <c r="AI351" s="40"/>
      <c r="AJ351" s="40"/>
      <c r="AK351" s="40"/>
      <c r="AL351" s="40"/>
      <c r="AM351" s="40"/>
      <c r="AN351" s="40"/>
      <c r="AO351" s="40"/>
      <c r="AP351" s="40"/>
      <c r="AQ351" s="40"/>
      <c r="AR351" s="40"/>
      <c r="AS351" s="40"/>
      <c r="AT351" s="40"/>
      <c r="AU351" s="40"/>
      <c r="AV351" s="40"/>
      <c r="AW351" s="40"/>
      <c r="AX351" s="40"/>
      <c r="AY351" s="40"/>
      <c r="AZ351" s="40"/>
      <c r="BA351" s="40"/>
      <c r="BB351" s="40"/>
      <c r="BC351" s="40"/>
      <c r="BD351" s="40"/>
      <c r="BE351" s="40"/>
      <c r="BF351" s="40"/>
      <c r="BG351" s="40"/>
      <c r="BH351" s="40"/>
      <c r="BI351" s="40"/>
      <c r="BJ351" s="40"/>
      <c r="BK351" s="40"/>
      <c r="BL351" s="40"/>
      <c r="BM351" s="40"/>
      <c r="BN351" s="40"/>
      <c r="BO351" s="40"/>
      <c r="BP351" s="40"/>
      <c r="BQ351" s="40"/>
      <c r="BR351" s="40"/>
      <c r="BS351" s="40"/>
      <c r="BT351" s="40"/>
      <c r="BU351" s="40"/>
      <c r="BV351" s="40"/>
      <c r="BW351" s="40"/>
      <c r="BX351" s="40"/>
      <c r="BY351" s="40"/>
      <c r="BZ351" s="40"/>
      <c r="CA351" s="40"/>
      <c r="CB351" s="40"/>
      <c r="CC351" s="40"/>
      <c r="CD351" s="40"/>
      <c r="CE351" s="40"/>
      <c r="CF351" s="40"/>
      <c r="CG351" s="40"/>
      <c r="CH351" s="40"/>
      <c r="CI351" s="40"/>
      <c r="CJ351" s="40"/>
      <c r="CK351" s="40"/>
      <c r="CL351" s="40"/>
    </row>
    <row r="352" spans="1:90" x14ac:dyDescent="0.25">
      <c r="A352" s="40"/>
      <c r="B352" s="40"/>
      <c r="C352" s="40"/>
      <c r="D352" s="40"/>
      <c r="E352" s="40"/>
      <c r="F352" s="40"/>
      <c r="G352" s="40"/>
      <c r="H352" s="40"/>
      <c r="I352" s="40"/>
      <c r="J352" s="40"/>
      <c r="K352" s="40"/>
      <c r="L352" s="40"/>
      <c r="M352" s="40"/>
      <c r="N352" s="40"/>
      <c r="O352" s="40"/>
      <c r="P352" s="40"/>
      <c r="Q352" s="40"/>
      <c r="R352" s="40"/>
      <c r="S352" s="40"/>
      <c r="T352" s="40"/>
      <c r="U352" s="40"/>
      <c r="V352" s="40"/>
      <c r="W352" s="40"/>
      <c r="X352" s="40"/>
      <c r="Y352" s="40"/>
      <c r="Z352" s="40"/>
      <c r="AA352" s="40"/>
      <c r="AB352" s="40"/>
      <c r="AC352" s="40"/>
      <c r="AD352" s="40"/>
      <c r="AE352" s="40"/>
      <c r="AF352" s="40"/>
      <c r="AG352" s="40"/>
      <c r="AH352" s="40"/>
      <c r="AI352" s="40"/>
      <c r="AJ352" s="40"/>
      <c r="AK352" s="40"/>
      <c r="AL352" s="40"/>
      <c r="AM352" s="40"/>
      <c r="AN352" s="40"/>
      <c r="AO352" s="40"/>
      <c r="AP352" s="40"/>
      <c r="AQ352" s="40"/>
      <c r="AR352" s="40"/>
      <c r="AS352" s="40"/>
      <c r="AT352" s="40"/>
      <c r="AU352" s="40"/>
      <c r="AV352" s="40"/>
      <c r="AW352" s="40"/>
      <c r="AX352" s="40"/>
      <c r="AY352" s="40"/>
      <c r="AZ352" s="40"/>
      <c r="BA352" s="40"/>
      <c r="BB352" s="40"/>
      <c r="BC352" s="40"/>
      <c r="BD352" s="40"/>
      <c r="BE352" s="40"/>
      <c r="BF352" s="40"/>
      <c r="BG352" s="40"/>
      <c r="BH352" s="40"/>
      <c r="BI352" s="40"/>
      <c r="BJ352" s="40"/>
      <c r="BK352" s="40"/>
      <c r="BL352" s="40"/>
      <c r="BM352" s="40"/>
      <c r="BN352" s="40"/>
      <c r="BO352" s="40"/>
      <c r="BP352" s="40"/>
      <c r="BQ352" s="40"/>
      <c r="BR352" s="40"/>
      <c r="BS352" s="40"/>
      <c r="BT352" s="40"/>
      <c r="BU352" s="40"/>
      <c r="BV352" s="40"/>
      <c r="BW352" s="40"/>
      <c r="BX352" s="40"/>
      <c r="BY352" s="40"/>
      <c r="BZ352" s="40"/>
      <c r="CA352" s="40"/>
      <c r="CB352" s="40"/>
      <c r="CC352" s="40"/>
      <c r="CD352" s="40"/>
      <c r="CE352" s="40"/>
      <c r="CF352" s="40"/>
      <c r="CG352" s="40"/>
      <c r="CH352" s="40"/>
      <c r="CI352" s="40"/>
      <c r="CJ352" s="40"/>
      <c r="CK352" s="40"/>
      <c r="CL352" s="40"/>
    </row>
    <row r="353" spans="1:90" x14ac:dyDescent="0.25">
      <c r="A353" s="40"/>
      <c r="B353" s="40"/>
      <c r="C353" s="40"/>
      <c r="D353" s="40"/>
      <c r="E353" s="40"/>
      <c r="F353" s="40"/>
      <c r="G353" s="40"/>
      <c r="H353" s="40"/>
      <c r="I353" s="40"/>
      <c r="J353" s="40"/>
      <c r="K353" s="40"/>
      <c r="L353" s="40"/>
      <c r="M353" s="40"/>
      <c r="N353" s="40"/>
      <c r="O353" s="40"/>
      <c r="P353" s="40"/>
      <c r="Q353" s="40"/>
      <c r="R353" s="40"/>
      <c r="S353" s="40"/>
      <c r="T353" s="40"/>
      <c r="U353" s="40"/>
      <c r="V353" s="40"/>
      <c r="W353" s="40"/>
      <c r="X353" s="40"/>
      <c r="Y353" s="40"/>
      <c r="Z353" s="40"/>
      <c r="AA353" s="40"/>
      <c r="AB353" s="40"/>
      <c r="AC353" s="40"/>
      <c r="AD353" s="40"/>
      <c r="AE353" s="40"/>
      <c r="AF353" s="40"/>
      <c r="AG353" s="40"/>
      <c r="AH353" s="40"/>
      <c r="AI353" s="40"/>
      <c r="AJ353" s="40"/>
      <c r="AK353" s="40"/>
      <c r="AL353" s="40"/>
      <c r="AM353" s="40"/>
      <c r="AN353" s="40"/>
      <c r="AO353" s="40"/>
      <c r="AP353" s="40"/>
      <c r="AQ353" s="40"/>
      <c r="AR353" s="40"/>
      <c r="AS353" s="40"/>
      <c r="AT353" s="40"/>
      <c r="AU353" s="40"/>
      <c r="AV353" s="40"/>
      <c r="AW353" s="40"/>
      <c r="AX353" s="40"/>
      <c r="AY353" s="40"/>
      <c r="AZ353" s="40"/>
      <c r="BA353" s="40"/>
      <c r="BB353" s="40"/>
      <c r="BC353" s="40"/>
      <c r="BD353" s="40"/>
      <c r="BE353" s="40"/>
      <c r="BF353" s="40"/>
      <c r="BG353" s="40"/>
      <c r="BH353" s="40"/>
      <c r="BI353" s="40"/>
      <c r="BJ353" s="40"/>
      <c r="BK353" s="40"/>
      <c r="BL353" s="40"/>
      <c r="BM353" s="40"/>
      <c r="BN353" s="40"/>
      <c r="BO353" s="40"/>
      <c r="BP353" s="40"/>
      <c r="BQ353" s="40"/>
      <c r="BR353" s="40"/>
      <c r="BS353" s="40"/>
      <c r="BT353" s="40"/>
      <c r="BU353" s="40"/>
      <c r="BV353" s="40"/>
      <c r="BW353" s="40"/>
      <c r="BX353" s="40"/>
      <c r="BY353" s="40"/>
      <c r="BZ353" s="40"/>
      <c r="CA353" s="40"/>
      <c r="CB353" s="40"/>
      <c r="CC353" s="40"/>
      <c r="CD353" s="40"/>
      <c r="CE353" s="40"/>
      <c r="CF353" s="40"/>
      <c r="CG353" s="40"/>
      <c r="CH353" s="40"/>
      <c r="CI353" s="40"/>
      <c r="CJ353" s="40"/>
      <c r="CK353" s="40"/>
      <c r="CL353" s="40"/>
    </row>
    <row r="354" spans="1:90" x14ac:dyDescent="0.25">
      <c r="A354" s="40"/>
      <c r="B354" s="40"/>
      <c r="C354" s="40"/>
      <c r="D354" s="40"/>
      <c r="E354" s="40"/>
      <c r="F354" s="40"/>
      <c r="G354" s="40"/>
      <c r="H354" s="40"/>
      <c r="I354" s="40"/>
      <c r="J354" s="40"/>
      <c r="K354" s="40"/>
      <c r="L354" s="40"/>
      <c r="M354" s="40"/>
      <c r="N354" s="40"/>
      <c r="O354" s="40"/>
      <c r="P354" s="40"/>
      <c r="Q354" s="40"/>
      <c r="R354" s="40"/>
      <c r="S354" s="40"/>
      <c r="T354" s="40"/>
      <c r="U354" s="40"/>
      <c r="V354" s="40"/>
      <c r="W354" s="40"/>
      <c r="X354" s="40"/>
      <c r="Y354" s="40"/>
      <c r="Z354" s="40"/>
      <c r="AA354" s="40"/>
      <c r="AB354" s="40"/>
      <c r="AC354" s="40"/>
      <c r="AD354" s="40"/>
      <c r="AE354" s="40"/>
      <c r="AF354" s="40"/>
      <c r="AG354" s="40"/>
      <c r="AH354" s="40"/>
      <c r="AI354" s="40"/>
      <c r="AJ354" s="40"/>
      <c r="AK354" s="40"/>
      <c r="AL354" s="40"/>
      <c r="AM354" s="40"/>
      <c r="AN354" s="40"/>
      <c r="AO354" s="40"/>
      <c r="AP354" s="40"/>
      <c r="AQ354" s="40"/>
      <c r="AR354" s="40"/>
      <c r="AS354" s="40"/>
      <c r="AT354" s="40"/>
      <c r="AU354" s="40"/>
      <c r="AV354" s="40"/>
      <c r="AW354" s="40"/>
      <c r="AX354" s="40"/>
      <c r="AY354" s="40"/>
      <c r="AZ354" s="40"/>
      <c r="BA354" s="40"/>
      <c r="BB354" s="40"/>
      <c r="BC354" s="40"/>
      <c r="BD354" s="40"/>
      <c r="BE354" s="40"/>
      <c r="BF354" s="40"/>
      <c r="BG354" s="40"/>
      <c r="BH354" s="40"/>
      <c r="BI354" s="40"/>
      <c r="BJ354" s="40"/>
      <c r="BK354" s="40"/>
      <c r="BL354" s="40"/>
      <c r="BM354" s="40"/>
      <c r="BN354" s="40"/>
      <c r="BO354" s="40"/>
      <c r="BP354" s="40"/>
      <c r="BQ354" s="40"/>
      <c r="BR354" s="40"/>
      <c r="BS354" s="40"/>
      <c r="BT354" s="40"/>
      <c r="BU354" s="40"/>
      <c r="BV354" s="40"/>
      <c r="BW354" s="40"/>
      <c r="BX354" s="40"/>
      <c r="BY354" s="40"/>
      <c r="BZ354" s="40"/>
      <c r="CA354" s="40"/>
      <c r="CB354" s="40"/>
      <c r="CC354" s="40"/>
      <c r="CD354" s="40"/>
      <c r="CE354" s="40"/>
      <c r="CF354" s="40"/>
      <c r="CG354" s="40"/>
      <c r="CH354" s="40"/>
      <c r="CI354" s="40"/>
      <c r="CJ354" s="40"/>
      <c r="CK354" s="40"/>
      <c r="CL354" s="40"/>
    </row>
    <row r="355" spans="1:90" x14ac:dyDescent="0.25">
      <c r="A355" s="40"/>
      <c r="B355" s="40"/>
      <c r="C355" s="40"/>
      <c r="D355" s="40"/>
      <c r="E355" s="40"/>
      <c r="F355" s="40"/>
      <c r="G355" s="40"/>
      <c r="H355" s="40"/>
      <c r="I355" s="40"/>
      <c r="J355" s="40"/>
      <c r="K355" s="40"/>
      <c r="L355" s="40"/>
      <c r="M355" s="40"/>
      <c r="N355" s="40"/>
      <c r="O355" s="40"/>
      <c r="P355" s="40"/>
      <c r="Q355" s="40"/>
      <c r="R355" s="40"/>
      <c r="S355" s="40"/>
      <c r="T355" s="40"/>
      <c r="U355" s="40"/>
      <c r="V355" s="40"/>
      <c r="W355" s="40"/>
      <c r="X355" s="40"/>
      <c r="Y355" s="40"/>
      <c r="Z355" s="40"/>
      <c r="AA355" s="40"/>
      <c r="AB355" s="40"/>
      <c r="AC355" s="40"/>
      <c r="AD355" s="40"/>
      <c r="AE355" s="40"/>
      <c r="AF355" s="40"/>
      <c r="AG355" s="40"/>
      <c r="AH355" s="40"/>
      <c r="AI355" s="40"/>
      <c r="AJ355" s="40"/>
      <c r="AK355" s="40"/>
      <c r="AL355" s="40"/>
      <c r="AM355" s="40"/>
      <c r="AN355" s="40"/>
      <c r="AO355" s="40"/>
      <c r="AP355" s="40"/>
      <c r="AQ355" s="40"/>
      <c r="AR355" s="40"/>
      <c r="AS355" s="40"/>
      <c r="AT355" s="40"/>
      <c r="AU355" s="40"/>
      <c r="AV355" s="40"/>
      <c r="AW355" s="40"/>
      <c r="AX355" s="40"/>
      <c r="AY355" s="40"/>
      <c r="AZ355" s="40"/>
      <c r="BA355" s="40"/>
      <c r="BB355" s="40"/>
      <c r="BC355" s="40"/>
      <c r="BD355" s="40"/>
      <c r="BE355" s="40"/>
      <c r="BF355" s="40"/>
      <c r="BG355" s="40"/>
      <c r="BH355" s="40"/>
      <c r="BI355" s="40"/>
      <c r="BJ355" s="40"/>
      <c r="BK355" s="40"/>
      <c r="BL355" s="40"/>
      <c r="BM355" s="40"/>
      <c r="BN355" s="40"/>
      <c r="BO355" s="40"/>
      <c r="BP355" s="40"/>
      <c r="BQ355" s="40"/>
      <c r="BR355" s="40"/>
      <c r="BS355" s="40"/>
      <c r="BT355" s="40"/>
      <c r="BU355" s="40"/>
      <c r="BV355" s="40"/>
      <c r="BW355" s="40"/>
      <c r="BX355" s="40"/>
      <c r="BY355" s="40"/>
      <c r="BZ355" s="40"/>
      <c r="CA355" s="40"/>
      <c r="CB355" s="40"/>
      <c r="CC355" s="40"/>
      <c r="CD355" s="40"/>
      <c r="CE355" s="40"/>
      <c r="CF355" s="40"/>
      <c r="CG355" s="40"/>
      <c r="CH355" s="40"/>
      <c r="CI355" s="40"/>
      <c r="CJ355" s="40"/>
      <c r="CK355" s="40"/>
      <c r="CL355" s="40"/>
    </row>
    <row r="356" spans="1:90" x14ac:dyDescent="0.25">
      <c r="A356" s="40"/>
      <c r="B356" s="40"/>
      <c r="C356" s="40"/>
      <c r="D356" s="40"/>
      <c r="E356" s="40"/>
      <c r="F356" s="40"/>
      <c r="G356" s="40"/>
      <c r="H356" s="40"/>
      <c r="I356" s="40"/>
      <c r="J356" s="40"/>
      <c r="K356" s="40"/>
      <c r="L356" s="40"/>
      <c r="M356" s="40"/>
      <c r="N356" s="40"/>
      <c r="O356" s="40"/>
      <c r="P356" s="40"/>
      <c r="Q356" s="40"/>
      <c r="R356" s="40"/>
      <c r="S356" s="40"/>
      <c r="T356" s="40"/>
      <c r="U356" s="40"/>
      <c r="V356" s="40"/>
      <c r="W356" s="40"/>
      <c r="X356" s="40"/>
      <c r="Y356" s="40"/>
      <c r="Z356" s="40"/>
      <c r="AA356" s="40"/>
      <c r="AB356" s="40"/>
      <c r="AC356" s="40"/>
      <c r="AD356" s="40"/>
      <c r="AE356" s="40"/>
      <c r="AF356" s="40"/>
      <c r="AG356" s="40"/>
      <c r="AH356" s="40"/>
      <c r="AI356" s="40"/>
      <c r="AJ356" s="40"/>
      <c r="AK356" s="40"/>
      <c r="AL356" s="40"/>
      <c r="AM356" s="40"/>
      <c r="AN356" s="40"/>
      <c r="AO356" s="40"/>
      <c r="AP356" s="40"/>
      <c r="AQ356" s="40"/>
      <c r="AR356" s="40"/>
      <c r="AS356" s="40"/>
      <c r="AT356" s="40"/>
      <c r="AU356" s="40"/>
      <c r="AV356" s="40"/>
      <c r="AW356" s="40"/>
      <c r="AX356" s="40"/>
      <c r="AY356" s="40"/>
      <c r="AZ356" s="40"/>
      <c r="BA356" s="40"/>
      <c r="BB356" s="40"/>
      <c r="BC356" s="40"/>
      <c r="BD356" s="40"/>
      <c r="BE356" s="40"/>
      <c r="BF356" s="40"/>
      <c r="BG356" s="40"/>
      <c r="BH356" s="40"/>
      <c r="BI356" s="40"/>
      <c r="BJ356" s="40"/>
      <c r="BK356" s="40"/>
      <c r="BL356" s="40"/>
      <c r="BM356" s="40"/>
      <c r="BN356" s="40"/>
      <c r="BO356" s="40"/>
      <c r="BP356" s="40"/>
      <c r="BQ356" s="40"/>
      <c r="BR356" s="40"/>
      <c r="BS356" s="40"/>
      <c r="BT356" s="40"/>
      <c r="BU356" s="40"/>
      <c r="BV356" s="40"/>
      <c r="BW356" s="40"/>
      <c r="BX356" s="40"/>
      <c r="BY356" s="40"/>
      <c r="BZ356" s="40"/>
      <c r="CA356" s="40"/>
      <c r="CB356" s="40"/>
      <c r="CC356" s="40"/>
      <c r="CD356" s="40"/>
      <c r="CE356" s="40"/>
      <c r="CF356" s="40"/>
      <c r="CG356" s="40"/>
      <c r="CH356" s="40"/>
      <c r="CI356" s="40"/>
      <c r="CJ356" s="40"/>
      <c r="CK356" s="40"/>
      <c r="CL356" s="40"/>
    </row>
    <row r="357" spans="1:90" x14ac:dyDescent="0.25">
      <c r="A357" s="40"/>
      <c r="B357" s="40"/>
      <c r="C357" s="40"/>
      <c r="D357" s="40"/>
      <c r="E357" s="40"/>
      <c r="F357" s="40"/>
      <c r="G357" s="40"/>
      <c r="H357" s="40"/>
      <c r="I357" s="40"/>
      <c r="J357" s="40"/>
      <c r="K357" s="40"/>
      <c r="L357" s="40"/>
      <c r="M357" s="40"/>
      <c r="N357" s="40"/>
      <c r="O357" s="40"/>
      <c r="P357" s="40"/>
      <c r="Q357" s="40"/>
      <c r="R357" s="40"/>
      <c r="S357" s="40"/>
      <c r="T357" s="40"/>
      <c r="U357" s="40"/>
      <c r="V357" s="40"/>
      <c r="W357" s="40"/>
      <c r="X357" s="40"/>
      <c r="Y357" s="40"/>
      <c r="Z357" s="40"/>
      <c r="AA357" s="40"/>
      <c r="AB357" s="40"/>
      <c r="AC357" s="40"/>
      <c r="AD357" s="40"/>
      <c r="AE357" s="40"/>
      <c r="AF357" s="40"/>
      <c r="AG357" s="40"/>
      <c r="AH357" s="40"/>
      <c r="AI357" s="40"/>
      <c r="AJ357" s="40"/>
      <c r="AK357" s="40"/>
      <c r="AL357" s="40"/>
      <c r="AM357" s="40"/>
      <c r="AN357" s="40"/>
      <c r="AO357" s="40"/>
      <c r="AP357" s="40"/>
      <c r="AQ357" s="40"/>
      <c r="AR357" s="40"/>
      <c r="AS357" s="40"/>
      <c r="AT357" s="40"/>
      <c r="AU357" s="40"/>
      <c r="AV357" s="40"/>
      <c r="AW357" s="40"/>
      <c r="AX357" s="40"/>
      <c r="AY357" s="40"/>
      <c r="AZ357" s="40"/>
      <c r="BA357" s="40"/>
      <c r="BB357" s="40"/>
      <c r="BC357" s="40"/>
      <c r="BD357" s="40"/>
      <c r="BE357" s="40"/>
      <c r="BF357" s="40"/>
      <c r="BG357" s="40"/>
      <c r="BH357" s="40"/>
      <c r="BI357" s="40"/>
      <c r="BJ357" s="40"/>
      <c r="BK357" s="40"/>
      <c r="BL357" s="40"/>
      <c r="BM357" s="40"/>
      <c r="BN357" s="40"/>
      <c r="BO357" s="40"/>
      <c r="BP357" s="40"/>
      <c r="BQ357" s="40"/>
      <c r="BR357" s="40"/>
      <c r="BS357" s="40"/>
      <c r="BT357" s="40"/>
      <c r="BU357" s="40"/>
      <c r="BV357" s="40"/>
      <c r="BW357" s="40"/>
      <c r="BX357" s="40"/>
      <c r="BY357" s="40"/>
      <c r="BZ357" s="40"/>
      <c r="CA357" s="40"/>
      <c r="CB357" s="40"/>
      <c r="CC357" s="40"/>
      <c r="CD357" s="40"/>
      <c r="CE357" s="40"/>
      <c r="CF357" s="40"/>
      <c r="CG357" s="40"/>
      <c r="CH357" s="40"/>
      <c r="CI357" s="40"/>
      <c r="CJ357" s="40"/>
      <c r="CK357" s="40"/>
      <c r="CL357" s="40"/>
    </row>
    <row r="358" spans="1:90" x14ac:dyDescent="0.25">
      <c r="A358" s="40"/>
      <c r="B358" s="40"/>
      <c r="C358" s="40"/>
      <c r="D358" s="40"/>
      <c r="E358" s="40"/>
      <c r="F358" s="40"/>
      <c r="G358" s="40"/>
      <c r="H358" s="40"/>
      <c r="I358" s="40"/>
      <c r="J358" s="40"/>
      <c r="K358" s="40"/>
      <c r="L358" s="40"/>
      <c r="M358" s="40"/>
      <c r="N358" s="40"/>
      <c r="O358" s="40"/>
      <c r="P358" s="40"/>
      <c r="Q358" s="40"/>
      <c r="R358" s="40"/>
      <c r="S358" s="40"/>
      <c r="T358" s="40"/>
      <c r="U358" s="40"/>
      <c r="V358" s="40"/>
      <c r="W358" s="40"/>
      <c r="X358" s="40"/>
      <c r="Y358" s="40"/>
      <c r="Z358" s="40"/>
      <c r="AA358" s="40"/>
      <c r="AB358" s="40"/>
      <c r="AC358" s="40"/>
      <c r="AD358" s="40"/>
      <c r="AE358" s="40"/>
      <c r="AF358" s="40"/>
      <c r="AG358" s="40"/>
      <c r="AH358" s="40"/>
      <c r="AI358" s="40"/>
      <c r="AJ358" s="40"/>
      <c r="AK358" s="40"/>
      <c r="AL358" s="40"/>
      <c r="AM358" s="40"/>
      <c r="AN358" s="40"/>
      <c r="AO358" s="40"/>
      <c r="AP358" s="40"/>
      <c r="AQ358" s="40"/>
      <c r="AR358" s="40"/>
      <c r="AS358" s="40"/>
      <c r="AT358" s="40"/>
      <c r="AU358" s="40"/>
      <c r="AV358" s="40"/>
      <c r="AW358" s="40"/>
      <c r="AX358" s="40"/>
      <c r="AY358" s="40"/>
      <c r="AZ358" s="40"/>
      <c r="BA358" s="40"/>
      <c r="BB358" s="40"/>
      <c r="BC358" s="40"/>
      <c r="BD358" s="40"/>
      <c r="BE358" s="40"/>
      <c r="BF358" s="40"/>
      <c r="BG358" s="40"/>
      <c r="BH358" s="40"/>
      <c r="BI358" s="40"/>
      <c r="BJ358" s="40"/>
      <c r="BK358" s="40"/>
      <c r="BL358" s="40"/>
      <c r="BM358" s="40"/>
      <c r="BN358" s="40"/>
      <c r="BO358" s="40"/>
      <c r="BP358" s="40"/>
      <c r="BQ358" s="40"/>
      <c r="BR358" s="40"/>
      <c r="BS358" s="40"/>
      <c r="BT358" s="40"/>
      <c r="BU358" s="40"/>
      <c r="BV358" s="40"/>
      <c r="BW358" s="40"/>
      <c r="BX358" s="40"/>
      <c r="BY358" s="40"/>
      <c r="BZ358" s="40"/>
      <c r="CA358" s="40"/>
      <c r="CB358" s="40"/>
      <c r="CC358" s="40"/>
      <c r="CD358" s="40"/>
      <c r="CE358" s="40"/>
      <c r="CF358" s="40"/>
      <c r="CG358" s="40"/>
      <c r="CH358" s="40"/>
      <c r="CI358" s="40"/>
      <c r="CJ358" s="40"/>
      <c r="CK358" s="40"/>
      <c r="CL358" s="40"/>
    </row>
    <row r="359" spans="1:90" x14ac:dyDescent="0.25">
      <c r="A359" s="40"/>
      <c r="B359" s="40"/>
      <c r="C359" s="40"/>
      <c r="D359" s="40"/>
      <c r="E359" s="40"/>
      <c r="F359" s="40"/>
      <c r="G359" s="40"/>
      <c r="H359" s="40"/>
      <c r="I359" s="40"/>
      <c r="J359" s="40"/>
      <c r="K359" s="40"/>
      <c r="L359" s="40"/>
      <c r="M359" s="40"/>
      <c r="N359" s="40"/>
      <c r="O359" s="40"/>
      <c r="P359" s="40"/>
      <c r="Q359" s="40"/>
      <c r="R359" s="40"/>
      <c r="S359" s="40"/>
      <c r="T359" s="40"/>
      <c r="U359" s="40"/>
      <c r="V359" s="40"/>
      <c r="W359" s="40"/>
      <c r="X359" s="40"/>
      <c r="Y359" s="40"/>
      <c r="Z359" s="40"/>
      <c r="AA359" s="40"/>
      <c r="AB359" s="40"/>
      <c r="AC359" s="40"/>
      <c r="AD359" s="40"/>
      <c r="AE359" s="40"/>
      <c r="AF359" s="40"/>
      <c r="AG359" s="40"/>
      <c r="AH359" s="40"/>
      <c r="AI359" s="40"/>
      <c r="AJ359" s="40"/>
      <c r="AK359" s="40"/>
      <c r="AL359" s="40"/>
      <c r="AM359" s="40"/>
      <c r="AN359" s="40"/>
      <c r="AO359" s="40"/>
      <c r="AP359" s="40"/>
      <c r="AQ359" s="40"/>
      <c r="AR359" s="40"/>
      <c r="AS359" s="40"/>
      <c r="AT359" s="40"/>
      <c r="AU359" s="40"/>
      <c r="AV359" s="40"/>
      <c r="AW359" s="40"/>
      <c r="AX359" s="40"/>
      <c r="AY359" s="40"/>
      <c r="AZ359" s="40"/>
      <c r="BA359" s="40"/>
      <c r="BB359" s="40"/>
      <c r="BC359" s="40"/>
      <c r="BD359" s="40"/>
      <c r="BE359" s="40"/>
      <c r="BF359" s="40"/>
      <c r="BG359" s="40"/>
      <c r="BH359" s="40"/>
      <c r="BI359" s="40"/>
      <c r="BJ359" s="40"/>
      <c r="BK359" s="40"/>
      <c r="BL359" s="40"/>
      <c r="BM359" s="40"/>
      <c r="BN359" s="40"/>
      <c r="BO359" s="40"/>
      <c r="BP359" s="40"/>
      <c r="BQ359" s="40"/>
      <c r="BR359" s="40"/>
      <c r="BS359" s="40"/>
      <c r="BT359" s="40"/>
      <c r="BU359" s="40"/>
      <c r="BV359" s="40"/>
      <c r="BW359" s="40"/>
      <c r="BX359" s="40"/>
      <c r="BY359" s="40"/>
      <c r="BZ359" s="40"/>
      <c r="CA359" s="40"/>
      <c r="CB359" s="40"/>
      <c r="CC359" s="40"/>
      <c r="CD359" s="40"/>
      <c r="CE359" s="40"/>
      <c r="CF359" s="40"/>
      <c r="CG359" s="40"/>
      <c r="CH359" s="40"/>
      <c r="CI359" s="40"/>
      <c r="CJ359" s="40"/>
      <c r="CK359" s="40"/>
      <c r="CL359" s="40"/>
    </row>
    <row r="360" spans="1:90" x14ac:dyDescent="0.25">
      <c r="A360" s="40"/>
      <c r="B360" s="40"/>
      <c r="C360" s="40"/>
      <c r="D360" s="40"/>
      <c r="E360" s="40"/>
      <c r="F360" s="40"/>
      <c r="G360" s="40"/>
      <c r="H360" s="40"/>
      <c r="I360" s="40"/>
      <c r="J360" s="40"/>
      <c r="K360" s="40"/>
      <c r="L360" s="40"/>
      <c r="M360" s="40"/>
      <c r="N360" s="40"/>
      <c r="O360" s="40"/>
      <c r="P360" s="40"/>
      <c r="Q360" s="40"/>
      <c r="R360" s="40"/>
      <c r="S360" s="40"/>
      <c r="T360" s="40"/>
      <c r="U360" s="40"/>
      <c r="V360" s="40"/>
      <c r="W360" s="40"/>
      <c r="X360" s="40"/>
      <c r="Y360" s="40"/>
      <c r="Z360" s="40"/>
      <c r="AA360" s="40"/>
      <c r="AB360" s="40"/>
      <c r="AC360" s="40"/>
      <c r="AD360" s="40"/>
      <c r="AE360" s="40"/>
      <c r="AF360" s="40"/>
      <c r="AG360" s="40"/>
      <c r="AH360" s="40"/>
      <c r="AI360" s="40"/>
      <c r="AJ360" s="40"/>
      <c r="AK360" s="40"/>
      <c r="AL360" s="40"/>
      <c r="AM360" s="40"/>
      <c r="AN360" s="40"/>
      <c r="AO360" s="40"/>
      <c r="AP360" s="40"/>
      <c r="AQ360" s="40"/>
      <c r="AR360" s="40"/>
      <c r="AS360" s="40"/>
      <c r="AT360" s="40"/>
      <c r="AU360" s="40"/>
      <c r="AV360" s="40"/>
      <c r="AW360" s="40"/>
      <c r="AX360" s="40"/>
      <c r="AY360" s="40"/>
      <c r="AZ360" s="40"/>
      <c r="BA360" s="40"/>
      <c r="BB360" s="40"/>
      <c r="BC360" s="40"/>
      <c r="BD360" s="40"/>
      <c r="BE360" s="40"/>
      <c r="BF360" s="40"/>
      <c r="BG360" s="40"/>
      <c r="BH360" s="40"/>
      <c r="BI360" s="40"/>
      <c r="BJ360" s="40"/>
      <c r="BK360" s="40"/>
      <c r="BL360" s="40"/>
      <c r="BM360" s="40"/>
      <c r="BN360" s="40"/>
      <c r="BO360" s="40"/>
      <c r="BP360" s="40"/>
      <c r="BQ360" s="40"/>
      <c r="BR360" s="40"/>
      <c r="BS360" s="40"/>
      <c r="BT360" s="40"/>
      <c r="BU360" s="40"/>
      <c r="BV360" s="40"/>
      <c r="BW360" s="40"/>
      <c r="BX360" s="40"/>
      <c r="BY360" s="40"/>
      <c r="BZ360" s="40"/>
      <c r="CA360" s="40"/>
      <c r="CB360" s="40"/>
      <c r="CC360" s="40"/>
      <c r="CD360" s="40"/>
      <c r="CE360" s="40"/>
      <c r="CF360" s="40"/>
      <c r="CG360" s="40"/>
      <c r="CH360" s="40"/>
      <c r="CI360" s="40"/>
      <c r="CJ360" s="40"/>
      <c r="CK360" s="40"/>
      <c r="CL360" s="40"/>
    </row>
    <row r="361" spans="1:90" x14ac:dyDescent="0.25">
      <c r="A361" s="40"/>
      <c r="B361" s="40"/>
      <c r="C361" s="40"/>
      <c r="D361" s="40"/>
      <c r="E361" s="40"/>
      <c r="F361" s="40"/>
      <c r="G361" s="40"/>
      <c r="H361" s="40"/>
      <c r="I361" s="40"/>
      <c r="J361" s="40"/>
      <c r="K361" s="40"/>
      <c r="L361" s="40"/>
      <c r="M361" s="40"/>
      <c r="N361" s="40"/>
      <c r="O361" s="40"/>
      <c r="P361" s="40"/>
      <c r="Q361" s="40"/>
      <c r="R361" s="40"/>
      <c r="S361" s="40"/>
      <c r="T361" s="40"/>
      <c r="U361" s="40"/>
      <c r="V361" s="40"/>
      <c r="W361" s="40"/>
      <c r="X361" s="40"/>
      <c r="Y361" s="40"/>
      <c r="Z361" s="40"/>
      <c r="AA361" s="40"/>
      <c r="AB361" s="40"/>
      <c r="AC361" s="40"/>
      <c r="AD361" s="40"/>
      <c r="AE361" s="40"/>
      <c r="AF361" s="40"/>
      <c r="AG361" s="40"/>
      <c r="AH361" s="40"/>
      <c r="AI361" s="40"/>
      <c r="AJ361" s="40"/>
      <c r="AK361" s="40"/>
      <c r="AL361" s="40"/>
      <c r="AM361" s="40"/>
      <c r="AN361" s="40"/>
      <c r="AO361" s="40"/>
      <c r="AP361" s="40"/>
      <c r="AQ361" s="40"/>
      <c r="AR361" s="40"/>
      <c r="AS361" s="40"/>
      <c r="AT361" s="40"/>
      <c r="AU361" s="40"/>
      <c r="AV361" s="40"/>
      <c r="AW361" s="40"/>
      <c r="AX361" s="40"/>
      <c r="AY361" s="40"/>
      <c r="AZ361" s="40"/>
      <c r="BA361" s="40"/>
      <c r="BB361" s="40"/>
      <c r="BC361" s="40"/>
      <c r="BD361" s="40"/>
      <c r="BE361" s="40"/>
      <c r="BF361" s="40"/>
      <c r="BG361" s="40"/>
      <c r="BH361" s="40"/>
      <c r="BI361" s="40"/>
      <c r="BJ361" s="40"/>
      <c r="BK361" s="40"/>
      <c r="BL361" s="40"/>
      <c r="BM361" s="40"/>
      <c r="BN361" s="40"/>
      <c r="BO361" s="40"/>
      <c r="BP361" s="40"/>
      <c r="BQ361" s="40"/>
      <c r="BR361" s="40"/>
      <c r="BS361" s="40"/>
      <c r="BT361" s="40"/>
      <c r="BU361" s="40"/>
      <c r="BV361" s="40"/>
      <c r="BW361" s="40"/>
      <c r="BX361" s="40"/>
      <c r="BY361" s="40"/>
      <c r="BZ361" s="40"/>
      <c r="CA361" s="40"/>
      <c r="CB361" s="40"/>
      <c r="CC361" s="40"/>
      <c r="CD361" s="40"/>
      <c r="CE361" s="40"/>
      <c r="CF361" s="40"/>
      <c r="CG361" s="40"/>
      <c r="CH361" s="40"/>
      <c r="CI361" s="40"/>
      <c r="CJ361" s="40"/>
      <c r="CK361" s="40"/>
      <c r="CL361" s="40"/>
    </row>
    <row r="362" spans="1:90" x14ac:dyDescent="0.25">
      <c r="A362" s="40"/>
      <c r="B362" s="40"/>
      <c r="C362" s="40"/>
      <c r="D362" s="40"/>
      <c r="E362" s="40"/>
      <c r="F362" s="40"/>
      <c r="G362" s="40"/>
      <c r="H362" s="40"/>
      <c r="I362" s="40"/>
      <c r="J362" s="40"/>
      <c r="K362" s="40"/>
      <c r="L362" s="40"/>
      <c r="M362" s="40"/>
      <c r="N362" s="40"/>
      <c r="O362" s="40"/>
      <c r="P362" s="40"/>
      <c r="Q362" s="40"/>
      <c r="R362" s="40"/>
      <c r="S362" s="40"/>
      <c r="T362" s="40"/>
      <c r="U362" s="40"/>
      <c r="V362" s="40"/>
      <c r="W362" s="40"/>
      <c r="X362" s="40"/>
      <c r="Y362" s="40"/>
      <c r="Z362" s="40"/>
      <c r="AA362" s="40"/>
      <c r="AB362" s="40"/>
      <c r="AC362" s="40"/>
      <c r="AD362" s="40"/>
      <c r="AE362" s="40"/>
      <c r="AF362" s="40"/>
      <c r="AG362" s="40"/>
      <c r="AH362" s="40"/>
      <c r="AI362" s="40"/>
      <c r="AJ362" s="40"/>
      <c r="AK362" s="40"/>
      <c r="AL362" s="40"/>
      <c r="AM362" s="40"/>
      <c r="AN362" s="40"/>
      <c r="AO362" s="40"/>
      <c r="AP362" s="40"/>
      <c r="AQ362" s="40"/>
      <c r="AR362" s="40"/>
      <c r="AS362" s="40"/>
      <c r="AT362" s="40"/>
      <c r="AU362" s="40"/>
      <c r="AV362" s="40"/>
      <c r="AW362" s="40"/>
      <c r="AX362" s="40"/>
      <c r="AY362" s="40"/>
      <c r="AZ362" s="40"/>
      <c r="BA362" s="40"/>
      <c r="BB362" s="40"/>
      <c r="BC362" s="40"/>
      <c r="BD362" s="40"/>
      <c r="BE362" s="40"/>
      <c r="BF362" s="40"/>
      <c r="BG362" s="40"/>
      <c r="BH362" s="40"/>
      <c r="BI362" s="40"/>
      <c r="BJ362" s="40"/>
      <c r="BK362" s="40"/>
      <c r="BL362" s="40"/>
      <c r="BM362" s="40"/>
      <c r="BN362" s="40"/>
      <c r="BO362" s="40"/>
      <c r="BP362" s="40"/>
      <c r="BQ362" s="40"/>
      <c r="BR362" s="40"/>
      <c r="BS362" s="40"/>
      <c r="BT362" s="40"/>
      <c r="BU362" s="40"/>
      <c r="BV362" s="40"/>
      <c r="BW362" s="40"/>
      <c r="BX362" s="40"/>
      <c r="BY362" s="40"/>
      <c r="BZ362" s="40"/>
      <c r="CA362" s="40"/>
      <c r="CB362" s="40"/>
      <c r="CC362" s="40"/>
      <c r="CD362" s="40"/>
      <c r="CE362" s="40"/>
      <c r="CF362" s="40"/>
      <c r="CG362" s="40"/>
      <c r="CH362" s="40"/>
      <c r="CI362" s="40"/>
      <c r="CJ362" s="40"/>
      <c r="CK362" s="40"/>
      <c r="CL362" s="40"/>
    </row>
    <row r="363" spans="1:90" x14ac:dyDescent="0.25">
      <c r="A363" s="40"/>
      <c r="B363" s="40"/>
      <c r="C363" s="40"/>
      <c r="D363" s="40"/>
      <c r="E363" s="40"/>
      <c r="F363" s="40"/>
      <c r="G363" s="40"/>
      <c r="H363" s="40"/>
      <c r="I363" s="40"/>
      <c r="J363" s="40"/>
      <c r="K363" s="40"/>
      <c r="L363" s="40"/>
      <c r="M363" s="40"/>
      <c r="N363" s="40"/>
      <c r="O363" s="40"/>
      <c r="P363" s="40"/>
      <c r="Q363" s="40"/>
      <c r="R363" s="40"/>
      <c r="S363" s="40"/>
      <c r="T363" s="40"/>
      <c r="U363" s="40"/>
      <c r="V363" s="40"/>
      <c r="W363" s="40"/>
      <c r="X363" s="40"/>
      <c r="Y363" s="40"/>
      <c r="Z363" s="40"/>
      <c r="AA363" s="40"/>
      <c r="AB363" s="40"/>
      <c r="AC363" s="40"/>
      <c r="AD363" s="40"/>
      <c r="AE363" s="40"/>
      <c r="AF363" s="40"/>
      <c r="AG363" s="40"/>
      <c r="AH363" s="40"/>
      <c r="AI363" s="40"/>
      <c r="AJ363" s="40"/>
      <c r="AK363" s="40"/>
      <c r="AL363" s="40"/>
      <c r="AM363" s="40"/>
      <c r="AN363" s="40"/>
      <c r="AO363" s="40"/>
      <c r="AP363" s="40"/>
      <c r="AQ363" s="40"/>
      <c r="AR363" s="40"/>
      <c r="AS363" s="40"/>
      <c r="AT363" s="40"/>
      <c r="AU363" s="40"/>
      <c r="AV363" s="40"/>
      <c r="AW363" s="40"/>
      <c r="AX363" s="40"/>
      <c r="AY363" s="40"/>
      <c r="AZ363" s="40"/>
      <c r="BA363" s="40"/>
      <c r="BB363" s="40"/>
      <c r="BC363" s="40"/>
      <c r="BD363" s="40"/>
      <c r="BE363" s="40"/>
      <c r="BF363" s="40"/>
      <c r="BG363" s="40"/>
      <c r="BH363" s="40"/>
      <c r="BI363" s="40"/>
      <c r="BJ363" s="40"/>
      <c r="BK363" s="40"/>
      <c r="BL363" s="40"/>
      <c r="BM363" s="40"/>
      <c r="BN363" s="40"/>
      <c r="BO363" s="40"/>
      <c r="BP363" s="40"/>
      <c r="BQ363" s="40"/>
      <c r="BR363" s="40"/>
      <c r="BS363" s="40"/>
      <c r="BT363" s="40"/>
      <c r="BU363" s="40"/>
      <c r="BV363" s="40"/>
      <c r="BW363" s="40"/>
      <c r="BX363" s="40"/>
      <c r="BY363" s="40"/>
      <c r="BZ363" s="40"/>
      <c r="CA363" s="40"/>
      <c r="CB363" s="40"/>
      <c r="CC363" s="40"/>
      <c r="CD363" s="40"/>
      <c r="CE363" s="40"/>
      <c r="CF363" s="40"/>
      <c r="CG363" s="40"/>
      <c r="CH363" s="40"/>
      <c r="CI363" s="40"/>
      <c r="CJ363" s="40"/>
      <c r="CK363" s="40"/>
      <c r="CL363" s="40"/>
    </row>
    <row r="364" spans="1:90" x14ac:dyDescent="0.25">
      <c r="A364" s="40"/>
      <c r="B364" s="40"/>
      <c r="C364" s="40"/>
      <c r="D364" s="40"/>
      <c r="E364" s="40"/>
      <c r="F364" s="40"/>
      <c r="G364" s="40"/>
      <c r="H364" s="40"/>
      <c r="I364" s="40"/>
      <c r="J364" s="40"/>
      <c r="K364" s="40"/>
      <c r="L364" s="40"/>
      <c r="M364" s="40"/>
      <c r="N364" s="40"/>
      <c r="O364" s="40"/>
      <c r="P364" s="40"/>
      <c r="Q364" s="40"/>
      <c r="R364" s="40"/>
      <c r="S364" s="40"/>
      <c r="T364" s="40"/>
      <c r="U364" s="40"/>
      <c r="V364" s="40"/>
      <c r="W364" s="40"/>
      <c r="X364" s="40"/>
      <c r="Y364" s="40"/>
      <c r="Z364" s="40"/>
      <c r="AA364" s="40"/>
      <c r="AB364" s="40"/>
      <c r="AC364" s="40"/>
      <c r="AD364" s="40"/>
      <c r="AE364" s="40"/>
      <c r="AF364" s="40"/>
      <c r="AG364" s="40"/>
      <c r="AH364" s="40"/>
      <c r="AI364" s="40"/>
      <c r="AJ364" s="40"/>
      <c r="AK364" s="40"/>
      <c r="AL364" s="40"/>
      <c r="AM364" s="40"/>
      <c r="AN364" s="40"/>
      <c r="AO364" s="40"/>
      <c r="AP364" s="40"/>
      <c r="AQ364" s="40"/>
      <c r="AR364" s="40"/>
      <c r="AS364" s="40"/>
      <c r="AT364" s="40"/>
      <c r="AU364" s="40"/>
      <c r="AV364" s="40"/>
      <c r="AW364" s="40"/>
      <c r="AX364" s="40"/>
      <c r="AY364" s="40"/>
      <c r="AZ364" s="40"/>
      <c r="BA364" s="40"/>
      <c r="BB364" s="40"/>
      <c r="BC364" s="40"/>
      <c r="BD364" s="40"/>
      <c r="BE364" s="40"/>
      <c r="BF364" s="40"/>
      <c r="BG364" s="40"/>
      <c r="BH364" s="40"/>
      <c r="BI364" s="40"/>
      <c r="BJ364" s="40"/>
      <c r="BK364" s="40"/>
      <c r="BL364" s="40"/>
      <c r="BM364" s="40"/>
      <c r="BN364" s="40"/>
      <c r="BO364" s="40"/>
      <c r="BP364" s="40"/>
      <c r="BQ364" s="40"/>
      <c r="BR364" s="40"/>
      <c r="BS364" s="40"/>
      <c r="BT364" s="40"/>
      <c r="BU364" s="40"/>
      <c r="BV364" s="40"/>
      <c r="BW364" s="40"/>
      <c r="BX364" s="40"/>
      <c r="BY364" s="40"/>
      <c r="BZ364" s="40"/>
      <c r="CA364" s="40"/>
      <c r="CB364" s="40"/>
      <c r="CC364" s="40"/>
      <c r="CD364" s="40"/>
      <c r="CE364" s="40"/>
      <c r="CF364" s="40"/>
      <c r="CG364" s="40"/>
      <c r="CH364" s="40"/>
      <c r="CI364" s="40"/>
      <c r="CJ364" s="40"/>
      <c r="CK364" s="40"/>
      <c r="CL364" s="40"/>
    </row>
    <row r="365" spans="1:90" x14ac:dyDescent="0.25">
      <c r="A365" s="40"/>
      <c r="B365" s="40"/>
      <c r="C365" s="40"/>
      <c r="D365" s="40"/>
      <c r="E365" s="40"/>
      <c r="F365" s="40"/>
      <c r="G365" s="40"/>
      <c r="H365" s="40"/>
      <c r="I365" s="40"/>
      <c r="J365" s="40"/>
      <c r="K365" s="40"/>
      <c r="L365" s="40"/>
      <c r="M365" s="40"/>
      <c r="N365" s="40"/>
      <c r="O365" s="40"/>
      <c r="P365" s="40"/>
      <c r="Q365" s="40"/>
      <c r="R365" s="40"/>
      <c r="S365" s="40"/>
      <c r="T365" s="40"/>
      <c r="U365" s="40"/>
      <c r="V365" s="40"/>
      <c r="W365" s="40"/>
      <c r="X365" s="40"/>
      <c r="Y365" s="40"/>
      <c r="Z365" s="40"/>
      <c r="AA365" s="40"/>
      <c r="AB365" s="40"/>
      <c r="AC365" s="40"/>
      <c r="AD365" s="40"/>
      <c r="AE365" s="40"/>
      <c r="AF365" s="40"/>
      <c r="AG365" s="40"/>
      <c r="AH365" s="40"/>
      <c r="AI365" s="40"/>
      <c r="AJ365" s="40"/>
      <c r="AK365" s="40"/>
      <c r="AL365" s="40"/>
      <c r="AM365" s="40"/>
      <c r="AN365" s="40"/>
      <c r="AO365" s="40"/>
      <c r="AP365" s="40"/>
      <c r="AQ365" s="40"/>
      <c r="AR365" s="40"/>
      <c r="AS365" s="40"/>
      <c r="AT365" s="40"/>
      <c r="AU365" s="40"/>
      <c r="AV365" s="40"/>
      <c r="AW365" s="40"/>
      <c r="AX365" s="40"/>
      <c r="AY365" s="40"/>
      <c r="AZ365" s="40"/>
      <c r="BA365" s="40"/>
      <c r="BB365" s="40"/>
      <c r="BC365" s="40"/>
      <c r="BD365" s="40"/>
      <c r="BE365" s="40"/>
      <c r="BF365" s="40"/>
      <c r="BG365" s="40"/>
      <c r="BH365" s="40"/>
      <c r="BI365" s="40"/>
      <c r="BJ365" s="40"/>
      <c r="BK365" s="40"/>
      <c r="BL365" s="40"/>
      <c r="BM365" s="40"/>
      <c r="BN365" s="40"/>
      <c r="BO365" s="40"/>
      <c r="BP365" s="40"/>
      <c r="BQ365" s="40"/>
      <c r="BR365" s="40"/>
      <c r="BS365" s="40"/>
      <c r="BT365" s="40"/>
      <c r="BU365" s="40"/>
      <c r="BV365" s="40"/>
      <c r="BW365" s="40"/>
      <c r="BX365" s="40"/>
      <c r="BY365" s="40"/>
      <c r="BZ365" s="40"/>
      <c r="CA365" s="40"/>
      <c r="CB365" s="40"/>
      <c r="CC365" s="40"/>
      <c r="CD365" s="40"/>
      <c r="CE365" s="40"/>
      <c r="CF365" s="40"/>
      <c r="CG365" s="40"/>
      <c r="CH365" s="40"/>
      <c r="CI365" s="40"/>
      <c r="CJ365" s="40"/>
      <c r="CK365" s="40"/>
      <c r="CL365" s="40"/>
    </row>
    <row r="366" spans="1:90" x14ac:dyDescent="0.25">
      <c r="A366" s="40"/>
      <c r="B366" s="40"/>
      <c r="C366" s="40"/>
      <c r="D366" s="40"/>
      <c r="E366" s="40"/>
      <c r="F366" s="40"/>
      <c r="G366" s="40"/>
      <c r="H366" s="40"/>
      <c r="I366" s="40"/>
      <c r="J366" s="40"/>
      <c r="K366" s="40"/>
      <c r="L366" s="40"/>
      <c r="M366" s="40"/>
      <c r="N366" s="40"/>
      <c r="O366" s="40"/>
      <c r="P366" s="40"/>
      <c r="Q366" s="40"/>
      <c r="R366" s="40"/>
      <c r="S366" s="40"/>
      <c r="T366" s="40"/>
      <c r="U366" s="40"/>
      <c r="V366" s="40"/>
      <c r="W366" s="40"/>
      <c r="X366" s="40"/>
      <c r="Y366" s="40"/>
      <c r="Z366" s="40"/>
      <c r="AA366" s="40"/>
      <c r="AB366" s="40"/>
      <c r="AC366" s="40"/>
      <c r="AD366" s="40"/>
      <c r="AE366" s="40"/>
      <c r="AF366" s="40"/>
      <c r="AG366" s="40"/>
      <c r="AH366" s="40"/>
      <c r="AI366" s="40"/>
      <c r="AJ366" s="40"/>
      <c r="AK366" s="40"/>
      <c r="AL366" s="40"/>
      <c r="AM366" s="40"/>
      <c r="AN366" s="40"/>
      <c r="AO366" s="40"/>
      <c r="AP366" s="40"/>
      <c r="AQ366" s="40"/>
      <c r="AR366" s="40"/>
      <c r="AS366" s="40"/>
      <c r="AT366" s="40"/>
      <c r="AU366" s="40"/>
      <c r="AV366" s="40"/>
      <c r="AW366" s="40"/>
      <c r="AX366" s="40"/>
      <c r="AY366" s="40"/>
      <c r="AZ366" s="40"/>
      <c r="BA366" s="40"/>
      <c r="BB366" s="40"/>
      <c r="BC366" s="40"/>
      <c r="BD366" s="40"/>
      <c r="BE366" s="40"/>
      <c r="BF366" s="40"/>
      <c r="BG366" s="40"/>
      <c r="BH366" s="40"/>
      <c r="BI366" s="40"/>
      <c r="BJ366" s="40"/>
      <c r="BK366" s="40"/>
      <c r="BL366" s="40"/>
      <c r="BM366" s="40"/>
      <c r="BN366" s="40"/>
      <c r="BO366" s="40"/>
      <c r="BP366" s="40"/>
      <c r="BQ366" s="40"/>
      <c r="BR366" s="40"/>
      <c r="BS366" s="40"/>
      <c r="BT366" s="40"/>
      <c r="BU366" s="40"/>
      <c r="BV366" s="40"/>
      <c r="BW366" s="40"/>
      <c r="BX366" s="40"/>
      <c r="BY366" s="40"/>
      <c r="BZ366" s="40"/>
      <c r="CA366" s="40"/>
      <c r="CB366" s="40"/>
      <c r="CC366" s="40"/>
      <c r="CD366" s="40"/>
      <c r="CE366" s="40"/>
      <c r="CF366" s="40"/>
      <c r="CG366" s="40"/>
      <c r="CH366" s="40"/>
      <c r="CI366" s="40"/>
      <c r="CJ366" s="40"/>
      <c r="CK366" s="40"/>
      <c r="CL366" s="40"/>
    </row>
    <row r="367" spans="1:90" x14ac:dyDescent="0.25">
      <c r="A367" s="40"/>
      <c r="B367" s="40"/>
      <c r="C367" s="40"/>
      <c r="D367" s="40"/>
      <c r="E367" s="40"/>
      <c r="F367" s="40"/>
      <c r="G367" s="40"/>
      <c r="H367" s="40"/>
      <c r="I367" s="40"/>
      <c r="J367" s="40"/>
      <c r="K367" s="40"/>
      <c r="L367" s="40"/>
      <c r="M367" s="40"/>
      <c r="N367" s="40"/>
      <c r="O367" s="40"/>
      <c r="P367" s="40"/>
      <c r="Q367" s="40"/>
      <c r="R367" s="40"/>
      <c r="S367" s="40"/>
      <c r="T367" s="40"/>
      <c r="U367" s="40"/>
      <c r="V367" s="40"/>
      <c r="W367" s="40"/>
      <c r="X367" s="40"/>
      <c r="Y367" s="40"/>
      <c r="Z367" s="40"/>
      <c r="AA367" s="40"/>
      <c r="AB367" s="40"/>
      <c r="AC367" s="40"/>
      <c r="AD367" s="40"/>
      <c r="AE367" s="40"/>
      <c r="AF367" s="40"/>
      <c r="AG367" s="40"/>
      <c r="AH367" s="40"/>
      <c r="AI367" s="40"/>
      <c r="AJ367" s="40"/>
      <c r="AK367" s="40"/>
      <c r="AL367" s="40"/>
      <c r="AM367" s="40"/>
      <c r="AN367" s="40"/>
      <c r="AO367" s="40"/>
      <c r="AP367" s="40"/>
      <c r="AQ367" s="40"/>
      <c r="AR367" s="40"/>
      <c r="AS367" s="40"/>
      <c r="AT367" s="40"/>
      <c r="AU367" s="40"/>
      <c r="AV367" s="40"/>
      <c r="AW367" s="40"/>
      <c r="AX367" s="40"/>
      <c r="AY367" s="40"/>
      <c r="AZ367" s="40"/>
      <c r="BA367" s="40"/>
      <c r="BB367" s="40"/>
      <c r="BC367" s="40"/>
      <c r="BD367" s="40"/>
      <c r="BE367" s="40"/>
      <c r="BF367" s="40"/>
      <c r="BG367" s="40"/>
      <c r="BH367" s="40"/>
      <c r="BI367" s="40"/>
      <c r="BJ367" s="40"/>
      <c r="BK367" s="40"/>
      <c r="BL367" s="40"/>
      <c r="BM367" s="40"/>
      <c r="BN367" s="40"/>
      <c r="BO367" s="40"/>
      <c r="BP367" s="40"/>
      <c r="BQ367" s="40"/>
      <c r="BR367" s="40"/>
      <c r="BS367" s="40"/>
      <c r="BT367" s="40"/>
      <c r="BU367" s="40"/>
      <c r="BV367" s="40"/>
      <c r="BW367" s="40"/>
      <c r="BX367" s="40"/>
      <c r="BY367" s="40"/>
      <c r="BZ367" s="40"/>
      <c r="CA367" s="40"/>
      <c r="CB367" s="40"/>
      <c r="CC367" s="40"/>
      <c r="CD367" s="40"/>
      <c r="CE367" s="40"/>
      <c r="CF367" s="40"/>
      <c r="CG367" s="40"/>
      <c r="CH367" s="40"/>
      <c r="CI367" s="40"/>
      <c r="CJ367" s="40"/>
      <c r="CK367" s="40"/>
      <c r="CL367" s="40"/>
    </row>
    <row r="368" spans="1:90" x14ac:dyDescent="0.25">
      <c r="A368" s="40"/>
      <c r="B368" s="40"/>
      <c r="C368" s="40"/>
      <c r="D368" s="40"/>
      <c r="E368" s="40"/>
      <c r="F368" s="40"/>
      <c r="G368" s="40"/>
      <c r="H368" s="40"/>
      <c r="I368" s="40"/>
      <c r="J368" s="40"/>
      <c r="K368" s="40"/>
      <c r="L368" s="40"/>
      <c r="M368" s="40"/>
      <c r="N368" s="40"/>
      <c r="O368" s="40"/>
      <c r="P368" s="40"/>
      <c r="Q368" s="40"/>
      <c r="R368" s="40"/>
      <c r="S368" s="40"/>
      <c r="T368" s="40"/>
      <c r="U368" s="40"/>
      <c r="V368" s="40"/>
      <c r="W368" s="40"/>
      <c r="X368" s="40"/>
      <c r="Y368" s="40"/>
      <c r="Z368" s="40"/>
      <c r="AA368" s="40"/>
      <c r="AB368" s="40"/>
      <c r="AC368" s="40"/>
      <c r="AD368" s="40"/>
      <c r="AE368" s="40"/>
      <c r="AF368" s="40"/>
      <c r="AG368" s="40"/>
      <c r="AH368" s="40"/>
      <c r="AI368" s="40"/>
      <c r="AJ368" s="40"/>
      <c r="AK368" s="40"/>
      <c r="AL368" s="40"/>
      <c r="AM368" s="40"/>
      <c r="AN368" s="40"/>
      <c r="AO368" s="40"/>
      <c r="AP368" s="40"/>
      <c r="AQ368" s="40"/>
      <c r="AR368" s="40"/>
      <c r="AS368" s="40"/>
      <c r="AT368" s="40"/>
      <c r="AU368" s="40"/>
      <c r="AV368" s="40"/>
      <c r="AW368" s="40"/>
      <c r="AX368" s="40"/>
      <c r="AY368" s="40"/>
      <c r="AZ368" s="40"/>
      <c r="BA368" s="40"/>
      <c r="BB368" s="40"/>
      <c r="BC368" s="40"/>
      <c r="BD368" s="40"/>
      <c r="BE368" s="40"/>
      <c r="BF368" s="40"/>
      <c r="BG368" s="40"/>
      <c r="BH368" s="40"/>
      <c r="BI368" s="40"/>
      <c r="BJ368" s="40"/>
      <c r="BK368" s="40"/>
      <c r="BL368" s="40"/>
      <c r="BM368" s="40"/>
      <c r="BN368" s="40"/>
      <c r="BO368" s="40"/>
      <c r="BP368" s="40"/>
      <c r="BQ368" s="40"/>
      <c r="BR368" s="40"/>
      <c r="BS368" s="40"/>
      <c r="BT368" s="40"/>
      <c r="BU368" s="40"/>
      <c r="BV368" s="40"/>
      <c r="BW368" s="40"/>
      <c r="BX368" s="40"/>
      <c r="BY368" s="40"/>
      <c r="BZ368" s="40"/>
      <c r="CA368" s="40"/>
      <c r="CB368" s="40"/>
      <c r="CC368" s="40"/>
      <c r="CD368" s="40"/>
      <c r="CE368" s="40"/>
      <c r="CF368" s="40"/>
      <c r="CG368" s="40"/>
      <c r="CH368" s="40"/>
      <c r="CI368" s="40"/>
      <c r="CJ368" s="40"/>
      <c r="CK368" s="40"/>
      <c r="CL368" s="40"/>
    </row>
    <row r="369" spans="1:90" x14ac:dyDescent="0.25">
      <c r="A369" s="40"/>
      <c r="B369" s="40"/>
      <c r="C369" s="40"/>
      <c r="D369" s="40"/>
      <c r="E369" s="40"/>
      <c r="F369" s="40"/>
      <c r="G369" s="40"/>
      <c r="H369" s="40"/>
      <c r="I369" s="40"/>
      <c r="J369" s="40"/>
      <c r="K369" s="40"/>
      <c r="L369" s="40"/>
      <c r="M369" s="40"/>
      <c r="N369" s="40"/>
      <c r="O369" s="40"/>
      <c r="P369" s="40"/>
      <c r="Q369" s="40"/>
      <c r="R369" s="40"/>
      <c r="S369" s="40"/>
      <c r="T369" s="40"/>
      <c r="U369" s="40"/>
      <c r="V369" s="40"/>
      <c r="W369" s="40"/>
      <c r="X369" s="40"/>
      <c r="Y369" s="40"/>
      <c r="Z369" s="40"/>
      <c r="AA369" s="40"/>
      <c r="AB369" s="40"/>
      <c r="AC369" s="40"/>
      <c r="AD369" s="40"/>
      <c r="AE369" s="40"/>
      <c r="AF369" s="40"/>
      <c r="AG369" s="40"/>
      <c r="AH369" s="40"/>
      <c r="AI369" s="40"/>
      <c r="AJ369" s="40"/>
      <c r="AK369" s="40"/>
      <c r="AL369" s="40"/>
      <c r="AM369" s="40"/>
      <c r="AN369" s="40"/>
      <c r="AO369" s="40"/>
      <c r="AP369" s="40"/>
      <c r="AQ369" s="40"/>
      <c r="AR369" s="40"/>
      <c r="AS369" s="40"/>
      <c r="AT369" s="40"/>
      <c r="AU369" s="40"/>
      <c r="AV369" s="40"/>
      <c r="AW369" s="40"/>
      <c r="AX369" s="40"/>
      <c r="AY369" s="40"/>
      <c r="AZ369" s="40"/>
      <c r="BA369" s="40"/>
      <c r="BB369" s="40"/>
      <c r="BC369" s="40"/>
      <c r="BD369" s="40"/>
      <c r="BE369" s="40"/>
      <c r="BF369" s="40"/>
      <c r="BG369" s="40"/>
      <c r="BH369" s="40"/>
      <c r="BI369" s="40"/>
      <c r="BJ369" s="40"/>
      <c r="BK369" s="40"/>
      <c r="BL369" s="40"/>
      <c r="BM369" s="40"/>
      <c r="BN369" s="40"/>
      <c r="BO369" s="40"/>
      <c r="BP369" s="40"/>
      <c r="BQ369" s="40"/>
      <c r="BR369" s="40"/>
      <c r="BS369" s="40"/>
      <c r="BT369" s="40"/>
      <c r="BU369" s="40"/>
      <c r="BV369" s="40"/>
      <c r="BW369" s="40"/>
      <c r="BX369" s="40"/>
      <c r="BY369" s="40"/>
      <c r="BZ369" s="40"/>
      <c r="CA369" s="40"/>
      <c r="CB369" s="40"/>
      <c r="CC369" s="40"/>
      <c r="CD369" s="40"/>
      <c r="CE369" s="40"/>
      <c r="CF369" s="40"/>
      <c r="CG369" s="40"/>
      <c r="CH369" s="40"/>
      <c r="CI369" s="40"/>
      <c r="CJ369" s="40"/>
      <c r="CK369" s="40"/>
      <c r="CL369" s="40"/>
    </row>
    <row r="370" spans="1:90" x14ac:dyDescent="0.25">
      <c r="A370" s="40"/>
      <c r="B370" s="40"/>
      <c r="C370" s="40"/>
      <c r="D370" s="40"/>
      <c r="E370" s="40"/>
      <c r="F370" s="40"/>
      <c r="G370" s="40"/>
      <c r="H370" s="40"/>
      <c r="I370" s="40"/>
      <c r="J370" s="40"/>
      <c r="K370" s="40"/>
      <c r="L370" s="40"/>
      <c r="M370" s="40"/>
      <c r="N370" s="40"/>
      <c r="O370" s="40"/>
      <c r="P370" s="40"/>
      <c r="Q370" s="40"/>
      <c r="R370" s="40"/>
      <c r="S370" s="40"/>
      <c r="T370" s="40"/>
      <c r="U370" s="40"/>
      <c r="V370" s="40"/>
      <c r="W370" s="40"/>
      <c r="X370" s="40"/>
      <c r="Y370" s="40"/>
      <c r="Z370" s="40"/>
      <c r="AA370" s="40"/>
      <c r="AB370" s="40"/>
      <c r="AC370" s="40"/>
      <c r="AD370" s="40"/>
      <c r="AE370" s="40"/>
      <c r="AF370" s="40"/>
      <c r="AG370" s="40"/>
      <c r="AH370" s="40"/>
      <c r="AI370" s="40"/>
      <c r="AJ370" s="40"/>
      <c r="AK370" s="40"/>
      <c r="AL370" s="40"/>
      <c r="AM370" s="40"/>
      <c r="AN370" s="40"/>
      <c r="AO370" s="40"/>
      <c r="AP370" s="40"/>
      <c r="AQ370" s="40"/>
      <c r="AR370" s="40"/>
      <c r="AS370" s="40"/>
      <c r="AT370" s="40"/>
      <c r="AU370" s="40"/>
      <c r="AV370" s="40"/>
      <c r="AW370" s="40"/>
      <c r="AX370" s="40"/>
      <c r="AY370" s="40"/>
      <c r="AZ370" s="40"/>
      <c r="BA370" s="40"/>
      <c r="BB370" s="40"/>
      <c r="BC370" s="40"/>
      <c r="BD370" s="40"/>
      <c r="BE370" s="40"/>
      <c r="BF370" s="40"/>
      <c r="BG370" s="40"/>
      <c r="BH370" s="40"/>
      <c r="BI370" s="40"/>
      <c r="BJ370" s="40"/>
      <c r="BK370" s="40"/>
      <c r="BL370" s="40"/>
      <c r="BM370" s="40"/>
      <c r="BN370" s="40"/>
      <c r="BO370" s="40"/>
      <c r="BP370" s="40"/>
      <c r="BQ370" s="40"/>
      <c r="BR370" s="40"/>
      <c r="BS370" s="40"/>
      <c r="BT370" s="40"/>
      <c r="BU370" s="40"/>
      <c r="BV370" s="40"/>
      <c r="BW370" s="40"/>
      <c r="BX370" s="40"/>
      <c r="BY370" s="40"/>
      <c r="BZ370" s="40"/>
      <c r="CA370" s="40"/>
      <c r="CB370" s="40"/>
      <c r="CC370" s="40"/>
      <c r="CD370" s="40"/>
      <c r="CE370" s="40"/>
      <c r="CF370" s="40"/>
      <c r="CG370" s="40"/>
      <c r="CH370" s="40"/>
      <c r="CI370" s="40"/>
      <c r="CJ370" s="40"/>
      <c r="CK370" s="40"/>
      <c r="CL370" s="40"/>
    </row>
    <row r="371" spans="1:90" x14ac:dyDescent="0.25">
      <c r="A371" s="40"/>
      <c r="B371" s="40"/>
      <c r="C371" s="40"/>
      <c r="D371" s="40"/>
      <c r="E371" s="40"/>
      <c r="F371" s="40"/>
      <c r="G371" s="40"/>
      <c r="H371" s="40"/>
      <c r="I371" s="40"/>
      <c r="J371" s="40"/>
      <c r="K371" s="40"/>
      <c r="L371" s="40"/>
      <c r="M371" s="40"/>
      <c r="N371" s="40"/>
      <c r="O371" s="40"/>
      <c r="P371" s="40"/>
      <c r="Q371" s="40"/>
      <c r="R371" s="40"/>
      <c r="S371" s="40"/>
      <c r="T371" s="40"/>
      <c r="U371" s="40"/>
      <c r="V371" s="40"/>
      <c r="W371" s="40"/>
      <c r="X371" s="40"/>
      <c r="Y371" s="40"/>
      <c r="Z371" s="40"/>
      <c r="AA371" s="40"/>
      <c r="AB371" s="40"/>
      <c r="AC371" s="40"/>
      <c r="AD371" s="40"/>
      <c r="AE371" s="40"/>
      <c r="AF371" s="40"/>
      <c r="AG371" s="40"/>
      <c r="AH371" s="40"/>
      <c r="AI371" s="40"/>
      <c r="AJ371" s="40"/>
      <c r="AK371" s="40"/>
      <c r="AL371" s="40"/>
      <c r="AM371" s="40"/>
      <c r="AN371" s="40"/>
      <c r="AO371" s="40"/>
      <c r="AP371" s="40"/>
      <c r="AQ371" s="40"/>
      <c r="AR371" s="40"/>
      <c r="AS371" s="40"/>
      <c r="AT371" s="40"/>
      <c r="AU371" s="40"/>
      <c r="AV371" s="40"/>
      <c r="AW371" s="40"/>
      <c r="AX371" s="40"/>
      <c r="AY371" s="40"/>
      <c r="AZ371" s="40"/>
      <c r="BA371" s="40"/>
      <c r="BB371" s="40"/>
      <c r="BC371" s="40"/>
      <c r="BD371" s="40"/>
      <c r="BE371" s="40"/>
      <c r="BF371" s="40"/>
      <c r="BG371" s="40"/>
      <c r="BH371" s="40"/>
      <c r="BI371" s="40"/>
      <c r="BJ371" s="40"/>
      <c r="BK371" s="40"/>
      <c r="BL371" s="40"/>
      <c r="BM371" s="40"/>
      <c r="BN371" s="40"/>
      <c r="BO371" s="40"/>
      <c r="BP371" s="40"/>
      <c r="BQ371" s="40"/>
      <c r="BR371" s="40"/>
      <c r="BS371" s="40"/>
      <c r="BT371" s="40"/>
      <c r="BU371" s="40"/>
      <c r="BV371" s="40"/>
      <c r="BW371" s="40"/>
      <c r="BX371" s="40"/>
      <c r="BY371" s="40"/>
      <c r="BZ371" s="40"/>
      <c r="CA371" s="40"/>
      <c r="CB371" s="40"/>
      <c r="CC371" s="40"/>
      <c r="CD371" s="40"/>
      <c r="CE371" s="40"/>
      <c r="CF371" s="40"/>
      <c r="CG371" s="40"/>
      <c r="CH371" s="40"/>
      <c r="CI371" s="40"/>
      <c r="CJ371" s="40"/>
      <c r="CK371" s="40"/>
      <c r="CL371" s="40"/>
    </row>
    <row r="372" spans="1:90" x14ac:dyDescent="0.25">
      <c r="A372" s="40"/>
      <c r="B372" s="40"/>
      <c r="C372" s="40"/>
      <c r="D372" s="40"/>
      <c r="E372" s="40"/>
      <c r="F372" s="40"/>
      <c r="G372" s="40"/>
      <c r="H372" s="40"/>
      <c r="I372" s="40"/>
      <c r="J372" s="40"/>
      <c r="K372" s="40"/>
      <c r="L372" s="40"/>
      <c r="M372" s="40"/>
      <c r="N372" s="40"/>
      <c r="O372" s="40"/>
      <c r="P372" s="40"/>
      <c r="Q372" s="40"/>
      <c r="R372" s="40"/>
      <c r="S372" s="40"/>
      <c r="T372" s="40"/>
      <c r="U372" s="40"/>
      <c r="V372" s="40"/>
      <c r="W372" s="40"/>
      <c r="X372" s="40"/>
      <c r="Y372" s="40"/>
      <c r="Z372" s="40"/>
      <c r="AA372" s="40"/>
      <c r="AB372" s="40"/>
      <c r="AC372" s="40"/>
      <c r="AD372" s="40"/>
      <c r="AE372" s="40"/>
      <c r="AF372" s="40"/>
      <c r="AG372" s="40"/>
      <c r="AH372" s="40"/>
      <c r="AI372" s="40"/>
      <c r="AJ372" s="40"/>
      <c r="AK372" s="40"/>
      <c r="AL372" s="40"/>
      <c r="AM372" s="40"/>
      <c r="AN372" s="40"/>
      <c r="AO372" s="40"/>
      <c r="AP372" s="40"/>
      <c r="AQ372" s="40"/>
      <c r="AR372" s="40"/>
      <c r="AS372" s="40"/>
      <c r="AT372" s="40"/>
      <c r="AU372" s="40"/>
      <c r="AV372" s="40"/>
      <c r="AW372" s="40"/>
      <c r="AX372" s="40"/>
      <c r="AY372" s="40"/>
      <c r="AZ372" s="40"/>
      <c r="BA372" s="40"/>
      <c r="BB372" s="40"/>
      <c r="BC372" s="40"/>
      <c r="BD372" s="40"/>
      <c r="BE372" s="40"/>
      <c r="BF372" s="40"/>
      <c r="BG372" s="40"/>
      <c r="BH372" s="40"/>
      <c r="BI372" s="40"/>
      <c r="BJ372" s="40"/>
      <c r="BK372" s="40"/>
      <c r="BL372" s="40"/>
      <c r="BM372" s="40"/>
      <c r="BN372" s="40"/>
      <c r="BO372" s="40"/>
      <c r="BP372" s="40"/>
      <c r="BQ372" s="40"/>
      <c r="BR372" s="40"/>
      <c r="BS372" s="40"/>
      <c r="BT372" s="40"/>
      <c r="BU372" s="40"/>
      <c r="BV372" s="40"/>
      <c r="BW372" s="40"/>
      <c r="BX372" s="40"/>
      <c r="BY372" s="40"/>
      <c r="BZ372" s="40"/>
      <c r="CA372" s="40"/>
      <c r="CB372" s="40"/>
      <c r="CC372" s="40"/>
      <c r="CD372" s="40"/>
      <c r="CE372" s="40"/>
      <c r="CF372" s="40"/>
      <c r="CG372" s="40"/>
      <c r="CH372" s="40"/>
      <c r="CI372" s="40"/>
      <c r="CJ372" s="40"/>
      <c r="CK372" s="40"/>
      <c r="CL372" s="40"/>
    </row>
    <row r="373" spans="1:90" x14ac:dyDescent="0.25">
      <c r="A373" s="40"/>
      <c r="B373" s="40"/>
      <c r="C373" s="40"/>
      <c r="D373" s="40"/>
      <c r="E373" s="40"/>
      <c r="F373" s="40"/>
      <c r="G373" s="40"/>
      <c r="H373" s="40"/>
      <c r="I373" s="40"/>
      <c r="J373" s="40"/>
      <c r="K373" s="40"/>
      <c r="L373" s="40"/>
      <c r="M373" s="40"/>
      <c r="N373" s="40"/>
      <c r="O373" s="40"/>
      <c r="P373" s="40"/>
      <c r="Q373" s="40"/>
      <c r="R373" s="40"/>
      <c r="S373" s="40"/>
      <c r="T373" s="40"/>
      <c r="U373" s="40"/>
      <c r="V373" s="40"/>
      <c r="W373" s="40"/>
      <c r="X373" s="40"/>
      <c r="Y373" s="40"/>
      <c r="Z373" s="40"/>
      <c r="AA373" s="40"/>
      <c r="AB373" s="40"/>
      <c r="AC373" s="40"/>
      <c r="AD373" s="40"/>
      <c r="AE373" s="40"/>
      <c r="AF373" s="40"/>
      <c r="AG373" s="40"/>
      <c r="AH373" s="40"/>
      <c r="AI373" s="40"/>
      <c r="AJ373" s="40"/>
      <c r="AK373" s="40"/>
      <c r="AL373" s="40"/>
      <c r="AM373" s="40"/>
      <c r="AN373" s="40"/>
      <c r="AO373" s="40"/>
      <c r="AP373" s="40"/>
      <c r="AQ373" s="40"/>
      <c r="AR373" s="40"/>
      <c r="AS373" s="40"/>
      <c r="AT373" s="40"/>
      <c r="AU373" s="40"/>
      <c r="AV373" s="40"/>
      <c r="AW373" s="40"/>
      <c r="AX373" s="40"/>
      <c r="AY373" s="40"/>
      <c r="AZ373" s="40"/>
      <c r="BA373" s="40"/>
      <c r="BB373" s="40"/>
      <c r="BC373" s="40"/>
      <c r="BD373" s="40"/>
      <c r="BE373" s="40"/>
      <c r="BF373" s="40"/>
      <c r="BG373" s="40"/>
      <c r="BH373" s="40"/>
      <c r="BI373" s="40"/>
      <c r="BJ373" s="40"/>
      <c r="BK373" s="40"/>
      <c r="BL373" s="40"/>
      <c r="BM373" s="40"/>
      <c r="BN373" s="40"/>
      <c r="BO373" s="40"/>
      <c r="BP373" s="40"/>
      <c r="BQ373" s="40"/>
      <c r="BR373" s="40"/>
      <c r="BS373" s="40"/>
      <c r="BT373" s="40"/>
      <c r="BU373" s="40"/>
      <c r="BV373" s="40"/>
      <c r="BW373" s="40"/>
      <c r="BX373" s="40"/>
      <c r="BY373" s="40"/>
      <c r="BZ373" s="40"/>
      <c r="CA373" s="40"/>
      <c r="CB373" s="40"/>
      <c r="CC373" s="40"/>
      <c r="CD373" s="40"/>
      <c r="CE373" s="40"/>
      <c r="CF373" s="40"/>
      <c r="CG373" s="40"/>
      <c r="CH373" s="40"/>
      <c r="CI373" s="40"/>
      <c r="CJ373" s="40"/>
      <c r="CK373" s="40"/>
      <c r="CL373" s="40"/>
    </row>
    <row r="374" spans="1:90" x14ac:dyDescent="0.25">
      <c r="A374" s="40"/>
      <c r="B374" s="40"/>
      <c r="C374" s="40"/>
      <c r="D374" s="40"/>
      <c r="E374" s="40"/>
      <c r="F374" s="40"/>
      <c r="G374" s="40"/>
      <c r="H374" s="40"/>
      <c r="I374" s="40"/>
      <c r="J374" s="40"/>
      <c r="K374" s="40"/>
      <c r="L374" s="40"/>
      <c r="M374" s="40"/>
      <c r="N374" s="40"/>
      <c r="O374" s="40"/>
      <c r="P374" s="40"/>
      <c r="Q374" s="40"/>
      <c r="R374" s="40"/>
      <c r="S374" s="40"/>
      <c r="T374" s="40"/>
      <c r="U374" s="40"/>
      <c r="V374" s="40"/>
      <c r="W374" s="40"/>
      <c r="X374" s="40"/>
      <c r="Y374" s="40"/>
      <c r="Z374" s="40"/>
      <c r="AA374" s="40"/>
      <c r="AB374" s="40"/>
      <c r="AC374" s="40"/>
      <c r="AD374" s="40"/>
      <c r="AE374" s="40"/>
      <c r="AF374" s="40"/>
      <c r="AG374" s="40"/>
      <c r="AH374" s="40"/>
      <c r="AI374" s="40"/>
      <c r="AJ374" s="40"/>
      <c r="AK374" s="40"/>
      <c r="AL374" s="40"/>
      <c r="AM374" s="40"/>
      <c r="AN374" s="40"/>
      <c r="AO374" s="40"/>
      <c r="AP374" s="40"/>
      <c r="AQ374" s="40"/>
      <c r="AR374" s="40"/>
      <c r="AS374" s="40"/>
      <c r="AT374" s="40"/>
      <c r="AU374" s="40"/>
      <c r="AV374" s="40"/>
      <c r="AW374" s="40"/>
      <c r="AX374" s="40"/>
      <c r="AY374" s="40"/>
      <c r="AZ374" s="40"/>
      <c r="BA374" s="40"/>
      <c r="BB374" s="40"/>
      <c r="BC374" s="40"/>
      <c r="BD374" s="40"/>
      <c r="BE374" s="40"/>
      <c r="BF374" s="40"/>
      <c r="BG374" s="40"/>
      <c r="BH374" s="40"/>
      <c r="BI374" s="40"/>
      <c r="BJ374" s="40"/>
      <c r="BK374" s="40"/>
      <c r="BL374" s="40"/>
      <c r="BM374" s="40"/>
      <c r="BN374" s="40"/>
      <c r="BO374" s="40"/>
      <c r="BP374" s="40"/>
      <c r="BQ374" s="40"/>
      <c r="BR374" s="40"/>
      <c r="BS374" s="40"/>
      <c r="BT374" s="40"/>
      <c r="BU374" s="40"/>
      <c r="BV374" s="40"/>
      <c r="BW374" s="40"/>
      <c r="BX374" s="40"/>
      <c r="BY374" s="40"/>
      <c r="BZ374" s="40"/>
      <c r="CA374" s="40"/>
      <c r="CB374" s="40"/>
      <c r="CC374" s="40"/>
      <c r="CD374" s="40"/>
      <c r="CE374" s="40"/>
      <c r="CF374" s="40"/>
      <c r="CG374" s="40"/>
      <c r="CH374" s="40"/>
      <c r="CI374" s="40"/>
      <c r="CJ374" s="40"/>
      <c r="CK374" s="40"/>
      <c r="CL374" s="40"/>
    </row>
    <row r="375" spans="1:90" x14ac:dyDescent="0.25">
      <c r="A375" s="40"/>
      <c r="B375" s="40"/>
      <c r="C375" s="40"/>
      <c r="D375" s="40"/>
      <c r="E375" s="40"/>
      <c r="F375" s="40"/>
      <c r="G375" s="40"/>
      <c r="H375" s="40"/>
      <c r="I375" s="40"/>
      <c r="J375" s="40"/>
      <c r="K375" s="40"/>
      <c r="L375" s="40"/>
      <c r="M375" s="40"/>
      <c r="N375" s="40"/>
      <c r="O375" s="40"/>
      <c r="P375" s="40"/>
      <c r="Q375" s="40"/>
      <c r="R375" s="40"/>
      <c r="S375" s="40"/>
      <c r="T375" s="40"/>
      <c r="U375" s="40"/>
      <c r="V375" s="40"/>
      <c r="W375" s="40"/>
      <c r="X375" s="40"/>
      <c r="Y375" s="40"/>
      <c r="Z375" s="40"/>
      <c r="AA375" s="40"/>
      <c r="AB375" s="40"/>
      <c r="AC375" s="40"/>
      <c r="AD375" s="40"/>
      <c r="AE375" s="40"/>
      <c r="AF375" s="40"/>
      <c r="AG375" s="40"/>
      <c r="AH375" s="40"/>
      <c r="AI375" s="40"/>
      <c r="AJ375" s="40"/>
      <c r="AK375" s="40"/>
      <c r="AL375" s="40"/>
      <c r="AM375" s="40"/>
      <c r="AN375" s="40"/>
      <c r="AO375" s="40"/>
      <c r="AP375" s="40"/>
      <c r="AQ375" s="40"/>
      <c r="AR375" s="40"/>
      <c r="AS375" s="40"/>
      <c r="AT375" s="40"/>
      <c r="AU375" s="40"/>
      <c r="AV375" s="40"/>
      <c r="AW375" s="40"/>
      <c r="AX375" s="40"/>
      <c r="AY375" s="40"/>
      <c r="AZ375" s="40"/>
      <c r="BA375" s="40"/>
      <c r="BB375" s="40"/>
      <c r="BC375" s="40"/>
      <c r="BD375" s="40"/>
      <c r="BE375" s="40"/>
      <c r="BF375" s="40"/>
      <c r="BG375" s="40"/>
      <c r="BH375" s="40"/>
      <c r="BI375" s="40"/>
      <c r="BJ375" s="40"/>
      <c r="BK375" s="40"/>
      <c r="BL375" s="40"/>
      <c r="BM375" s="40"/>
      <c r="BN375" s="40"/>
      <c r="BO375" s="40"/>
      <c r="BP375" s="40"/>
      <c r="BQ375" s="40"/>
      <c r="BR375" s="40"/>
      <c r="BS375" s="40"/>
      <c r="BT375" s="40"/>
      <c r="BU375" s="40"/>
      <c r="BV375" s="40"/>
      <c r="BW375" s="40"/>
      <c r="BX375" s="40"/>
      <c r="BY375" s="40"/>
      <c r="BZ375" s="40"/>
      <c r="CA375" s="40"/>
      <c r="CB375" s="40"/>
      <c r="CC375" s="40"/>
      <c r="CD375" s="40"/>
      <c r="CE375" s="40"/>
      <c r="CF375" s="40"/>
      <c r="CG375" s="40"/>
      <c r="CH375" s="40"/>
      <c r="CI375" s="40"/>
      <c r="CJ375" s="40"/>
      <c r="CK375" s="40"/>
      <c r="CL375" s="40"/>
    </row>
    <row r="376" spans="1:90" x14ac:dyDescent="0.25">
      <c r="A376" s="40"/>
      <c r="B376" s="40"/>
      <c r="C376" s="40"/>
      <c r="D376" s="40"/>
      <c r="E376" s="40"/>
      <c r="F376" s="40"/>
      <c r="G376" s="40"/>
      <c r="H376" s="40"/>
      <c r="I376" s="40"/>
      <c r="J376" s="40"/>
      <c r="K376" s="40"/>
      <c r="L376" s="40"/>
      <c r="M376" s="40"/>
      <c r="N376" s="40"/>
      <c r="O376" s="40"/>
      <c r="P376" s="40"/>
      <c r="Q376" s="40"/>
      <c r="R376" s="40"/>
      <c r="S376" s="40"/>
      <c r="T376" s="40"/>
      <c r="U376" s="40"/>
      <c r="V376" s="40"/>
      <c r="W376" s="40"/>
      <c r="X376" s="40"/>
      <c r="Y376" s="40"/>
      <c r="Z376" s="40"/>
      <c r="AA376" s="40"/>
      <c r="AB376" s="40"/>
      <c r="AC376" s="40"/>
      <c r="AD376" s="40"/>
      <c r="AE376" s="40"/>
      <c r="AF376" s="40"/>
      <c r="AG376" s="40"/>
      <c r="AH376" s="40"/>
      <c r="AI376" s="40"/>
      <c r="AJ376" s="40"/>
      <c r="AK376" s="40"/>
      <c r="AL376" s="40"/>
      <c r="AM376" s="40"/>
      <c r="AN376" s="40"/>
      <c r="AO376" s="40"/>
      <c r="AP376" s="40"/>
      <c r="AQ376" s="40"/>
      <c r="AR376" s="40"/>
      <c r="AS376" s="40"/>
      <c r="AT376" s="40"/>
      <c r="AU376" s="40"/>
      <c r="AV376" s="40"/>
      <c r="AW376" s="40"/>
      <c r="AX376" s="40"/>
      <c r="AY376" s="40"/>
      <c r="AZ376" s="40"/>
      <c r="BA376" s="40"/>
      <c r="BB376" s="40"/>
      <c r="BC376" s="40"/>
      <c r="BD376" s="40"/>
      <c r="BE376" s="40"/>
      <c r="BF376" s="40"/>
      <c r="BG376" s="40"/>
      <c r="BH376" s="40"/>
      <c r="BI376" s="40"/>
      <c r="BJ376" s="40"/>
      <c r="BK376" s="40"/>
      <c r="BL376" s="40"/>
      <c r="BM376" s="40"/>
      <c r="BN376" s="40"/>
      <c r="BO376" s="40"/>
      <c r="BP376" s="40"/>
      <c r="BQ376" s="40"/>
      <c r="BR376" s="40"/>
      <c r="BS376" s="40"/>
      <c r="BT376" s="40"/>
      <c r="BU376" s="40"/>
      <c r="BV376" s="40"/>
      <c r="BW376" s="40"/>
      <c r="BX376" s="40"/>
      <c r="BY376" s="40"/>
      <c r="BZ376" s="40"/>
      <c r="CA376" s="40"/>
      <c r="CB376" s="40"/>
      <c r="CC376" s="40"/>
      <c r="CD376" s="40"/>
      <c r="CE376" s="40"/>
      <c r="CF376" s="40"/>
      <c r="CG376" s="40"/>
      <c r="CH376" s="40"/>
      <c r="CI376" s="40"/>
      <c r="CJ376" s="40"/>
      <c r="CK376" s="40"/>
      <c r="CL376" s="40"/>
    </row>
    <row r="377" spans="1:90" x14ac:dyDescent="0.25">
      <c r="A377" s="40"/>
      <c r="B377" s="40"/>
      <c r="C377" s="40"/>
      <c r="D377" s="40"/>
      <c r="E377" s="40"/>
      <c r="F377" s="40"/>
      <c r="G377" s="40"/>
      <c r="H377" s="40"/>
      <c r="I377" s="40"/>
      <c r="J377" s="40"/>
      <c r="K377" s="40"/>
      <c r="L377" s="40"/>
      <c r="M377" s="40"/>
      <c r="N377" s="40"/>
      <c r="O377" s="40"/>
      <c r="P377" s="40"/>
      <c r="Q377" s="40"/>
      <c r="R377" s="40"/>
      <c r="S377" s="40"/>
      <c r="T377" s="40"/>
      <c r="U377" s="40"/>
      <c r="V377" s="40"/>
      <c r="W377" s="40"/>
      <c r="X377" s="40"/>
      <c r="Y377" s="40"/>
      <c r="Z377" s="40"/>
      <c r="AA377" s="40"/>
      <c r="AB377" s="40"/>
      <c r="AC377" s="40"/>
      <c r="AD377" s="40"/>
      <c r="AE377" s="40"/>
      <c r="AF377" s="40"/>
      <c r="AG377" s="40"/>
      <c r="AH377" s="40"/>
      <c r="AI377" s="40"/>
      <c r="AJ377" s="40"/>
      <c r="AK377" s="40"/>
      <c r="AL377" s="40"/>
      <c r="AM377" s="40"/>
      <c r="AN377" s="40"/>
      <c r="AO377" s="40"/>
      <c r="AP377" s="40"/>
      <c r="AQ377" s="40"/>
      <c r="AR377" s="40"/>
      <c r="AS377" s="40"/>
      <c r="AT377" s="40"/>
      <c r="AU377" s="40"/>
      <c r="AV377" s="40"/>
      <c r="AW377" s="40"/>
      <c r="AX377" s="40"/>
      <c r="AY377" s="40"/>
      <c r="AZ377" s="40"/>
      <c r="BA377" s="40"/>
      <c r="BB377" s="40"/>
      <c r="BC377" s="40"/>
      <c r="BD377" s="40"/>
      <c r="BE377" s="40"/>
      <c r="BF377" s="40"/>
      <c r="BG377" s="40"/>
      <c r="BH377" s="40"/>
      <c r="BI377" s="40"/>
      <c r="BJ377" s="40"/>
      <c r="BK377" s="40"/>
      <c r="BL377" s="40"/>
      <c r="BM377" s="40"/>
      <c r="BN377" s="40"/>
      <c r="BO377" s="40"/>
      <c r="BP377" s="40"/>
      <c r="BQ377" s="40"/>
      <c r="BR377" s="40"/>
      <c r="BS377" s="40"/>
      <c r="BT377" s="40"/>
      <c r="BU377" s="40"/>
      <c r="BV377" s="40"/>
      <c r="BW377" s="40"/>
      <c r="BX377" s="40"/>
      <c r="BY377" s="40"/>
      <c r="BZ377" s="40"/>
      <c r="CA377" s="40"/>
      <c r="CB377" s="40"/>
      <c r="CC377" s="40"/>
      <c r="CD377" s="40"/>
      <c r="CE377" s="40"/>
      <c r="CF377" s="40"/>
      <c r="CG377" s="40"/>
      <c r="CH377" s="40"/>
      <c r="CI377" s="40"/>
      <c r="CJ377" s="40"/>
      <c r="CK377" s="40"/>
      <c r="CL377" s="40"/>
    </row>
    <row r="378" spans="1:90" x14ac:dyDescent="0.25">
      <c r="A378" s="40"/>
      <c r="B378" s="40"/>
      <c r="C378" s="40"/>
      <c r="D378" s="40"/>
      <c r="E378" s="40"/>
      <c r="F378" s="40"/>
      <c r="G378" s="40"/>
      <c r="H378" s="40"/>
      <c r="I378" s="40"/>
      <c r="J378" s="40"/>
      <c r="K378" s="40"/>
      <c r="L378" s="40"/>
      <c r="M378" s="40"/>
      <c r="N378" s="40"/>
      <c r="O378" s="40"/>
      <c r="P378" s="40"/>
      <c r="Q378" s="40"/>
      <c r="R378" s="40"/>
      <c r="S378" s="40"/>
      <c r="T378" s="40"/>
      <c r="U378" s="40"/>
      <c r="V378" s="40"/>
      <c r="W378" s="40"/>
      <c r="X378" s="40"/>
      <c r="Y378" s="40"/>
      <c r="Z378" s="40"/>
      <c r="AA378" s="40"/>
      <c r="AB378" s="40"/>
      <c r="AC378" s="40"/>
      <c r="AD378" s="40"/>
      <c r="AE378" s="40"/>
      <c r="AF378" s="40"/>
      <c r="AG378" s="40"/>
      <c r="AH378" s="40"/>
      <c r="AI378" s="40"/>
      <c r="AJ378" s="40"/>
      <c r="AK378" s="40"/>
      <c r="AL378" s="40"/>
      <c r="AM378" s="40"/>
      <c r="AN378" s="40"/>
      <c r="AO378" s="40"/>
      <c r="AP378" s="40"/>
      <c r="AQ378" s="40"/>
      <c r="AR378" s="40"/>
      <c r="AS378" s="40"/>
      <c r="AT378" s="40"/>
      <c r="AU378" s="40"/>
      <c r="AV378" s="40"/>
      <c r="AW378" s="40"/>
      <c r="AX378" s="40"/>
      <c r="AY378" s="40"/>
      <c r="AZ378" s="40"/>
      <c r="BA378" s="40"/>
      <c r="BB378" s="40"/>
      <c r="BC378" s="40"/>
      <c r="BD378" s="40"/>
      <c r="BE378" s="40"/>
      <c r="BF378" s="40"/>
      <c r="BG378" s="40"/>
      <c r="BH378" s="40"/>
      <c r="BI378" s="40"/>
      <c r="BJ378" s="40"/>
      <c r="BK378" s="40"/>
      <c r="BL378" s="40"/>
      <c r="BM378" s="40"/>
      <c r="BN378" s="40"/>
      <c r="BO378" s="40"/>
      <c r="BP378" s="40"/>
      <c r="BQ378" s="40"/>
      <c r="BR378" s="40"/>
      <c r="BS378" s="40"/>
      <c r="BT378" s="40"/>
      <c r="BU378" s="40"/>
      <c r="BV378" s="40"/>
      <c r="BW378" s="40"/>
      <c r="BX378" s="40"/>
      <c r="BY378" s="40"/>
      <c r="BZ378" s="40"/>
      <c r="CA378" s="40"/>
      <c r="CB378" s="40"/>
      <c r="CC378" s="40"/>
      <c r="CD378" s="40"/>
      <c r="CE378" s="40"/>
      <c r="CF378" s="40"/>
      <c r="CG378" s="40"/>
      <c r="CH378" s="40"/>
      <c r="CI378" s="40"/>
      <c r="CJ378" s="40"/>
      <c r="CK378" s="40"/>
      <c r="CL378" s="40"/>
    </row>
    <row r="379" spans="1:90" x14ac:dyDescent="0.25">
      <c r="A379" s="40"/>
      <c r="B379" s="40"/>
      <c r="C379" s="40"/>
      <c r="D379" s="40"/>
      <c r="E379" s="40"/>
      <c r="F379" s="40"/>
      <c r="G379" s="40"/>
      <c r="H379" s="40"/>
      <c r="I379" s="40"/>
      <c r="J379" s="40"/>
      <c r="K379" s="40"/>
      <c r="L379" s="40"/>
      <c r="M379" s="40"/>
      <c r="N379" s="40"/>
      <c r="O379" s="40"/>
      <c r="P379" s="40"/>
      <c r="Q379" s="40"/>
      <c r="R379" s="40"/>
      <c r="S379" s="40"/>
      <c r="T379" s="40"/>
      <c r="U379" s="40"/>
      <c r="V379" s="40"/>
      <c r="W379" s="40"/>
      <c r="X379" s="40"/>
      <c r="Y379" s="40"/>
      <c r="Z379" s="40"/>
      <c r="AA379" s="40"/>
      <c r="AB379" s="40"/>
      <c r="AC379" s="40"/>
      <c r="AD379" s="40"/>
      <c r="AE379" s="40"/>
      <c r="AF379" s="40"/>
      <c r="AG379" s="40"/>
      <c r="AH379" s="40"/>
      <c r="AI379" s="40"/>
      <c r="AJ379" s="40"/>
      <c r="AK379" s="40"/>
      <c r="AL379" s="40"/>
      <c r="AM379" s="40"/>
      <c r="AN379" s="40"/>
      <c r="AO379" s="40"/>
      <c r="AP379" s="40"/>
      <c r="AQ379" s="40"/>
      <c r="AR379" s="40"/>
      <c r="AS379" s="40"/>
      <c r="AT379" s="40"/>
      <c r="AU379" s="40"/>
      <c r="AV379" s="40"/>
      <c r="AW379" s="40"/>
      <c r="AX379" s="40"/>
      <c r="AY379" s="40"/>
      <c r="AZ379" s="40"/>
      <c r="BA379" s="40"/>
      <c r="BB379" s="40"/>
      <c r="BC379" s="40"/>
      <c r="BD379" s="40"/>
      <c r="BE379" s="40"/>
      <c r="BF379" s="40"/>
      <c r="BG379" s="40"/>
      <c r="BH379" s="40"/>
      <c r="BI379" s="40"/>
      <c r="BJ379" s="40"/>
      <c r="BK379" s="40"/>
      <c r="BL379" s="40"/>
      <c r="BM379" s="40"/>
      <c r="BN379" s="40"/>
      <c r="BO379" s="40"/>
      <c r="BP379" s="40"/>
      <c r="BQ379" s="40"/>
      <c r="BR379" s="40"/>
      <c r="BS379" s="40"/>
      <c r="BT379" s="40"/>
      <c r="BU379" s="40"/>
      <c r="BV379" s="40"/>
      <c r="BW379" s="40"/>
      <c r="BX379" s="40"/>
      <c r="BY379" s="40"/>
      <c r="BZ379" s="40"/>
      <c r="CA379" s="40"/>
      <c r="CB379" s="40"/>
      <c r="CC379" s="40"/>
      <c r="CD379" s="40"/>
      <c r="CE379" s="40"/>
      <c r="CF379" s="40"/>
      <c r="CG379" s="40"/>
      <c r="CH379" s="40"/>
      <c r="CI379" s="40"/>
      <c r="CJ379" s="40"/>
      <c r="CK379" s="40"/>
      <c r="CL379" s="40"/>
    </row>
    <row r="380" spans="1:90" x14ac:dyDescent="0.25">
      <c r="A380" s="40"/>
      <c r="B380" s="40"/>
      <c r="C380" s="40"/>
      <c r="D380" s="40"/>
      <c r="E380" s="40"/>
      <c r="F380" s="40"/>
      <c r="G380" s="40"/>
      <c r="H380" s="40"/>
      <c r="I380" s="40"/>
      <c r="J380" s="40"/>
      <c r="K380" s="40"/>
      <c r="L380" s="40"/>
      <c r="M380" s="40"/>
      <c r="N380" s="40"/>
      <c r="O380" s="40"/>
      <c r="P380" s="40"/>
      <c r="Q380" s="40"/>
      <c r="R380" s="40"/>
      <c r="S380" s="40"/>
      <c r="T380" s="40"/>
      <c r="U380" s="40"/>
      <c r="V380" s="40"/>
      <c r="W380" s="40"/>
      <c r="X380" s="40"/>
      <c r="Y380" s="40"/>
      <c r="Z380" s="40"/>
      <c r="AA380" s="40"/>
      <c r="AB380" s="40"/>
      <c r="AC380" s="40"/>
      <c r="AD380" s="40"/>
      <c r="AE380" s="40"/>
      <c r="AF380" s="40"/>
      <c r="AG380" s="40"/>
      <c r="AH380" s="40"/>
      <c r="AI380" s="40"/>
      <c r="AJ380" s="40"/>
      <c r="AK380" s="40"/>
      <c r="AL380" s="40"/>
      <c r="AM380" s="40"/>
      <c r="AN380" s="40"/>
      <c r="AO380" s="40"/>
      <c r="AP380" s="40"/>
      <c r="AQ380" s="40"/>
      <c r="AR380" s="40"/>
      <c r="AS380" s="40"/>
      <c r="AT380" s="40"/>
      <c r="AU380" s="40"/>
      <c r="AV380" s="40"/>
      <c r="AW380" s="40"/>
      <c r="AX380" s="40"/>
      <c r="AY380" s="40"/>
      <c r="AZ380" s="40"/>
      <c r="BA380" s="40"/>
      <c r="BB380" s="40"/>
      <c r="BC380" s="40"/>
      <c r="BD380" s="40"/>
      <c r="BE380" s="40"/>
      <c r="BF380" s="40"/>
      <c r="BG380" s="40"/>
      <c r="BH380" s="40"/>
      <c r="BI380" s="40"/>
      <c r="BJ380" s="40"/>
      <c r="BK380" s="40"/>
      <c r="BL380" s="40"/>
      <c r="BM380" s="40"/>
      <c r="BN380" s="40"/>
      <c r="BO380" s="40"/>
      <c r="BP380" s="40"/>
      <c r="BQ380" s="40"/>
      <c r="BR380" s="40"/>
      <c r="BS380" s="40"/>
      <c r="BT380" s="40"/>
      <c r="BU380" s="40"/>
      <c r="BV380" s="40"/>
      <c r="BW380" s="40"/>
      <c r="BX380" s="40"/>
      <c r="BY380" s="40"/>
      <c r="BZ380" s="40"/>
      <c r="CA380" s="40"/>
      <c r="CB380" s="40"/>
      <c r="CC380" s="40"/>
      <c r="CD380" s="40"/>
      <c r="CE380" s="40"/>
      <c r="CF380" s="40"/>
      <c r="CG380" s="40"/>
      <c r="CH380" s="40"/>
      <c r="CI380" s="40"/>
      <c r="CJ380" s="40"/>
      <c r="CK380" s="40"/>
      <c r="CL380" s="40"/>
    </row>
    <row r="381" spans="1:90" x14ac:dyDescent="0.25">
      <c r="A381" s="40"/>
      <c r="B381" s="40"/>
      <c r="C381" s="40"/>
      <c r="D381" s="40"/>
      <c r="E381" s="40"/>
      <c r="F381" s="40"/>
      <c r="G381" s="40"/>
      <c r="H381" s="40"/>
      <c r="I381" s="40"/>
      <c r="J381" s="40"/>
      <c r="K381" s="40"/>
      <c r="L381" s="40"/>
      <c r="M381" s="40"/>
      <c r="N381" s="40"/>
      <c r="O381" s="40"/>
      <c r="P381" s="40"/>
      <c r="Q381" s="40"/>
      <c r="R381" s="40"/>
      <c r="S381" s="40"/>
      <c r="T381" s="40"/>
      <c r="U381" s="40"/>
      <c r="V381" s="40"/>
      <c r="W381" s="40"/>
      <c r="X381" s="40"/>
      <c r="Y381" s="40"/>
      <c r="Z381" s="40"/>
      <c r="AA381" s="40"/>
      <c r="AB381" s="40"/>
      <c r="AC381" s="40"/>
      <c r="AD381" s="40"/>
      <c r="AE381" s="40"/>
      <c r="AF381" s="40"/>
      <c r="AG381" s="40"/>
      <c r="AH381" s="40"/>
      <c r="AI381" s="40"/>
      <c r="AJ381" s="40"/>
      <c r="AK381" s="40"/>
      <c r="AL381" s="40"/>
      <c r="AM381" s="40"/>
      <c r="AN381" s="40"/>
      <c r="AO381" s="40"/>
      <c r="AP381" s="40"/>
      <c r="AQ381" s="40"/>
      <c r="AR381" s="40"/>
      <c r="AS381" s="40"/>
      <c r="AT381" s="40"/>
      <c r="AU381" s="40"/>
      <c r="AV381" s="40"/>
      <c r="AW381" s="40"/>
      <c r="AX381" s="40"/>
      <c r="AY381" s="40"/>
      <c r="AZ381" s="40"/>
      <c r="BA381" s="40"/>
      <c r="BB381" s="40"/>
      <c r="BC381" s="40"/>
      <c r="BD381" s="40"/>
      <c r="BE381" s="40"/>
      <c r="BF381" s="40"/>
      <c r="BG381" s="40"/>
      <c r="BH381" s="40"/>
      <c r="BI381" s="40"/>
      <c r="BJ381" s="40"/>
      <c r="BK381" s="40"/>
      <c r="BL381" s="40"/>
      <c r="BM381" s="40"/>
      <c r="BN381" s="40"/>
      <c r="BO381" s="40"/>
      <c r="BP381" s="40"/>
      <c r="BQ381" s="40"/>
      <c r="BR381" s="40"/>
      <c r="BS381" s="40"/>
      <c r="BT381" s="40"/>
      <c r="BU381" s="40"/>
      <c r="BV381" s="40"/>
      <c r="BW381" s="40"/>
      <c r="BX381" s="40"/>
      <c r="BY381" s="40"/>
      <c r="BZ381" s="40"/>
      <c r="CA381" s="40"/>
      <c r="CB381" s="40"/>
      <c r="CC381" s="40"/>
      <c r="CD381" s="40"/>
      <c r="CE381" s="40"/>
      <c r="CF381" s="40"/>
      <c r="CG381" s="40"/>
      <c r="CH381" s="40"/>
      <c r="CI381" s="40"/>
      <c r="CJ381" s="40"/>
      <c r="CK381" s="40"/>
      <c r="CL381" s="40"/>
    </row>
    <row r="382" spans="1:90" x14ac:dyDescent="0.25">
      <c r="A382" s="40"/>
      <c r="B382" s="40"/>
      <c r="C382" s="40"/>
      <c r="D382" s="40"/>
      <c r="E382" s="40"/>
      <c r="F382" s="40"/>
      <c r="G382" s="40"/>
      <c r="H382" s="40"/>
      <c r="I382" s="40"/>
      <c r="J382" s="40"/>
      <c r="K382" s="40"/>
      <c r="L382" s="40"/>
      <c r="M382" s="40"/>
      <c r="N382" s="40"/>
      <c r="O382" s="40"/>
      <c r="P382" s="40"/>
      <c r="Q382" s="40"/>
      <c r="R382" s="40"/>
      <c r="S382" s="40"/>
      <c r="T382" s="40"/>
      <c r="U382" s="40"/>
      <c r="V382" s="40"/>
      <c r="W382" s="40"/>
      <c r="X382" s="40"/>
      <c r="Y382" s="40"/>
      <c r="Z382" s="40"/>
      <c r="AA382" s="40"/>
      <c r="AB382" s="40"/>
      <c r="AC382" s="40"/>
      <c r="AD382" s="40"/>
      <c r="AE382" s="40"/>
      <c r="AF382" s="40"/>
      <c r="AG382" s="40"/>
      <c r="AH382" s="40"/>
      <c r="AI382" s="40"/>
      <c r="AJ382" s="40"/>
      <c r="AK382" s="40"/>
      <c r="AL382" s="40"/>
      <c r="AM382" s="40"/>
      <c r="AN382" s="40"/>
      <c r="AO382" s="40"/>
      <c r="AP382" s="40"/>
      <c r="AQ382" s="40"/>
      <c r="AR382" s="40"/>
      <c r="AS382" s="40"/>
      <c r="AT382" s="40"/>
      <c r="AU382" s="40"/>
      <c r="AV382" s="40"/>
      <c r="AW382" s="40"/>
      <c r="AX382" s="40"/>
      <c r="AY382" s="40"/>
      <c r="AZ382" s="40"/>
      <c r="BA382" s="40"/>
      <c r="BB382" s="40"/>
      <c r="BC382" s="40"/>
      <c r="BD382" s="40"/>
      <c r="BE382" s="40"/>
      <c r="BF382" s="40"/>
      <c r="BG382" s="40"/>
      <c r="BH382" s="40"/>
      <c r="BI382" s="40"/>
      <c r="BJ382" s="40"/>
      <c r="BK382" s="40"/>
      <c r="BL382" s="40"/>
      <c r="BM382" s="40"/>
      <c r="BN382" s="40"/>
      <c r="BO382" s="40"/>
      <c r="BP382" s="40"/>
      <c r="BQ382" s="40"/>
      <c r="BR382" s="40"/>
      <c r="BS382" s="40"/>
      <c r="BT382" s="40"/>
      <c r="BU382" s="40"/>
      <c r="BV382" s="40"/>
      <c r="BW382" s="40"/>
      <c r="BX382" s="40"/>
      <c r="BY382" s="40"/>
      <c r="BZ382" s="40"/>
      <c r="CA382" s="40"/>
      <c r="CB382" s="40"/>
      <c r="CC382" s="40"/>
      <c r="CD382" s="40"/>
      <c r="CE382" s="40"/>
      <c r="CF382" s="40"/>
      <c r="CG382" s="40"/>
      <c r="CH382" s="40"/>
      <c r="CI382" s="40"/>
      <c r="CJ382" s="40"/>
      <c r="CK382" s="40"/>
      <c r="CL382" s="40"/>
    </row>
    <row r="383" spans="1:90" x14ac:dyDescent="0.25">
      <c r="A383" s="40"/>
      <c r="B383" s="40"/>
      <c r="C383" s="40"/>
      <c r="D383" s="40"/>
      <c r="E383" s="40"/>
      <c r="F383" s="40"/>
      <c r="G383" s="40"/>
      <c r="H383" s="40"/>
      <c r="I383" s="40"/>
      <c r="J383" s="40"/>
      <c r="K383" s="40"/>
      <c r="L383" s="40"/>
      <c r="M383" s="40"/>
      <c r="N383" s="40"/>
      <c r="O383" s="40"/>
      <c r="P383" s="40"/>
      <c r="Q383" s="40"/>
      <c r="R383" s="40"/>
      <c r="S383" s="40"/>
      <c r="T383" s="40"/>
      <c r="U383" s="40"/>
      <c r="V383" s="40"/>
      <c r="W383" s="40"/>
      <c r="X383" s="40"/>
      <c r="Y383" s="40"/>
      <c r="Z383" s="40"/>
      <c r="AA383" s="40"/>
      <c r="AB383" s="40"/>
      <c r="AC383" s="40"/>
      <c r="AD383" s="40"/>
      <c r="AE383" s="40"/>
      <c r="AF383" s="40"/>
      <c r="AG383" s="40"/>
      <c r="AH383" s="40"/>
      <c r="AI383" s="40"/>
      <c r="AJ383" s="40"/>
      <c r="AK383" s="40"/>
      <c r="AL383" s="40"/>
      <c r="AM383" s="40"/>
      <c r="AN383" s="40"/>
      <c r="AO383" s="40"/>
      <c r="AP383" s="40"/>
      <c r="AQ383" s="40"/>
      <c r="AR383" s="40"/>
      <c r="AS383" s="40"/>
      <c r="AT383" s="40"/>
      <c r="AU383" s="40"/>
      <c r="AV383" s="40"/>
      <c r="AW383" s="40"/>
      <c r="AX383" s="40"/>
      <c r="AY383" s="40"/>
      <c r="AZ383" s="40"/>
      <c r="BA383" s="40"/>
      <c r="BB383" s="40"/>
      <c r="BC383" s="40"/>
      <c r="BD383" s="40"/>
      <c r="BE383" s="40"/>
      <c r="BF383" s="40"/>
      <c r="BG383" s="40"/>
      <c r="BH383" s="40"/>
      <c r="BI383" s="40"/>
      <c r="BJ383" s="40"/>
      <c r="BK383" s="40"/>
      <c r="BL383" s="40"/>
      <c r="BM383" s="40"/>
      <c r="BN383" s="40"/>
      <c r="BO383" s="40"/>
      <c r="BP383" s="40"/>
      <c r="BQ383" s="40"/>
      <c r="BR383" s="40"/>
      <c r="BS383" s="40"/>
      <c r="BT383" s="40"/>
      <c r="BU383" s="40"/>
      <c r="BV383" s="40"/>
      <c r="BW383" s="40"/>
      <c r="BX383" s="40"/>
      <c r="BY383" s="40"/>
      <c r="BZ383" s="40"/>
      <c r="CA383" s="40"/>
      <c r="CB383" s="40"/>
      <c r="CC383" s="40"/>
      <c r="CD383" s="40"/>
      <c r="CE383" s="40"/>
      <c r="CF383" s="40"/>
      <c r="CG383" s="40"/>
      <c r="CH383" s="40"/>
      <c r="CI383" s="40"/>
      <c r="CJ383" s="40"/>
      <c r="CK383" s="40"/>
      <c r="CL383" s="40"/>
    </row>
    <row r="384" spans="1:90" x14ac:dyDescent="0.25">
      <c r="A384" s="40"/>
      <c r="B384" s="40"/>
      <c r="C384" s="40"/>
      <c r="D384" s="40"/>
      <c r="E384" s="40"/>
      <c r="F384" s="40"/>
      <c r="G384" s="40"/>
      <c r="H384" s="40"/>
      <c r="I384" s="40"/>
      <c r="J384" s="40"/>
      <c r="K384" s="40"/>
      <c r="L384" s="40"/>
      <c r="M384" s="40"/>
      <c r="N384" s="40"/>
      <c r="O384" s="40"/>
      <c r="P384" s="40"/>
      <c r="Q384" s="40"/>
      <c r="R384" s="40"/>
      <c r="S384" s="40"/>
      <c r="T384" s="40"/>
      <c r="U384" s="40"/>
      <c r="V384" s="40"/>
      <c r="W384" s="40"/>
      <c r="X384" s="40"/>
      <c r="Y384" s="40"/>
      <c r="Z384" s="40"/>
      <c r="AA384" s="40"/>
      <c r="AB384" s="40"/>
      <c r="AC384" s="40"/>
      <c r="AD384" s="40"/>
      <c r="AE384" s="40"/>
      <c r="AF384" s="40"/>
      <c r="AG384" s="40"/>
      <c r="AH384" s="40"/>
      <c r="AI384" s="40"/>
      <c r="AJ384" s="40"/>
      <c r="AK384" s="40"/>
      <c r="AL384" s="40"/>
      <c r="AM384" s="40"/>
      <c r="AN384" s="40"/>
      <c r="AO384" s="40"/>
      <c r="AP384" s="40"/>
      <c r="AQ384" s="40"/>
      <c r="AR384" s="40"/>
      <c r="AS384" s="40"/>
      <c r="AT384" s="40"/>
      <c r="AU384" s="40"/>
      <c r="AV384" s="40"/>
      <c r="AW384" s="40"/>
      <c r="AX384" s="40"/>
      <c r="AY384" s="40"/>
      <c r="AZ384" s="40"/>
      <c r="BA384" s="40"/>
      <c r="BB384" s="40"/>
      <c r="BC384" s="40"/>
      <c r="BD384" s="40"/>
      <c r="BE384" s="40"/>
      <c r="BF384" s="40"/>
      <c r="BG384" s="40"/>
      <c r="BH384" s="40"/>
      <c r="BI384" s="40"/>
      <c r="BJ384" s="40"/>
      <c r="BK384" s="40"/>
      <c r="BL384" s="40"/>
      <c r="BM384" s="40"/>
      <c r="BN384" s="40"/>
      <c r="BO384" s="40"/>
      <c r="BP384" s="40"/>
      <c r="BQ384" s="40"/>
      <c r="BR384" s="40"/>
      <c r="BS384" s="40"/>
      <c r="BT384" s="40"/>
      <c r="BU384" s="40"/>
      <c r="BV384" s="40"/>
      <c r="BW384" s="40"/>
      <c r="BX384" s="40"/>
      <c r="BY384" s="40"/>
      <c r="BZ384" s="40"/>
      <c r="CA384" s="40"/>
      <c r="CB384" s="40"/>
      <c r="CC384" s="40"/>
      <c r="CD384" s="40"/>
      <c r="CE384" s="40"/>
      <c r="CF384" s="40"/>
      <c r="CG384" s="40"/>
      <c r="CH384" s="40"/>
      <c r="CI384" s="40"/>
      <c r="CJ384" s="40"/>
      <c r="CK384" s="40"/>
      <c r="CL384" s="40"/>
    </row>
    <row r="385" spans="1:90" x14ac:dyDescent="0.25">
      <c r="A385" s="40"/>
      <c r="B385" s="40"/>
      <c r="C385" s="40"/>
      <c r="D385" s="40"/>
      <c r="E385" s="40"/>
      <c r="F385" s="40"/>
      <c r="G385" s="40"/>
      <c r="H385" s="40"/>
      <c r="I385" s="40"/>
      <c r="J385" s="40"/>
      <c r="K385" s="40"/>
      <c r="L385" s="40"/>
      <c r="M385" s="40"/>
      <c r="N385" s="40"/>
      <c r="O385" s="40"/>
      <c r="P385" s="40"/>
      <c r="Q385" s="40"/>
      <c r="R385" s="40"/>
      <c r="S385" s="40"/>
      <c r="T385" s="40"/>
      <c r="U385" s="40"/>
      <c r="V385" s="40"/>
      <c r="W385" s="40"/>
      <c r="X385" s="40"/>
      <c r="Y385" s="40"/>
      <c r="Z385" s="40"/>
      <c r="AA385" s="40"/>
      <c r="AB385" s="40"/>
      <c r="AC385" s="40"/>
      <c r="AD385" s="40"/>
      <c r="AE385" s="40"/>
      <c r="AF385" s="40"/>
      <c r="AG385" s="40"/>
      <c r="AH385" s="40"/>
      <c r="AI385" s="40"/>
      <c r="AJ385" s="40"/>
      <c r="AK385" s="40"/>
      <c r="AL385" s="40"/>
      <c r="AM385" s="40"/>
      <c r="AN385" s="40"/>
      <c r="AO385" s="40"/>
      <c r="AP385" s="40"/>
      <c r="AQ385" s="40"/>
      <c r="AR385" s="40"/>
      <c r="AS385" s="40"/>
      <c r="AT385" s="40"/>
      <c r="AU385" s="40"/>
      <c r="AV385" s="40"/>
      <c r="AW385" s="40"/>
      <c r="AX385" s="40"/>
      <c r="AY385" s="40"/>
      <c r="AZ385" s="40"/>
      <c r="BA385" s="40"/>
      <c r="BB385" s="40"/>
      <c r="BC385" s="40"/>
      <c r="BD385" s="40"/>
      <c r="BE385" s="40"/>
      <c r="BF385" s="40"/>
      <c r="BG385" s="40"/>
      <c r="BH385" s="40"/>
      <c r="BI385" s="40"/>
      <c r="BJ385" s="40"/>
      <c r="BK385" s="40"/>
      <c r="BL385" s="40"/>
      <c r="BM385" s="40"/>
      <c r="BN385" s="40"/>
      <c r="BO385" s="40"/>
      <c r="BP385" s="40"/>
      <c r="BQ385" s="40"/>
      <c r="BR385" s="40"/>
      <c r="BS385" s="40"/>
      <c r="BT385" s="40"/>
      <c r="BU385" s="40"/>
      <c r="BV385" s="40"/>
      <c r="BW385" s="40"/>
      <c r="BX385" s="40"/>
      <c r="BY385" s="40"/>
      <c r="BZ385" s="40"/>
      <c r="CA385" s="40"/>
      <c r="CB385" s="40"/>
      <c r="CC385" s="40"/>
      <c r="CD385" s="40"/>
      <c r="CE385" s="40"/>
      <c r="CF385" s="40"/>
      <c r="CG385" s="40"/>
      <c r="CH385" s="40"/>
      <c r="CI385" s="40"/>
      <c r="CJ385" s="40"/>
      <c r="CK385" s="40"/>
      <c r="CL385" s="40"/>
    </row>
    <row r="386" spans="1:90" x14ac:dyDescent="0.25">
      <c r="A386" s="40"/>
      <c r="B386" s="40"/>
      <c r="C386" s="40"/>
      <c r="D386" s="40"/>
      <c r="E386" s="40"/>
      <c r="F386" s="40"/>
      <c r="G386" s="40"/>
      <c r="H386" s="40"/>
      <c r="I386" s="40"/>
      <c r="J386" s="40"/>
      <c r="K386" s="40"/>
      <c r="L386" s="40"/>
      <c r="M386" s="40"/>
      <c r="N386" s="40"/>
      <c r="O386" s="40"/>
      <c r="P386" s="40"/>
      <c r="Q386" s="40"/>
      <c r="R386" s="40"/>
      <c r="S386" s="40"/>
      <c r="T386" s="40"/>
      <c r="U386" s="40"/>
      <c r="V386" s="40"/>
      <c r="W386" s="40"/>
      <c r="X386" s="40"/>
      <c r="Y386" s="40"/>
      <c r="Z386" s="40"/>
      <c r="AA386" s="40"/>
      <c r="AB386" s="40"/>
      <c r="AC386" s="40"/>
      <c r="AD386" s="40"/>
      <c r="AE386" s="40"/>
      <c r="AF386" s="40"/>
      <c r="AG386" s="40"/>
      <c r="AH386" s="40"/>
      <c r="AI386" s="40"/>
      <c r="AJ386" s="40"/>
      <c r="AK386" s="40"/>
      <c r="AL386" s="40"/>
      <c r="AM386" s="40"/>
      <c r="AN386" s="40"/>
      <c r="AO386" s="40"/>
      <c r="AP386" s="40"/>
      <c r="AQ386" s="40"/>
      <c r="AR386" s="40"/>
      <c r="AS386" s="40"/>
      <c r="AT386" s="40"/>
      <c r="AU386" s="40"/>
      <c r="AV386" s="40"/>
      <c r="AW386" s="40"/>
      <c r="AX386" s="40"/>
      <c r="AY386" s="40"/>
      <c r="AZ386" s="40"/>
      <c r="BA386" s="40"/>
      <c r="BB386" s="40"/>
      <c r="BC386" s="40"/>
      <c r="BD386" s="40"/>
      <c r="BE386" s="40"/>
      <c r="BF386" s="40"/>
      <c r="BG386" s="40"/>
      <c r="BH386" s="40"/>
      <c r="BI386" s="40"/>
      <c r="BJ386" s="40"/>
      <c r="BK386" s="40"/>
      <c r="BL386" s="40"/>
      <c r="BM386" s="40"/>
      <c r="BN386" s="40"/>
      <c r="BO386" s="40"/>
      <c r="BP386" s="40"/>
      <c r="BQ386" s="40"/>
      <c r="BR386" s="40"/>
      <c r="BS386" s="40"/>
      <c r="BT386" s="40"/>
      <c r="BU386" s="40"/>
      <c r="BV386" s="40"/>
      <c r="BW386" s="40"/>
      <c r="BX386" s="40"/>
      <c r="BY386" s="40"/>
      <c r="BZ386" s="40"/>
      <c r="CA386" s="40"/>
      <c r="CB386" s="40"/>
      <c r="CC386" s="40"/>
      <c r="CD386" s="40"/>
      <c r="CE386" s="40"/>
      <c r="CF386" s="40"/>
      <c r="CG386" s="40"/>
      <c r="CH386" s="40"/>
      <c r="CI386" s="40"/>
      <c r="CJ386" s="40"/>
      <c r="CK386" s="40"/>
      <c r="CL386" s="40"/>
    </row>
    <row r="387" spans="1:90" x14ac:dyDescent="0.25">
      <c r="A387" s="40"/>
      <c r="B387" s="40"/>
      <c r="C387" s="40"/>
      <c r="D387" s="40"/>
      <c r="E387" s="40"/>
      <c r="F387" s="40"/>
      <c r="G387" s="40"/>
      <c r="H387" s="40"/>
      <c r="I387" s="40"/>
      <c r="J387" s="40"/>
      <c r="K387" s="40"/>
      <c r="L387" s="40"/>
      <c r="M387" s="40"/>
      <c r="N387" s="40"/>
      <c r="O387" s="40"/>
      <c r="P387" s="40"/>
      <c r="Q387" s="40"/>
      <c r="R387" s="40"/>
      <c r="S387" s="40"/>
      <c r="T387" s="40"/>
      <c r="U387" s="40"/>
      <c r="V387" s="40"/>
      <c r="W387" s="40"/>
      <c r="X387" s="40"/>
      <c r="Y387" s="40"/>
      <c r="Z387" s="40"/>
      <c r="AA387" s="40"/>
      <c r="AB387" s="40"/>
      <c r="AC387" s="40"/>
      <c r="AD387" s="40"/>
      <c r="AE387" s="40"/>
      <c r="AF387" s="40"/>
      <c r="AG387" s="40"/>
      <c r="AH387" s="40"/>
      <c r="AI387" s="40"/>
      <c r="AJ387" s="40"/>
      <c r="AK387" s="40"/>
      <c r="AL387" s="40"/>
      <c r="AM387" s="40"/>
      <c r="AN387" s="40"/>
      <c r="AO387" s="40"/>
      <c r="AP387" s="40"/>
      <c r="AQ387" s="40"/>
      <c r="AR387" s="40"/>
      <c r="AS387" s="40"/>
      <c r="AT387" s="40"/>
      <c r="AU387" s="40"/>
      <c r="AV387" s="40"/>
      <c r="AW387" s="40"/>
      <c r="AX387" s="40"/>
      <c r="AY387" s="40"/>
      <c r="AZ387" s="40"/>
      <c r="BA387" s="40"/>
      <c r="BB387" s="40"/>
      <c r="BC387" s="40"/>
      <c r="BD387" s="40"/>
      <c r="BE387" s="40"/>
      <c r="BF387" s="40"/>
      <c r="BG387" s="40"/>
      <c r="BH387" s="40"/>
      <c r="BI387" s="40"/>
      <c r="BJ387" s="40"/>
      <c r="BK387" s="40"/>
      <c r="BL387" s="40"/>
      <c r="BM387" s="40"/>
      <c r="BN387" s="40"/>
      <c r="BO387" s="40"/>
      <c r="BP387" s="40"/>
      <c r="BQ387" s="40"/>
      <c r="BR387" s="40"/>
      <c r="BS387" s="40"/>
      <c r="BT387" s="40"/>
      <c r="BU387" s="40"/>
      <c r="BV387" s="40"/>
      <c r="BW387" s="40"/>
      <c r="BX387" s="40"/>
      <c r="BY387" s="40"/>
      <c r="BZ387" s="40"/>
      <c r="CA387" s="40"/>
      <c r="CB387" s="40"/>
      <c r="CC387" s="40"/>
      <c r="CD387" s="40"/>
      <c r="CE387" s="40"/>
      <c r="CF387" s="40"/>
      <c r="CG387" s="40"/>
      <c r="CH387" s="40"/>
      <c r="CI387" s="40"/>
      <c r="CJ387" s="40"/>
      <c r="CK387" s="40"/>
      <c r="CL387" s="40"/>
    </row>
    <row r="388" spans="1:90" x14ac:dyDescent="0.25">
      <c r="A388" s="40"/>
      <c r="B388" s="40"/>
      <c r="C388" s="40"/>
      <c r="D388" s="40"/>
      <c r="E388" s="40"/>
      <c r="F388" s="40"/>
      <c r="G388" s="40"/>
      <c r="H388" s="40"/>
      <c r="I388" s="40"/>
      <c r="J388" s="40"/>
      <c r="K388" s="40"/>
      <c r="L388" s="40"/>
      <c r="M388" s="40"/>
      <c r="N388" s="40"/>
      <c r="O388" s="40"/>
      <c r="P388" s="40"/>
      <c r="Q388" s="40"/>
      <c r="R388" s="40"/>
      <c r="S388" s="40"/>
      <c r="T388" s="40"/>
      <c r="U388" s="40"/>
      <c r="V388" s="40"/>
      <c r="W388" s="40"/>
      <c r="X388" s="40"/>
      <c r="Y388" s="40"/>
      <c r="Z388" s="40"/>
      <c r="AA388" s="40"/>
      <c r="AB388" s="40"/>
      <c r="AC388" s="40"/>
      <c r="AD388" s="40"/>
      <c r="AE388" s="40"/>
      <c r="AF388" s="40"/>
      <c r="AG388" s="40"/>
      <c r="AH388" s="40"/>
      <c r="AI388" s="40"/>
      <c r="AJ388" s="40"/>
      <c r="AK388" s="40"/>
      <c r="AL388" s="40"/>
      <c r="AM388" s="40"/>
      <c r="AN388" s="40"/>
      <c r="AO388" s="40"/>
      <c r="AP388" s="40"/>
      <c r="AQ388" s="40"/>
      <c r="AR388" s="40"/>
      <c r="AS388" s="40"/>
      <c r="AT388" s="40"/>
      <c r="AU388" s="40"/>
      <c r="AV388" s="40"/>
      <c r="AW388" s="40"/>
      <c r="AX388" s="40"/>
      <c r="AY388" s="40"/>
      <c r="AZ388" s="40"/>
      <c r="BA388" s="40"/>
      <c r="BB388" s="40"/>
      <c r="BC388" s="40"/>
      <c r="BD388" s="40"/>
      <c r="BE388" s="40"/>
      <c r="BF388" s="40"/>
      <c r="BG388" s="40"/>
      <c r="BH388" s="40"/>
      <c r="BI388" s="40"/>
      <c r="BJ388" s="40"/>
      <c r="BK388" s="40"/>
      <c r="BL388" s="40"/>
      <c r="BM388" s="40"/>
      <c r="BN388" s="40"/>
      <c r="BO388" s="40"/>
      <c r="BP388" s="40"/>
      <c r="BQ388" s="40"/>
      <c r="BR388" s="40"/>
      <c r="BS388" s="40"/>
      <c r="BT388" s="40"/>
      <c r="BU388" s="40"/>
      <c r="BV388" s="40"/>
      <c r="BW388" s="40"/>
      <c r="BX388" s="40"/>
      <c r="BY388" s="40"/>
      <c r="BZ388" s="40"/>
      <c r="CA388" s="40"/>
      <c r="CB388" s="40"/>
      <c r="CC388" s="40"/>
      <c r="CD388" s="40"/>
      <c r="CE388" s="40"/>
      <c r="CF388" s="40"/>
      <c r="CG388" s="40"/>
      <c r="CH388" s="40"/>
      <c r="CI388" s="40"/>
      <c r="CJ388" s="40"/>
      <c r="CK388" s="40"/>
      <c r="CL388" s="40"/>
    </row>
    <row r="389" spans="1:90" x14ac:dyDescent="0.25">
      <c r="A389" s="40"/>
      <c r="B389" s="40"/>
      <c r="C389" s="40"/>
      <c r="D389" s="40"/>
      <c r="E389" s="40"/>
      <c r="F389" s="40"/>
      <c r="G389" s="40"/>
      <c r="H389" s="40"/>
      <c r="I389" s="40"/>
      <c r="J389" s="40"/>
      <c r="K389" s="40"/>
      <c r="L389" s="40"/>
      <c r="M389" s="40"/>
      <c r="N389" s="40"/>
      <c r="O389" s="40"/>
      <c r="P389" s="40"/>
      <c r="Q389" s="40"/>
      <c r="R389" s="40"/>
      <c r="S389" s="40"/>
      <c r="T389" s="40"/>
      <c r="U389" s="40"/>
      <c r="V389" s="40"/>
      <c r="W389" s="40"/>
      <c r="X389" s="40"/>
      <c r="Y389" s="40"/>
      <c r="Z389" s="40"/>
      <c r="AA389" s="40"/>
      <c r="AB389" s="40"/>
      <c r="AC389" s="40"/>
      <c r="AD389" s="40"/>
      <c r="AE389" s="40"/>
      <c r="AF389" s="40"/>
      <c r="AG389" s="40"/>
      <c r="AH389" s="40"/>
      <c r="AI389" s="40"/>
      <c r="AJ389" s="40"/>
      <c r="AK389" s="40"/>
      <c r="AL389" s="40"/>
      <c r="AM389" s="40"/>
      <c r="AN389" s="40"/>
      <c r="AO389" s="40"/>
      <c r="AP389" s="40"/>
      <c r="AQ389" s="40"/>
      <c r="AR389" s="40"/>
      <c r="AS389" s="40"/>
      <c r="AT389" s="40"/>
      <c r="AU389" s="40"/>
      <c r="AV389" s="40"/>
      <c r="AW389" s="40"/>
      <c r="AX389" s="40"/>
      <c r="AY389" s="40"/>
      <c r="AZ389" s="40"/>
      <c r="BA389" s="40"/>
      <c r="BB389" s="40"/>
      <c r="BC389" s="40"/>
      <c r="BD389" s="40"/>
      <c r="BE389" s="40"/>
      <c r="BF389" s="40"/>
      <c r="BG389" s="40"/>
      <c r="BH389" s="40"/>
      <c r="BI389" s="40"/>
      <c r="BJ389" s="40"/>
      <c r="BK389" s="40"/>
      <c r="BL389" s="40"/>
      <c r="BM389" s="40"/>
      <c r="BN389" s="40"/>
      <c r="BO389" s="40"/>
      <c r="BP389" s="40"/>
      <c r="BQ389" s="40"/>
      <c r="BR389" s="40"/>
      <c r="BS389" s="40"/>
      <c r="BT389" s="40"/>
      <c r="BU389" s="40"/>
      <c r="BV389" s="40"/>
      <c r="BW389" s="40"/>
      <c r="BX389" s="40"/>
      <c r="BY389" s="40"/>
      <c r="BZ389" s="40"/>
      <c r="CA389" s="40"/>
      <c r="CB389" s="40"/>
      <c r="CC389" s="40"/>
      <c r="CD389" s="40"/>
      <c r="CE389" s="40"/>
      <c r="CF389" s="40"/>
      <c r="CG389" s="40"/>
      <c r="CH389" s="40"/>
      <c r="CI389" s="40"/>
      <c r="CJ389" s="40"/>
      <c r="CK389" s="40"/>
      <c r="CL389" s="40"/>
    </row>
    <row r="390" spans="1:90" x14ac:dyDescent="0.25">
      <c r="A390" s="40"/>
      <c r="B390" s="40"/>
      <c r="C390" s="40"/>
      <c r="D390" s="40"/>
      <c r="E390" s="40"/>
      <c r="F390" s="40"/>
      <c r="G390" s="40"/>
      <c r="H390" s="40"/>
      <c r="I390" s="40"/>
      <c r="J390" s="40"/>
      <c r="K390" s="40"/>
      <c r="L390" s="40"/>
      <c r="M390" s="40"/>
      <c r="N390" s="40"/>
      <c r="O390" s="40"/>
      <c r="P390" s="40"/>
      <c r="Q390" s="40"/>
      <c r="R390" s="40"/>
      <c r="S390" s="40"/>
      <c r="T390" s="40"/>
      <c r="U390" s="40"/>
      <c r="V390" s="40"/>
      <c r="W390" s="40"/>
      <c r="X390" s="40"/>
      <c r="Y390" s="40"/>
      <c r="Z390" s="40"/>
      <c r="AA390" s="40"/>
      <c r="AB390" s="40"/>
      <c r="AC390" s="40"/>
      <c r="AD390" s="40"/>
      <c r="AE390" s="40"/>
      <c r="AF390" s="40"/>
      <c r="AG390" s="40"/>
      <c r="AH390" s="40"/>
      <c r="AI390" s="40"/>
      <c r="AJ390" s="40"/>
      <c r="AK390" s="40"/>
      <c r="AL390" s="40"/>
      <c r="AM390" s="40"/>
      <c r="AN390" s="40"/>
      <c r="AO390" s="40"/>
      <c r="AP390" s="40"/>
      <c r="AQ390" s="40"/>
      <c r="AR390" s="40"/>
      <c r="AS390" s="40"/>
      <c r="AT390" s="40"/>
      <c r="AU390" s="40"/>
      <c r="AV390" s="40"/>
      <c r="AW390" s="40"/>
      <c r="AX390" s="40"/>
      <c r="AY390" s="40"/>
      <c r="AZ390" s="40"/>
      <c r="BA390" s="40"/>
      <c r="BB390" s="40"/>
      <c r="BC390" s="40"/>
      <c r="BD390" s="40"/>
      <c r="BE390" s="40"/>
      <c r="BF390" s="40"/>
      <c r="BG390" s="40"/>
      <c r="BH390" s="40"/>
      <c r="BI390" s="40"/>
      <c r="BJ390" s="40"/>
      <c r="BK390" s="40"/>
      <c r="BL390" s="40"/>
      <c r="BM390" s="40"/>
      <c r="BN390" s="40"/>
      <c r="BO390" s="40"/>
      <c r="BP390" s="40"/>
      <c r="BQ390" s="40"/>
      <c r="BR390" s="40"/>
      <c r="BS390" s="40"/>
      <c r="BT390" s="40"/>
      <c r="BU390" s="40"/>
      <c r="BV390" s="40"/>
      <c r="BW390" s="40"/>
      <c r="BX390" s="40"/>
      <c r="BY390" s="40"/>
      <c r="BZ390" s="40"/>
      <c r="CA390" s="40"/>
      <c r="CB390" s="40"/>
      <c r="CC390" s="40"/>
      <c r="CD390" s="40"/>
      <c r="CE390" s="40"/>
      <c r="CF390" s="40"/>
      <c r="CG390" s="40"/>
      <c r="CH390" s="40"/>
      <c r="CI390" s="40"/>
      <c r="CJ390" s="40"/>
      <c r="CK390" s="40"/>
      <c r="CL390" s="40"/>
    </row>
    <row r="391" spans="1:90" x14ac:dyDescent="0.25">
      <c r="A391" s="40"/>
      <c r="B391" s="40"/>
      <c r="C391" s="40"/>
      <c r="D391" s="40"/>
      <c r="E391" s="40"/>
      <c r="F391" s="40"/>
      <c r="G391" s="40"/>
      <c r="H391" s="40"/>
      <c r="I391" s="40"/>
      <c r="J391" s="40"/>
      <c r="K391" s="40"/>
      <c r="L391" s="40"/>
      <c r="M391" s="40"/>
      <c r="N391" s="40"/>
      <c r="O391" s="40"/>
      <c r="P391" s="40"/>
      <c r="Q391" s="40"/>
      <c r="R391" s="40"/>
      <c r="S391" s="40"/>
      <c r="T391" s="40"/>
      <c r="U391" s="40"/>
      <c r="V391" s="40"/>
      <c r="W391" s="40"/>
      <c r="X391" s="40"/>
      <c r="Y391" s="40"/>
      <c r="Z391" s="40"/>
      <c r="AA391" s="40"/>
      <c r="AB391" s="40"/>
      <c r="AC391" s="40"/>
      <c r="AD391" s="40"/>
      <c r="AE391" s="40"/>
      <c r="AF391" s="40"/>
      <c r="AG391" s="40"/>
      <c r="AH391" s="40"/>
      <c r="AI391" s="40"/>
      <c r="AJ391" s="40"/>
      <c r="AK391" s="40"/>
      <c r="AL391" s="40"/>
      <c r="AM391" s="40"/>
      <c r="AN391" s="40"/>
      <c r="AO391" s="40"/>
      <c r="AP391" s="40"/>
      <c r="AQ391" s="40"/>
      <c r="AR391" s="40"/>
      <c r="AS391" s="40"/>
      <c r="AT391" s="40"/>
      <c r="AU391" s="40"/>
      <c r="AV391" s="40"/>
      <c r="AW391" s="40"/>
      <c r="AX391" s="40"/>
      <c r="AY391" s="40"/>
      <c r="AZ391" s="40"/>
      <c r="BA391" s="40"/>
      <c r="BB391" s="40"/>
      <c r="BC391" s="40"/>
      <c r="BD391" s="40"/>
      <c r="BE391" s="40"/>
      <c r="BF391" s="40"/>
      <c r="BG391" s="40"/>
      <c r="BH391" s="40"/>
      <c r="BI391" s="40"/>
      <c r="BJ391" s="40"/>
      <c r="BK391" s="40"/>
      <c r="BL391" s="40"/>
      <c r="BM391" s="40"/>
      <c r="BN391" s="40"/>
      <c r="BO391" s="40"/>
      <c r="BP391" s="40"/>
      <c r="BQ391" s="40"/>
      <c r="BR391" s="40"/>
      <c r="BS391" s="40"/>
      <c r="BT391" s="40"/>
      <c r="BU391" s="40"/>
      <c r="BV391" s="40"/>
      <c r="BW391" s="40"/>
      <c r="BX391" s="40"/>
      <c r="BY391" s="40"/>
      <c r="BZ391" s="40"/>
      <c r="CA391" s="40"/>
      <c r="CB391" s="40"/>
      <c r="CC391" s="40"/>
      <c r="CD391" s="40"/>
      <c r="CE391" s="40"/>
      <c r="CF391" s="40"/>
      <c r="CG391" s="40"/>
      <c r="CH391" s="40"/>
      <c r="CI391" s="40"/>
      <c r="CJ391" s="40"/>
      <c r="CK391" s="40"/>
      <c r="CL391" s="40"/>
    </row>
    <row r="392" spans="1:90" x14ac:dyDescent="0.25">
      <c r="A392" s="40"/>
      <c r="B392" s="40"/>
      <c r="C392" s="40"/>
      <c r="D392" s="40"/>
      <c r="E392" s="40"/>
      <c r="F392" s="40"/>
      <c r="G392" s="40"/>
      <c r="H392" s="40"/>
      <c r="I392" s="40"/>
      <c r="J392" s="40"/>
      <c r="K392" s="40"/>
      <c r="L392" s="40"/>
      <c r="M392" s="40"/>
      <c r="N392" s="40"/>
      <c r="O392" s="40"/>
      <c r="P392" s="40"/>
      <c r="Q392" s="40"/>
      <c r="R392" s="40"/>
      <c r="S392" s="40"/>
      <c r="T392" s="40"/>
      <c r="U392" s="40"/>
      <c r="V392" s="40"/>
      <c r="W392" s="40"/>
      <c r="X392" s="40"/>
      <c r="Y392" s="40"/>
      <c r="Z392" s="40"/>
      <c r="AA392" s="40"/>
      <c r="AB392" s="40"/>
      <c r="AC392" s="40"/>
      <c r="AD392" s="40"/>
      <c r="AE392" s="40"/>
      <c r="AF392" s="40"/>
      <c r="AG392" s="40"/>
      <c r="AH392" s="40"/>
      <c r="AI392" s="40"/>
      <c r="AJ392" s="40"/>
      <c r="AK392" s="40"/>
      <c r="AL392" s="40"/>
      <c r="AM392" s="40"/>
      <c r="AN392" s="40"/>
      <c r="AO392" s="40"/>
      <c r="AP392" s="40"/>
      <c r="AQ392" s="40"/>
      <c r="AR392" s="40"/>
      <c r="AS392" s="40"/>
      <c r="AT392" s="40"/>
      <c r="AU392" s="40"/>
      <c r="AV392" s="40"/>
      <c r="AW392" s="40"/>
      <c r="AX392" s="40"/>
      <c r="AY392" s="40"/>
      <c r="AZ392" s="40"/>
      <c r="BA392" s="40"/>
      <c r="BB392" s="40"/>
      <c r="BC392" s="40"/>
      <c r="BD392" s="40"/>
      <c r="BE392" s="40"/>
      <c r="BF392" s="40"/>
      <c r="BG392" s="40"/>
      <c r="BH392" s="40"/>
      <c r="BI392" s="40"/>
      <c r="BJ392" s="40"/>
      <c r="BK392" s="40"/>
      <c r="BL392" s="40"/>
      <c r="BM392" s="40"/>
      <c r="BN392" s="40"/>
      <c r="BO392" s="40"/>
      <c r="BP392" s="40"/>
      <c r="BQ392" s="40"/>
      <c r="BR392" s="40"/>
      <c r="BS392" s="40"/>
      <c r="BT392" s="40"/>
      <c r="BU392" s="40"/>
      <c r="BV392" s="40"/>
      <c r="BW392" s="40"/>
      <c r="BX392" s="40"/>
      <c r="BY392" s="40"/>
      <c r="BZ392" s="40"/>
      <c r="CA392" s="40"/>
      <c r="CB392" s="40"/>
      <c r="CC392" s="40"/>
      <c r="CD392" s="40"/>
      <c r="CE392" s="40"/>
      <c r="CF392" s="40"/>
      <c r="CG392" s="40"/>
      <c r="CH392" s="40"/>
      <c r="CI392" s="40"/>
      <c r="CJ392" s="40"/>
      <c r="CK392" s="40"/>
      <c r="CL392" s="40"/>
    </row>
    <row r="393" spans="1:90" x14ac:dyDescent="0.25">
      <c r="A393" s="40"/>
      <c r="B393" s="40"/>
      <c r="C393" s="40"/>
      <c r="D393" s="40"/>
      <c r="E393" s="40"/>
      <c r="F393" s="40"/>
      <c r="G393" s="40"/>
      <c r="H393" s="40"/>
      <c r="I393" s="40"/>
      <c r="J393" s="40"/>
      <c r="K393" s="40"/>
      <c r="L393" s="40"/>
      <c r="M393" s="40"/>
      <c r="N393" s="40"/>
      <c r="O393" s="40"/>
      <c r="P393" s="40"/>
      <c r="Q393" s="40"/>
      <c r="R393" s="40"/>
      <c r="S393" s="40"/>
      <c r="T393" s="40"/>
      <c r="U393" s="40"/>
      <c r="V393" s="40"/>
      <c r="W393" s="40"/>
      <c r="X393" s="40"/>
      <c r="Y393" s="40"/>
      <c r="Z393" s="40"/>
      <c r="AA393" s="40"/>
      <c r="AB393" s="40"/>
      <c r="AC393" s="40"/>
      <c r="AD393" s="40"/>
      <c r="AE393" s="40"/>
      <c r="AF393" s="40"/>
      <c r="AG393" s="40"/>
      <c r="AH393" s="40"/>
      <c r="AI393" s="40"/>
      <c r="AJ393" s="40"/>
      <c r="AK393" s="40"/>
      <c r="AL393" s="40"/>
      <c r="AM393" s="40"/>
      <c r="AN393" s="40"/>
      <c r="AO393" s="40"/>
      <c r="AP393" s="40"/>
      <c r="AQ393" s="40"/>
      <c r="AR393" s="40"/>
      <c r="AS393" s="40"/>
      <c r="AT393" s="40"/>
      <c r="AU393" s="40"/>
      <c r="AV393" s="40"/>
      <c r="AW393" s="40"/>
      <c r="AX393" s="40"/>
      <c r="AY393" s="40"/>
      <c r="AZ393" s="40"/>
      <c r="BA393" s="40"/>
      <c r="BB393" s="40"/>
      <c r="BC393" s="40"/>
      <c r="BD393" s="40"/>
      <c r="BE393" s="40"/>
      <c r="BF393" s="40"/>
      <c r="BG393" s="40"/>
      <c r="BH393" s="40"/>
      <c r="BI393" s="40"/>
      <c r="BJ393" s="40"/>
      <c r="BK393" s="40"/>
      <c r="BL393" s="40"/>
      <c r="BM393" s="40"/>
      <c r="BN393" s="40"/>
      <c r="BO393" s="40"/>
      <c r="BP393" s="40"/>
      <c r="BQ393" s="40"/>
      <c r="BR393" s="40"/>
      <c r="BS393" s="40"/>
      <c r="BT393" s="40"/>
      <c r="BU393" s="40"/>
      <c r="BV393" s="40"/>
      <c r="BW393" s="40"/>
      <c r="BX393" s="40"/>
      <c r="BY393" s="40"/>
      <c r="BZ393" s="40"/>
      <c r="CA393" s="40"/>
      <c r="CB393" s="40"/>
      <c r="CC393" s="40"/>
      <c r="CD393" s="40"/>
      <c r="CE393" s="40"/>
      <c r="CF393" s="40"/>
      <c r="CG393" s="40"/>
      <c r="CH393" s="40"/>
      <c r="CI393" s="40"/>
      <c r="CJ393" s="40"/>
      <c r="CK393" s="40"/>
      <c r="CL393" s="40"/>
    </row>
    <row r="394" spans="1:90" x14ac:dyDescent="0.25">
      <c r="A394" s="40"/>
      <c r="B394" s="40"/>
      <c r="C394" s="40"/>
      <c r="D394" s="40"/>
      <c r="E394" s="40"/>
      <c r="F394" s="40"/>
      <c r="G394" s="40"/>
      <c r="H394" s="40"/>
      <c r="I394" s="40"/>
      <c r="J394" s="40"/>
      <c r="K394" s="40"/>
      <c r="L394" s="40"/>
      <c r="M394" s="40"/>
      <c r="N394" s="40"/>
      <c r="O394" s="40"/>
      <c r="P394" s="40"/>
      <c r="Q394" s="40"/>
      <c r="R394" s="40"/>
      <c r="S394" s="40"/>
      <c r="T394" s="40"/>
      <c r="U394" s="40"/>
      <c r="V394" s="40"/>
      <c r="W394" s="40"/>
      <c r="X394" s="40"/>
      <c r="Y394" s="40"/>
      <c r="Z394" s="40"/>
      <c r="AA394" s="40"/>
      <c r="AB394" s="40"/>
      <c r="AC394" s="40"/>
      <c r="AD394" s="40"/>
      <c r="AE394" s="40"/>
      <c r="AF394" s="40"/>
      <c r="AG394" s="40"/>
      <c r="AH394" s="40"/>
      <c r="AI394" s="40"/>
      <c r="AJ394" s="40"/>
      <c r="AK394" s="40"/>
      <c r="AL394" s="40"/>
      <c r="AM394" s="40"/>
      <c r="AN394" s="40"/>
      <c r="AO394" s="40"/>
      <c r="AP394" s="40"/>
      <c r="AQ394" s="40"/>
      <c r="AR394" s="40"/>
      <c r="AS394" s="40"/>
      <c r="AT394" s="40"/>
      <c r="AU394" s="40"/>
      <c r="AV394" s="40"/>
      <c r="AW394" s="40"/>
      <c r="AX394" s="40"/>
      <c r="AY394" s="40"/>
      <c r="AZ394" s="40"/>
      <c r="BA394" s="40"/>
      <c r="BB394" s="40"/>
      <c r="BC394" s="40"/>
      <c r="BD394" s="40"/>
      <c r="BE394" s="40"/>
      <c r="BF394" s="40"/>
      <c r="BG394" s="40"/>
      <c r="BH394" s="40"/>
      <c r="BI394" s="40"/>
      <c r="BJ394" s="40"/>
      <c r="BK394" s="40"/>
      <c r="BL394" s="40"/>
      <c r="BM394" s="40"/>
      <c r="BN394" s="40"/>
      <c r="BO394" s="40"/>
      <c r="BP394" s="40"/>
      <c r="BQ394" s="40"/>
      <c r="BR394" s="40"/>
      <c r="BS394" s="40"/>
      <c r="BT394" s="40"/>
      <c r="BU394" s="40"/>
      <c r="BV394" s="40"/>
      <c r="BW394" s="40"/>
      <c r="BX394" s="40"/>
      <c r="BY394" s="40"/>
      <c r="BZ394" s="40"/>
      <c r="CA394" s="40"/>
      <c r="CB394" s="40"/>
      <c r="CC394" s="40"/>
      <c r="CD394" s="40"/>
      <c r="CE394" s="40"/>
      <c r="CF394" s="40"/>
      <c r="CG394" s="40"/>
      <c r="CH394" s="40"/>
      <c r="CI394" s="40"/>
      <c r="CJ394" s="40"/>
      <c r="CK394" s="40"/>
      <c r="CL394" s="40"/>
    </row>
    <row r="395" spans="1:90" x14ac:dyDescent="0.25">
      <c r="A395" s="40"/>
      <c r="B395" s="40"/>
      <c r="C395" s="40"/>
      <c r="D395" s="40"/>
      <c r="E395" s="40"/>
      <c r="F395" s="40"/>
      <c r="G395" s="40"/>
      <c r="H395" s="40"/>
      <c r="I395" s="40"/>
      <c r="J395" s="40"/>
      <c r="K395" s="40"/>
      <c r="L395" s="40"/>
      <c r="M395" s="40"/>
      <c r="N395" s="40"/>
      <c r="O395" s="40"/>
      <c r="P395" s="40"/>
      <c r="Q395" s="40"/>
      <c r="R395" s="40"/>
      <c r="S395" s="40"/>
      <c r="T395" s="40"/>
      <c r="U395" s="40"/>
      <c r="V395" s="40"/>
      <c r="W395" s="40"/>
      <c r="X395" s="40"/>
      <c r="Y395" s="40"/>
      <c r="Z395" s="40"/>
      <c r="AA395" s="40"/>
      <c r="AB395" s="40"/>
      <c r="AC395" s="40"/>
      <c r="AD395" s="40"/>
      <c r="AE395" s="40"/>
      <c r="AF395" s="40"/>
      <c r="AG395" s="40"/>
      <c r="AH395" s="40"/>
      <c r="AI395" s="40"/>
      <c r="AJ395" s="40"/>
      <c r="AK395" s="40"/>
      <c r="AL395" s="40"/>
      <c r="AM395" s="40"/>
      <c r="AN395" s="40"/>
      <c r="AO395" s="40"/>
      <c r="AP395" s="40"/>
      <c r="AQ395" s="40"/>
      <c r="AR395" s="40"/>
      <c r="AS395" s="40"/>
      <c r="AT395" s="40"/>
      <c r="AU395" s="40"/>
      <c r="AV395" s="40"/>
      <c r="AW395" s="40"/>
      <c r="AX395" s="40"/>
      <c r="AY395" s="40"/>
      <c r="AZ395" s="40"/>
      <c r="BA395" s="40"/>
      <c r="BB395" s="40"/>
      <c r="BC395" s="40"/>
      <c r="BD395" s="40"/>
      <c r="BE395" s="40"/>
      <c r="BF395" s="40"/>
      <c r="BG395" s="40"/>
      <c r="BH395" s="40"/>
      <c r="BI395" s="40"/>
      <c r="BJ395" s="40"/>
      <c r="BK395" s="40"/>
      <c r="BL395" s="40"/>
      <c r="BM395" s="40"/>
      <c r="BN395" s="40"/>
      <c r="BO395" s="40"/>
      <c r="BP395" s="40"/>
      <c r="BQ395" s="40"/>
      <c r="BR395" s="40"/>
      <c r="BS395" s="40"/>
      <c r="BT395" s="40"/>
      <c r="BU395" s="40"/>
      <c r="BV395" s="40"/>
      <c r="BW395" s="40"/>
      <c r="BX395" s="40"/>
      <c r="BY395" s="40"/>
      <c r="BZ395" s="40"/>
      <c r="CA395" s="40"/>
      <c r="CB395" s="40"/>
      <c r="CC395" s="40"/>
      <c r="CD395" s="40"/>
      <c r="CE395" s="40"/>
      <c r="CF395" s="40"/>
      <c r="CG395" s="40"/>
      <c r="CH395" s="40"/>
      <c r="CI395" s="40"/>
      <c r="CJ395" s="40"/>
      <c r="CK395" s="40"/>
      <c r="CL395" s="40"/>
    </row>
    <row r="396" spans="1:90" x14ac:dyDescent="0.25">
      <c r="A396" s="40"/>
      <c r="B396" s="40"/>
      <c r="C396" s="40"/>
      <c r="D396" s="40"/>
      <c r="E396" s="40"/>
      <c r="F396" s="40"/>
      <c r="G396" s="40"/>
      <c r="H396" s="40"/>
      <c r="I396" s="40"/>
      <c r="J396" s="40"/>
      <c r="K396" s="40"/>
      <c r="L396" s="40"/>
      <c r="M396" s="40"/>
      <c r="N396" s="40"/>
      <c r="O396" s="40"/>
      <c r="P396" s="40"/>
      <c r="Q396" s="40"/>
      <c r="R396" s="40"/>
      <c r="S396" s="40"/>
      <c r="T396" s="40"/>
      <c r="U396" s="40"/>
      <c r="V396" s="40"/>
      <c r="W396" s="40"/>
      <c r="X396" s="40"/>
      <c r="Y396" s="40"/>
      <c r="Z396" s="40"/>
      <c r="AA396" s="40"/>
      <c r="AB396" s="40"/>
      <c r="AC396" s="40"/>
      <c r="AD396" s="40"/>
      <c r="AE396" s="40"/>
      <c r="AF396" s="40"/>
      <c r="AG396" s="40"/>
      <c r="AH396" s="40"/>
      <c r="AI396" s="40"/>
      <c r="AJ396" s="40"/>
      <c r="AK396" s="40"/>
      <c r="AL396" s="40"/>
      <c r="AM396" s="40"/>
      <c r="AN396" s="40"/>
      <c r="AO396" s="40"/>
      <c r="AP396" s="40"/>
      <c r="AQ396" s="40"/>
      <c r="AR396" s="40"/>
      <c r="AS396" s="40"/>
      <c r="AT396" s="40"/>
      <c r="AU396" s="40"/>
      <c r="AV396" s="40"/>
      <c r="AW396" s="40"/>
      <c r="AX396" s="40"/>
      <c r="AY396" s="40"/>
      <c r="AZ396" s="40"/>
      <c r="BA396" s="40"/>
      <c r="BB396" s="40"/>
      <c r="BC396" s="40"/>
      <c r="BD396" s="40"/>
      <c r="BE396" s="40"/>
      <c r="BF396" s="40"/>
      <c r="BG396" s="40"/>
      <c r="BH396" s="40"/>
      <c r="BI396" s="40"/>
      <c r="BJ396" s="40"/>
      <c r="BK396" s="40"/>
      <c r="BL396" s="40"/>
      <c r="BM396" s="40"/>
      <c r="BN396" s="40"/>
      <c r="BO396" s="40"/>
      <c r="BP396" s="40"/>
      <c r="BQ396" s="40"/>
      <c r="BR396" s="40"/>
      <c r="BS396" s="40"/>
      <c r="BT396" s="40"/>
      <c r="BU396" s="40"/>
      <c r="BV396" s="40"/>
      <c r="BW396" s="40"/>
      <c r="BX396" s="40"/>
      <c r="BY396" s="40"/>
      <c r="BZ396" s="40"/>
      <c r="CA396" s="40"/>
      <c r="CB396" s="40"/>
      <c r="CC396" s="40"/>
      <c r="CD396" s="40"/>
      <c r="CE396" s="40"/>
      <c r="CF396" s="40"/>
      <c r="CG396" s="40"/>
      <c r="CH396" s="40"/>
      <c r="CI396" s="40"/>
      <c r="CJ396" s="40"/>
      <c r="CK396" s="40"/>
      <c r="CL396" s="40"/>
    </row>
    <row r="397" spans="1:90" x14ac:dyDescent="0.25">
      <c r="A397" s="40"/>
      <c r="B397" s="40"/>
      <c r="C397" s="40"/>
      <c r="D397" s="40"/>
      <c r="E397" s="40"/>
      <c r="F397" s="40"/>
      <c r="G397" s="40"/>
      <c r="H397" s="40"/>
      <c r="I397" s="40"/>
      <c r="J397" s="40"/>
      <c r="K397" s="40"/>
      <c r="L397" s="40"/>
      <c r="M397" s="40"/>
      <c r="N397" s="40"/>
      <c r="O397" s="40"/>
      <c r="P397" s="40"/>
      <c r="Q397" s="40"/>
      <c r="R397" s="40"/>
      <c r="S397" s="40"/>
      <c r="T397" s="40"/>
      <c r="U397" s="40"/>
      <c r="V397" s="40"/>
      <c r="W397" s="40"/>
      <c r="X397" s="40"/>
      <c r="Y397" s="40"/>
      <c r="Z397" s="40"/>
      <c r="AA397" s="40"/>
      <c r="AB397" s="40"/>
      <c r="AC397" s="40"/>
      <c r="AD397" s="40"/>
      <c r="AE397" s="40"/>
      <c r="AF397" s="40"/>
      <c r="AG397" s="40"/>
      <c r="AH397" s="40"/>
      <c r="AI397" s="40"/>
      <c r="AJ397" s="40"/>
      <c r="AK397" s="40"/>
      <c r="AL397" s="40"/>
      <c r="AM397" s="40"/>
      <c r="AN397" s="40"/>
      <c r="AO397" s="40"/>
      <c r="AP397" s="40"/>
      <c r="AQ397" s="40"/>
      <c r="AR397" s="40"/>
      <c r="AS397" s="40"/>
      <c r="AT397" s="40"/>
      <c r="AU397" s="40"/>
      <c r="AV397" s="40"/>
      <c r="AW397" s="40"/>
      <c r="AX397" s="40"/>
      <c r="AY397" s="40"/>
      <c r="AZ397" s="40"/>
      <c r="BA397" s="40"/>
      <c r="BB397" s="40"/>
      <c r="BC397" s="40"/>
      <c r="BD397" s="40"/>
      <c r="BE397" s="40"/>
      <c r="BF397" s="40"/>
      <c r="BG397" s="40"/>
      <c r="BH397" s="40"/>
      <c r="BI397" s="40"/>
      <c r="BJ397" s="40"/>
      <c r="BK397" s="40"/>
      <c r="BL397" s="40"/>
      <c r="BM397" s="40"/>
      <c r="BN397" s="40"/>
      <c r="BO397" s="40"/>
      <c r="BP397" s="40"/>
      <c r="BQ397" s="40"/>
      <c r="BR397" s="40"/>
      <c r="BS397" s="40"/>
      <c r="BT397" s="40"/>
      <c r="BU397" s="40"/>
      <c r="BV397" s="40"/>
      <c r="BW397" s="40"/>
      <c r="BX397" s="40"/>
      <c r="BY397" s="40"/>
      <c r="BZ397" s="40"/>
      <c r="CA397" s="40"/>
      <c r="CB397" s="40"/>
      <c r="CC397" s="40"/>
      <c r="CD397" s="40"/>
      <c r="CE397" s="40"/>
      <c r="CF397" s="40"/>
      <c r="CG397" s="40"/>
      <c r="CH397" s="40"/>
      <c r="CI397" s="40"/>
      <c r="CJ397" s="40"/>
      <c r="CK397" s="40"/>
      <c r="CL397" s="40"/>
    </row>
    <row r="398" spans="1:90" x14ac:dyDescent="0.25">
      <c r="A398" s="40"/>
      <c r="B398" s="40"/>
      <c r="C398" s="40"/>
      <c r="D398" s="40"/>
      <c r="E398" s="40"/>
      <c r="F398" s="40"/>
      <c r="G398" s="40"/>
      <c r="H398" s="40"/>
      <c r="I398" s="40"/>
      <c r="J398" s="40"/>
      <c r="K398" s="40"/>
      <c r="L398" s="40"/>
      <c r="M398" s="40"/>
      <c r="N398" s="40"/>
      <c r="O398" s="40"/>
      <c r="P398" s="40"/>
      <c r="Q398" s="40"/>
      <c r="R398" s="40"/>
      <c r="S398" s="40"/>
      <c r="T398" s="40"/>
      <c r="U398" s="40"/>
      <c r="V398" s="40"/>
      <c r="W398" s="40"/>
      <c r="X398" s="40"/>
      <c r="Y398" s="40"/>
      <c r="Z398" s="40"/>
      <c r="AA398" s="40"/>
      <c r="AB398" s="40"/>
      <c r="AC398" s="40"/>
      <c r="AD398" s="40"/>
      <c r="AE398" s="40"/>
      <c r="AF398" s="40"/>
      <c r="AG398" s="40"/>
      <c r="AH398" s="40"/>
      <c r="AI398" s="40"/>
      <c r="AJ398" s="40"/>
      <c r="AK398" s="40"/>
      <c r="AL398" s="40"/>
      <c r="AM398" s="40"/>
      <c r="AN398" s="40"/>
      <c r="AO398" s="40"/>
      <c r="AP398" s="40"/>
      <c r="AQ398" s="40"/>
      <c r="AR398" s="40"/>
      <c r="AS398" s="40"/>
      <c r="AT398" s="40"/>
      <c r="AU398" s="40"/>
      <c r="AV398" s="40"/>
      <c r="AW398" s="40"/>
      <c r="AX398" s="40"/>
      <c r="AY398" s="40"/>
      <c r="AZ398" s="40"/>
      <c r="BA398" s="40"/>
      <c r="BB398" s="40"/>
      <c r="BC398" s="40"/>
      <c r="BD398" s="40"/>
      <c r="BE398" s="40"/>
      <c r="BF398" s="40"/>
      <c r="BG398" s="40"/>
      <c r="BH398" s="40"/>
      <c r="BI398" s="40"/>
      <c r="BJ398" s="40"/>
      <c r="BK398" s="40"/>
      <c r="BL398" s="40"/>
      <c r="BM398" s="40"/>
      <c r="BN398" s="40"/>
      <c r="BO398" s="40"/>
      <c r="BP398" s="40"/>
      <c r="BQ398" s="40"/>
      <c r="BR398" s="40"/>
      <c r="BS398" s="40"/>
      <c r="BT398" s="40"/>
      <c r="BU398" s="40"/>
      <c r="BV398" s="40"/>
      <c r="BW398" s="40"/>
      <c r="BX398" s="40"/>
      <c r="BY398" s="40"/>
      <c r="BZ398" s="40"/>
      <c r="CA398" s="40"/>
      <c r="CB398" s="40"/>
      <c r="CC398" s="40"/>
      <c r="CD398" s="40"/>
      <c r="CE398" s="40"/>
      <c r="CF398" s="40"/>
      <c r="CG398" s="40"/>
      <c r="CH398" s="40"/>
      <c r="CI398" s="40"/>
      <c r="CJ398" s="40"/>
      <c r="CK398" s="40"/>
      <c r="CL398" s="40"/>
    </row>
    <row r="399" spans="1:90" x14ac:dyDescent="0.25">
      <c r="A399" s="40"/>
      <c r="B399" s="40"/>
      <c r="C399" s="40"/>
      <c r="D399" s="40"/>
      <c r="E399" s="40"/>
      <c r="F399" s="40"/>
      <c r="G399" s="40"/>
      <c r="H399" s="40"/>
      <c r="I399" s="40"/>
      <c r="J399" s="40"/>
      <c r="K399" s="40"/>
      <c r="L399" s="40"/>
      <c r="M399" s="40"/>
      <c r="N399" s="40"/>
      <c r="O399" s="40"/>
      <c r="P399" s="40"/>
      <c r="Q399" s="40"/>
      <c r="R399" s="40"/>
      <c r="S399" s="40"/>
      <c r="T399" s="40"/>
      <c r="U399" s="40"/>
      <c r="V399" s="40"/>
      <c r="W399" s="40"/>
      <c r="X399" s="40"/>
      <c r="Y399" s="40"/>
      <c r="Z399" s="40"/>
      <c r="AA399" s="40"/>
      <c r="AB399" s="40"/>
      <c r="AC399" s="40"/>
      <c r="AD399" s="40"/>
      <c r="AE399" s="40"/>
      <c r="AF399" s="40"/>
      <c r="AG399" s="40"/>
      <c r="AH399" s="40"/>
      <c r="AI399" s="40"/>
      <c r="AJ399" s="40"/>
      <c r="AK399" s="40"/>
      <c r="AL399" s="40"/>
      <c r="AM399" s="40"/>
      <c r="AN399" s="40"/>
      <c r="AO399" s="40"/>
      <c r="AP399" s="40"/>
      <c r="AQ399" s="40"/>
      <c r="AR399" s="40"/>
      <c r="AS399" s="40"/>
      <c r="AT399" s="40"/>
      <c r="AU399" s="40"/>
      <c r="AV399" s="40"/>
      <c r="AW399" s="40"/>
      <c r="AX399" s="40"/>
      <c r="AY399" s="40"/>
      <c r="AZ399" s="40"/>
      <c r="BA399" s="40"/>
      <c r="BB399" s="40"/>
      <c r="BC399" s="40"/>
      <c r="BD399" s="40"/>
      <c r="BE399" s="40"/>
      <c r="BF399" s="40"/>
      <c r="BG399" s="40"/>
      <c r="BH399" s="40"/>
      <c r="BI399" s="40"/>
      <c r="BJ399" s="40"/>
      <c r="BK399" s="40"/>
      <c r="BL399" s="40"/>
      <c r="BM399" s="40"/>
      <c r="BN399" s="40"/>
      <c r="BO399" s="40"/>
      <c r="BP399" s="40"/>
      <c r="BQ399" s="40"/>
      <c r="BR399" s="40"/>
      <c r="BS399" s="40"/>
      <c r="BT399" s="40"/>
      <c r="BU399" s="40"/>
      <c r="BV399" s="40"/>
      <c r="BW399" s="40"/>
      <c r="BX399" s="40"/>
      <c r="BY399" s="40"/>
      <c r="BZ399" s="40"/>
      <c r="CA399" s="40"/>
      <c r="CB399" s="40"/>
      <c r="CC399" s="40"/>
      <c r="CD399" s="40"/>
      <c r="CE399" s="40"/>
      <c r="CF399" s="40"/>
      <c r="CG399" s="40"/>
      <c r="CH399" s="40"/>
      <c r="CI399" s="40"/>
      <c r="CJ399" s="40"/>
      <c r="CK399" s="40"/>
      <c r="CL399" s="40"/>
    </row>
    <row r="400" spans="1:90" x14ac:dyDescent="0.25">
      <c r="A400" s="40"/>
      <c r="B400" s="40"/>
      <c r="C400" s="40"/>
      <c r="D400" s="40"/>
      <c r="E400" s="40"/>
      <c r="F400" s="40"/>
      <c r="G400" s="40"/>
      <c r="H400" s="40"/>
      <c r="I400" s="40"/>
      <c r="J400" s="40"/>
      <c r="K400" s="40"/>
      <c r="L400" s="40"/>
      <c r="M400" s="40"/>
      <c r="N400" s="40"/>
      <c r="O400" s="40"/>
      <c r="P400" s="40"/>
      <c r="Q400" s="40"/>
      <c r="R400" s="40"/>
      <c r="S400" s="40"/>
      <c r="T400" s="40"/>
      <c r="U400" s="40"/>
      <c r="V400" s="40"/>
      <c r="W400" s="40"/>
      <c r="X400" s="40"/>
      <c r="Y400" s="40"/>
      <c r="Z400" s="40"/>
      <c r="AA400" s="40"/>
      <c r="AB400" s="40"/>
      <c r="AC400" s="40"/>
      <c r="AD400" s="40"/>
      <c r="AE400" s="40"/>
      <c r="AF400" s="40"/>
      <c r="AG400" s="40"/>
      <c r="AH400" s="40"/>
      <c r="AI400" s="40"/>
      <c r="AJ400" s="40"/>
      <c r="AK400" s="40"/>
      <c r="AL400" s="40"/>
      <c r="AM400" s="40"/>
      <c r="AN400" s="40"/>
      <c r="AO400" s="40"/>
      <c r="AP400" s="40"/>
      <c r="AQ400" s="40"/>
      <c r="AR400" s="40"/>
      <c r="AS400" s="40"/>
      <c r="AT400" s="40"/>
      <c r="AU400" s="40"/>
      <c r="AV400" s="40"/>
      <c r="AW400" s="40"/>
      <c r="AX400" s="40"/>
      <c r="AY400" s="40"/>
      <c r="AZ400" s="40"/>
      <c r="BA400" s="40"/>
      <c r="BB400" s="40"/>
      <c r="BC400" s="40"/>
      <c r="BD400" s="40"/>
      <c r="BE400" s="40"/>
      <c r="BF400" s="40"/>
      <c r="BG400" s="40"/>
      <c r="BH400" s="40"/>
      <c r="BI400" s="40"/>
      <c r="BJ400" s="40"/>
      <c r="BK400" s="40"/>
      <c r="BL400" s="40"/>
      <c r="BM400" s="40"/>
      <c r="BN400" s="40"/>
      <c r="BO400" s="40"/>
      <c r="BP400" s="40"/>
      <c r="BQ400" s="40"/>
      <c r="BR400" s="40"/>
      <c r="BS400" s="40"/>
      <c r="BT400" s="40"/>
      <c r="BU400" s="40"/>
      <c r="BV400" s="40"/>
      <c r="BW400" s="40"/>
      <c r="BX400" s="40"/>
      <c r="BY400" s="40"/>
      <c r="BZ400" s="40"/>
      <c r="CA400" s="40"/>
      <c r="CB400" s="40"/>
      <c r="CC400" s="40"/>
      <c r="CD400" s="40"/>
      <c r="CE400" s="40"/>
      <c r="CF400" s="40"/>
      <c r="CG400" s="40"/>
      <c r="CH400" s="40"/>
      <c r="CI400" s="40"/>
      <c r="CJ400" s="40"/>
      <c r="CK400" s="40"/>
      <c r="CL400" s="40"/>
    </row>
    <row r="401" spans="1:90" x14ac:dyDescent="0.25">
      <c r="A401" s="40"/>
      <c r="B401" s="40"/>
      <c r="C401" s="40"/>
      <c r="D401" s="40"/>
      <c r="E401" s="40"/>
      <c r="F401" s="40"/>
      <c r="G401" s="40"/>
      <c r="H401" s="40"/>
      <c r="I401" s="40"/>
      <c r="J401" s="40"/>
      <c r="K401" s="40"/>
      <c r="L401" s="40"/>
      <c r="M401" s="40"/>
      <c r="N401" s="40"/>
      <c r="O401" s="40"/>
      <c r="P401" s="40"/>
      <c r="Q401" s="40"/>
      <c r="R401" s="40"/>
      <c r="S401" s="40"/>
      <c r="T401" s="40"/>
      <c r="U401" s="40"/>
      <c r="V401" s="40"/>
      <c r="W401" s="40"/>
      <c r="X401" s="40"/>
      <c r="Y401" s="40"/>
      <c r="Z401" s="40"/>
      <c r="AA401" s="40"/>
      <c r="AB401" s="40"/>
      <c r="AC401" s="40"/>
      <c r="AD401" s="40"/>
      <c r="AE401" s="40"/>
      <c r="AF401" s="40"/>
      <c r="AG401" s="40"/>
      <c r="AH401" s="40"/>
      <c r="AI401" s="40"/>
      <c r="AJ401" s="40"/>
      <c r="AK401" s="40"/>
      <c r="AL401" s="40"/>
      <c r="AM401" s="40"/>
      <c r="AN401" s="40"/>
      <c r="AO401" s="40"/>
      <c r="AP401" s="40"/>
      <c r="AQ401" s="40"/>
      <c r="AR401" s="40"/>
      <c r="AS401" s="40"/>
      <c r="AT401" s="40"/>
      <c r="AU401" s="40"/>
      <c r="AV401" s="40"/>
      <c r="AW401" s="40"/>
      <c r="AX401" s="40"/>
      <c r="AY401" s="40"/>
      <c r="AZ401" s="40"/>
      <c r="BA401" s="40"/>
      <c r="BB401" s="40"/>
      <c r="BC401" s="40"/>
      <c r="BD401" s="40"/>
      <c r="BE401" s="40"/>
      <c r="BF401" s="40"/>
      <c r="BG401" s="40"/>
      <c r="BH401" s="40"/>
      <c r="BI401" s="40"/>
      <c r="BJ401" s="40"/>
      <c r="BK401" s="40"/>
      <c r="BL401" s="40"/>
      <c r="BM401" s="40"/>
      <c r="BN401" s="40"/>
      <c r="BO401" s="40"/>
      <c r="BP401" s="40"/>
      <c r="BQ401" s="40"/>
      <c r="BR401" s="40"/>
      <c r="BS401" s="40"/>
      <c r="BT401" s="40"/>
      <c r="BU401" s="40"/>
      <c r="BV401" s="40"/>
      <c r="BW401" s="40"/>
      <c r="BX401" s="40"/>
      <c r="BY401" s="40"/>
      <c r="BZ401" s="40"/>
      <c r="CA401" s="40"/>
      <c r="CB401" s="40"/>
      <c r="CC401" s="40"/>
      <c r="CD401" s="40"/>
      <c r="CE401" s="40"/>
      <c r="CF401" s="40"/>
      <c r="CG401" s="40"/>
      <c r="CH401" s="40"/>
      <c r="CI401" s="40"/>
      <c r="CJ401" s="40"/>
      <c r="CK401" s="40"/>
      <c r="CL401" s="40"/>
    </row>
    <row r="402" spans="1:90" x14ac:dyDescent="0.25">
      <c r="A402" s="40"/>
      <c r="B402" s="40"/>
      <c r="C402" s="40"/>
      <c r="D402" s="40"/>
      <c r="E402" s="40"/>
      <c r="F402" s="40"/>
      <c r="G402" s="40"/>
      <c r="H402" s="40"/>
      <c r="I402" s="40"/>
      <c r="J402" s="40"/>
      <c r="K402" s="40"/>
      <c r="L402" s="40"/>
      <c r="M402" s="40"/>
      <c r="N402" s="40"/>
      <c r="O402" s="40"/>
      <c r="P402" s="40"/>
      <c r="Q402" s="40"/>
      <c r="R402" s="40"/>
      <c r="S402" s="40"/>
      <c r="T402" s="40"/>
      <c r="U402" s="40"/>
      <c r="V402" s="40"/>
      <c r="W402" s="40"/>
      <c r="X402" s="40"/>
      <c r="Y402" s="40"/>
      <c r="Z402" s="40"/>
      <c r="AA402" s="40"/>
      <c r="AB402" s="40"/>
      <c r="AC402" s="40"/>
      <c r="AD402" s="40"/>
      <c r="AE402" s="40"/>
      <c r="AF402" s="40"/>
      <c r="AG402" s="40"/>
      <c r="AH402" s="40"/>
      <c r="AI402" s="40"/>
      <c r="AJ402" s="40"/>
      <c r="AK402" s="40"/>
      <c r="AL402" s="40"/>
      <c r="AM402" s="40"/>
      <c r="AN402" s="40"/>
      <c r="AO402" s="40"/>
      <c r="AP402" s="40"/>
      <c r="AQ402" s="40"/>
      <c r="AR402" s="40"/>
      <c r="AS402" s="40"/>
      <c r="AT402" s="40"/>
      <c r="AU402" s="40"/>
      <c r="AV402" s="40"/>
      <c r="AW402" s="40"/>
      <c r="AX402" s="40"/>
      <c r="AY402" s="40"/>
      <c r="AZ402" s="40"/>
      <c r="BA402" s="40"/>
      <c r="BB402" s="40"/>
      <c r="BC402" s="40"/>
      <c r="BD402" s="40"/>
      <c r="BE402" s="40"/>
      <c r="BF402" s="40"/>
      <c r="BG402" s="40"/>
      <c r="BH402" s="40"/>
      <c r="BI402" s="40"/>
      <c r="BJ402" s="40"/>
      <c r="BK402" s="40"/>
      <c r="BL402" s="40"/>
      <c r="BM402" s="40"/>
      <c r="BN402" s="40"/>
      <c r="BO402" s="40"/>
      <c r="BP402" s="40"/>
      <c r="BQ402" s="40"/>
      <c r="BR402" s="40"/>
      <c r="BS402" s="40"/>
      <c r="BT402" s="40"/>
      <c r="BU402" s="40"/>
      <c r="BV402" s="40"/>
      <c r="BW402" s="40"/>
      <c r="BX402" s="40"/>
      <c r="BY402" s="40"/>
      <c r="BZ402" s="40"/>
      <c r="CA402" s="40"/>
      <c r="CB402" s="40"/>
      <c r="CC402" s="40"/>
      <c r="CD402" s="40"/>
      <c r="CE402" s="40"/>
      <c r="CF402" s="40"/>
      <c r="CG402" s="40"/>
      <c r="CH402" s="40"/>
      <c r="CI402" s="40"/>
      <c r="CJ402" s="40"/>
      <c r="CK402" s="40"/>
      <c r="CL402" s="40"/>
    </row>
    <row r="403" spans="1:90" x14ac:dyDescent="0.25">
      <c r="A403" s="40"/>
      <c r="B403" s="40"/>
      <c r="C403" s="40"/>
      <c r="D403" s="40"/>
      <c r="E403" s="40"/>
      <c r="F403" s="40"/>
      <c r="G403" s="40"/>
      <c r="H403" s="40"/>
      <c r="I403" s="40"/>
      <c r="J403" s="40"/>
      <c r="K403" s="40"/>
      <c r="L403" s="40"/>
      <c r="M403" s="40"/>
      <c r="N403" s="40"/>
      <c r="O403" s="40"/>
      <c r="P403" s="40"/>
      <c r="Q403" s="40"/>
      <c r="R403" s="40"/>
      <c r="S403" s="40"/>
      <c r="T403" s="40"/>
      <c r="U403" s="40"/>
      <c r="V403" s="40"/>
      <c r="W403" s="40"/>
      <c r="X403" s="40"/>
      <c r="Y403" s="40"/>
      <c r="Z403" s="40"/>
      <c r="AA403" s="40"/>
      <c r="AB403" s="40"/>
      <c r="AC403" s="40"/>
      <c r="AD403" s="40"/>
      <c r="AE403" s="40"/>
      <c r="AF403" s="40"/>
      <c r="AG403" s="40"/>
      <c r="AH403" s="40"/>
      <c r="AI403" s="40"/>
      <c r="AJ403" s="40"/>
      <c r="AK403" s="40"/>
      <c r="AL403" s="40"/>
      <c r="AM403" s="40"/>
      <c r="AN403" s="40"/>
      <c r="AO403" s="40"/>
      <c r="AP403" s="40"/>
      <c r="AQ403" s="40"/>
      <c r="AR403" s="40"/>
      <c r="AS403" s="40"/>
      <c r="AT403" s="40"/>
      <c r="AU403" s="40"/>
      <c r="AV403" s="40"/>
      <c r="AW403" s="40"/>
      <c r="AX403" s="40"/>
      <c r="AY403" s="40"/>
      <c r="AZ403" s="40"/>
      <c r="BA403" s="40"/>
      <c r="BB403" s="40"/>
      <c r="BC403" s="40"/>
      <c r="BD403" s="40"/>
      <c r="BE403" s="40"/>
      <c r="BF403" s="40"/>
      <c r="BG403" s="40"/>
      <c r="BH403" s="40"/>
      <c r="BI403" s="40"/>
      <c r="BJ403" s="40"/>
      <c r="BK403" s="40"/>
      <c r="BL403" s="40"/>
      <c r="BM403" s="40"/>
      <c r="BN403" s="40"/>
      <c r="BO403" s="40"/>
      <c r="BP403" s="40"/>
      <c r="BQ403" s="40"/>
      <c r="BR403" s="40"/>
      <c r="BS403" s="40"/>
      <c r="BT403" s="40"/>
      <c r="BU403" s="40"/>
      <c r="BV403" s="40"/>
      <c r="BW403" s="40"/>
      <c r="BX403" s="40"/>
      <c r="BY403" s="40"/>
      <c r="BZ403" s="40"/>
      <c r="CA403" s="40"/>
      <c r="CB403" s="40"/>
      <c r="CC403" s="40"/>
      <c r="CD403" s="40"/>
      <c r="CE403" s="40"/>
      <c r="CF403" s="40"/>
      <c r="CG403" s="40"/>
      <c r="CH403" s="40"/>
      <c r="CI403" s="40"/>
      <c r="CJ403" s="40"/>
      <c r="CK403" s="40"/>
      <c r="CL403" s="40"/>
    </row>
    <row r="404" spans="1:90" x14ac:dyDescent="0.25">
      <c r="A404" s="40"/>
      <c r="B404" s="40"/>
      <c r="C404" s="40"/>
      <c r="D404" s="40"/>
      <c r="E404" s="40"/>
      <c r="F404" s="40"/>
      <c r="G404" s="40"/>
      <c r="H404" s="40"/>
      <c r="I404" s="40"/>
      <c r="J404" s="40"/>
      <c r="K404" s="40"/>
      <c r="L404" s="40"/>
      <c r="M404" s="40"/>
      <c r="N404" s="40"/>
      <c r="O404" s="40"/>
      <c r="P404" s="40"/>
      <c r="Q404" s="40"/>
      <c r="R404" s="40"/>
      <c r="S404" s="40"/>
      <c r="T404" s="40"/>
      <c r="U404" s="40"/>
      <c r="V404" s="40"/>
      <c r="W404" s="40"/>
      <c r="X404" s="40"/>
      <c r="Y404" s="40"/>
      <c r="Z404" s="40"/>
      <c r="AA404" s="40"/>
      <c r="AB404" s="40"/>
      <c r="AC404" s="40"/>
      <c r="AD404" s="40"/>
      <c r="AE404" s="40"/>
      <c r="AF404" s="40"/>
      <c r="AG404" s="40"/>
      <c r="AH404" s="40"/>
      <c r="AI404" s="40"/>
      <c r="AJ404" s="40"/>
      <c r="AK404" s="40"/>
      <c r="AL404" s="40"/>
      <c r="AM404" s="40"/>
      <c r="AN404" s="40"/>
      <c r="AO404" s="40"/>
      <c r="AP404" s="40"/>
      <c r="AQ404" s="40"/>
      <c r="AR404" s="40"/>
      <c r="AS404" s="40"/>
      <c r="AT404" s="40"/>
      <c r="AU404" s="40"/>
      <c r="AV404" s="40"/>
      <c r="AW404" s="40"/>
      <c r="AX404" s="40"/>
      <c r="AY404" s="40"/>
      <c r="AZ404" s="40"/>
      <c r="BA404" s="40"/>
      <c r="BB404" s="40"/>
      <c r="BC404" s="40"/>
      <c r="BD404" s="40"/>
      <c r="BE404" s="40"/>
      <c r="BF404" s="40"/>
      <c r="BG404" s="40"/>
      <c r="BH404" s="40"/>
      <c r="BI404" s="40"/>
      <c r="BJ404" s="40"/>
      <c r="BK404" s="40"/>
      <c r="BL404" s="40"/>
      <c r="BM404" s="40"/>
      <c r="BN404" s="40"/>
      <c r="BO404" s="40"/>
      <c r="BP404" s="40"/>
      <c r="BQ404" s="40"/>
      <c r="BR404" s="40"/>
      <c r="BS404" s="40"/>
      <c r="BT404" s="40"/>
      <c r="BU404" s="40"/>
      <c r="BV404" s="40"/>
      <c r="BW404" s="40"/>
      <c r="BX404" s="40"/>
      <c r="BY404" s="40"/>
      <c r="BZ404" s="40"/>
      <c r="CA404" s="40"/>
      <c r="CB404" s="40"/>
      <c r="CC404" s="40"/>
      <c r="CD404" s="40"/>
      <c r="CE404" s="40"/>
      <c r="CF404" s="40"/>
      <c r="CG404" s="40"/>
      <c r="CH404" s="40"/>
      <c r="CI404" s="40"/>
      <c r="CJ404" s="40"/>
      <c r="CK404" s="40"/>
      <c r="CL404" s="40"/>
    </row>
    <row r="405" spans="1:90" x14ac:dyDescent="0.25">
      <c r="A405" s="40"/>
      <c r="B405" s="40"/>
      <c r="C405" s="40"/>
      <c r="D405" s="40"/>
      <c r="E405" s="40"/>
      <c r="F405" s="40"/>
      <c r="G405" s="40"/>
      <c r="H405" s="40"/>
      <c r="I405" s="40"/>
      <c r="J405" s="40"/>
      <c r="K405" s="40"/>
      <c r="L405" s="40"/>
      <c r="M405" s="40"/>
      <c r="N405" s="40"/>
      <c r="O405" s="40"/>
      <c r="P405" s="40"/>
      <c r="Q405" s="40"/>
      <c r="R405" s="40"/>
      <c r="S405" s="40"/>
      <c r="T405" s="40"/>
      <c r="U405" s="40"/>
      <c r="V405" s="40"/>
      <c r="W405" s="40"/>
      <c r="X405" s="40"/>
      <c r="Y405" s="40"/>
      <c r="Z405" s="40"/>
      <c r="AA405" s="40"/>
      <c r="AB405" s="40"/>
      <c r="AC405" s="40"/>
      <c r="AD405" s="40"/>
      <c r="AE405" s="40"/>
      <c r="AF405" s="40"/>
      <c r="AG405" s="40"/>
      <c r="AH405" s="40"/>
      <c r="AI405" s="40"/>
      <c r="AJ405" s="40"/>
      <c r="AK405" s="40"/>
      <c r="AL405" s="40"/>
      <c r="AM405" s="40"/>
      <c r="AN405" s="40"/>
      <c r="AO405" s="40"/>
      <c r="AP405" s="40"/>
      <c r="AQ405" s="40"/>
      <c r="AR405" s="40"/>
      <c r="AS405" s="40"/>
      <c r="AT405" s="40"/>
      <c r="AU405" s="40"/>
      <c r="AV405" s="40"/>
      <c r="AW405" s="40"/>
      <c r="AX405" s="40"/>
      <c r="AY405" s="40"/>
      <c r="AZ405" s="40"/>
      <c r="BA405" s="40"/>
      <c r="BB405" s="40"/>
      <c r="BC405" s="40"/>
      <c r="BD405" s="40"/>
      <c r="BE405" s="40"/>
      <c r="BF405" s="40"/>
      <c r="BG405" s="40"/>
      <c r="BH405" s="40"/>
      <c r="BI405" s="40"/>
      <c r="BJ405" s="40"/>
      <c r="BK405" s="40"/>
      <c r="BL405" s="40"/>
      <c r="BM405" s="40"/>
      <c r="BN405" s="40"/>
      <c r="BO405" s="40"/>
      <c r="BP405" s="40"/>
      <c r="BQ405" s="40"/>
      <c r="BR405" s="40"/>
      <c r="BS405" s="40"/>
      <c r="BT405" s="40"/>
      <c r="BU405" s="40"/>
      <c r="BV405" s="40"/>
      <c r="BW405" s="40"/>
      <c r="BX405" s="40"/>
      <c r="BY405" s="40"/>
      <c r="BZ405" s="40"/>
      <c r="CA405" s="40"/>
      <c r="CB405" s="40"/>
      <c r="CC405" s="40"/>
      <c r="CD405" s="40"/>
      <c r="CE405" s="40"/>
      <c r="CF405" s="40"/>
      <c r="CG405" s="40"/>
      <c r="CH405" s="40"/>
      <c r="CI405" s="40"/>
      <c r="CJ405" s="40"/>
      <c r="CK405" s="40"/>
      <c r="CL405" s="40"/>
    </row>
    <row r="406" spans="1:90" x14ac:dyDescent="0.25">
      <c r="A406" s="40"/>
      <c r="B406" s="40"/>
      <c r="C406" s="40"/>
      <c r="D406" s="40"/>
      <c r="E406" s="40"/>
      <c r="F406" s="40"/>
      <c r="G406" s="40"/>
      <c r="H406" s="40"/>
      <c r="I406" s="40"/>
      <c r="J406" s="40"/>
      <c r="K406" s="40"/>
      <c r="L406" s="40"/>
      <c r="M406" s="40"/>
      <c r="N406" s="40"/>
      <c r="O406" s="40"/>
      <c r="P406" s="40"/>
      <c r="Q406" s="40"/>
      <c r="R406" s="40"/>
      <c r="S406" s="40"/>
      <c r="T406" s="40"/>
      <c r="U406" s="40"/>
      <c r="V406" s="40"/>
      <c r="W406" s="40"/>
      <c r="X406" s="40"/>
      <c r="Y406" s="40"/>
      <c r="Z406" s="40"/>
      <c r="AA406" s="40"/>
      <c r="AB406" s="40"/>
      <c r="AC406" s="40"/>
      <c r="AD406" s="40"/>
      <c r="AE406" s="40"/>
      <c r="AF406" s="40"/>
      <c r="AG406" s="40"/>
      <c r="AH406" s="40"/>
      <c r="AI406" s="40"/>
      <c r="AJ406" s="40"/>
      <c r="AK406" s="40"/>
      <c r="AL406" s="40"/>
      <c r="AM406" s="40"/>
      <c r="AN406" s="40"/>
      <c r="AO406" s="40"/>
      <c r="AP406" s="40"/>
      <c r="AQ406" s="40"/>
      <c r="AR406" s="40"/>
      <c r="AS406" s="40"/>
      <c r="AT406" s="40"/>
      <c r="AU406" s="40"/>
      <c r="AV406" s="40"/>
      <c r="AW406" s="40"/>
      <c r="AX406" s="40"/>
      <c r="AY406" s="40"/>
      <c r="AZ406" s="40"/>
      <c r="BA406" s="40"/>
      <c r="BB406" s="40"/>
      <c r="BC406" s="40"/>
      <c r="BD406" s="40"/>
      <c r="BE406" s="40"/>
      <c r="BF406" s="40"/>
      <c r="BG406" s="40"/>
      <c r="BH406" s="40"/>
      <c r="BI406" s="40"/>
      <c r="BJ406" s="40"/>
      <c r="BK406" s="40"/>
      <c r="BL406" s="40"/>
      <c r="BM406" s="40"/>
      <c r="BN406" s="40"/>
      <c r="BO406" s="40"/>
      <c r="BP406" s="40"/>
      <c r="BQ406" s="40"/>
      <c r="BR406" s="40"/>
      <c r="BS406" s="40"/>
      <c r="BT406" s="40"/>
      <c r="BU406" s="40"/>
      <c r="BV406" s="40"/>
      <c r="BW406" s="40"/>
      <c r="BX406" s="40"/>
      <c r="BY406" s="40"/>
      <c r="BZ406" s="40"/>
      <c r="CA406" s="40"/>
      <c r="CB406" s="40"/>
      <c r="CC406" s="40"/>
      <c r="CD406" s="40"/>
      <c r="CE406" s="40"/>
      <c r="CF406" s="40"/>
      <c r="CG406" s="40"/>
      <c r="CH406" s="40"/>
      <c r="CI406" s="40"/>
      <c r="CJ406" s="40"/>
      <c r="CK406" s="40"/>
      <c r="CL406" s="40"/>
    </row>
    <row r="407" spans="1:90" x14ac:dyDescent="0.25">
      <c r="A407" s="40"/>
      <c r="B407" s="40"/>
      <c r="C407" s="40"/>
      <c r="D407" s="40"/>
      <c r="E407" s="40"/>
      <c r="F407" s="40"/>
      <c r="G407" s="40"/>
      <c r="H407" s="40"/>
      <c r="I407" s="40"/>
      <c r="J407" s="40"/>
      <c r="K407" s="40"/>
      <c r="L407" s="40"/>
      <c r="M407" s="40"/>
      <c r="N407" s="40"/>
      <c r="O407" s="40"/>
      <c r="P407" s="40"/>
      <c r="Q407" s="40"/>
      <c r="R407" s="40"/>
      <c r="S407" s="40"/>
      <c r="T407" s="40"/>
      <c r="U407" s="40"/>
      <c r="V407" s="40"/>
      <c r="W407" s="40"/>
      <c r="X407" s="40"/>
      <c r="Y407" s="40"/>
      <c r="Z407" s="40"/>
      <c r="AA407" s="40"/>
      <c r="AB407" s="40"/>
      <c r="AC407" s="40"/>
      <c r="AD407" s="40"/>
      <c r="AE407" s="40"/>
      <c r="AF407" s="40"/>
      <c r="AG407" s="40"/>
      <c r="AH407" s="40"/>
      <c r="AI407" s="40"/>
      <c r="AJ407" s="40"/>
      <c r="AK407" s="40"/>
      <c r="AL407" s="40"/>
      <c r="AM407" s="40"/>
      <c r="AN407" s="40"/>
      <c r="AO407" s="40"/>
      <c r="AP407" s="40"/>
      <c r="AQ407" s="40"/>
      <c r="AR407" s="40"/>
      <c r="AS407" s="40"/>
      <c r="AT407" s="40"/>
      <c r="AU407" s="40"/>
      <c r="AV407" s="40"/>
      <c r="AW407" s="40"/>
      <c r="AX407" s="40"/>
      <c r="AY407" s="40"/>
      <c r="AZ407" s="40"/>
      <c r="BA407" s="40"/>
      <c r="BB407" s="40"/>
      <c r="BC407" s="40"/>
      <c r="BD407" s="40"/>
      <c r="BE407" s="40"/>
      <c r="BF407" s="40"/>
      <c r="BG407" s="40"/>
      <c r="BH407" s="40"/>
      <c r="BI407" s="40"/>
      <c r="BJ407" s="40"/>
      <c r="BK407" s="40"/>
      <c r="BL407" s="40"/>
      <c r="BM407" s="40"/>
      <c r="BN407" s="40"/>
      <c r="BO407" s="40"/>
      <c r="BP407" s="40"/>
      <c r="BQ407" s="40"/>
      <c r="BR407" s="40"/>
      <c r="BS407" s="40"/>
      <c r="BT407" s="40"/>
      <c r="BU407" s="40"/>
      <c r="BV407" s="40"/>
      <c r="BW407" s="40"/>
      <c r="BX407" s="40"/>
      <c r="BY407" s="40"/>
      <c r="BZ407" s="40"/>
      <c r="CA407" s="40"/>
      <c r="CB407" s="40"/>
      <c r="CC407" s="40"/>
      <c r="CD407" s="40"/>
      <c r="CE407" s="40"/>
      <c r="CF407" s="40"/>
      <c r="CG407" s="40"/>
      <c r="CH407" s="40"/>
      <c r="CI407" s="40"/>
      <c r="CJ407" s="40"/>
      <c r="CK407" s="40"/>
      <c r="CL407" s="40"/>
    </row>
    <row r="408" spans="1:90" x14ac:dyDescent="0.25">
      <c r="A408" s="40"/>
      <c r="B408" s="40"/>
      <c r="C408" s="40"/>
      <c r="D408" s="40"/>
      <c r="E408" s="40"/>
      <c r="F408" s="40"/>
      <c r="G408" s="40"/>
      <c r="H408" s="40"/>
      <c r="I408" s="40"/>
      <c r="J408" s="40"/>
      <c r="K408" s="40"/>
      <c r="L408" s="40"/>
      <c r="M408" s="40"/>
      <c r="N408" s="40"/>
      <c r="O408" s="40"/>
      <c r="P408" s="40"/>
      <c r="Q408" s="40"/>
      <c r="R408" s="40"/>
      <c r="S408" s="40"/>
      <c r="T408" s="40"/>
      <c r="U408" s="40"/>
      <c r="V408" s="40"/>
      <c r="W408" s="40"/>
      <c r="X408" s="40"/>
      <c r="Y408" s="40"/>
      <c r="Z408" s="40"/>
      <c r="AA408" s="40"/>
      <c r="AB408" s="40"/>
      <c r="AC408" s="40"/>
      <c r="AD408" s="40"/>
      <c r="AE408" s="40"/>
      <c r="AF408" s="40"/>
      <c r="AG408" s="40"/>
      <c r="AH408" s="40"/>
      <c r="AI408" s="40"/>
      <c r="AJ408" s="40"/>
      <c r="AK408" s="40"/>
      <c r="AL408" s="40"/>
      <c r="AM408" s="40"/>
      <c r="AN408" s="40"/>
      <c r="AO408" s="40"/>
      <c r="AP408" s="40"/>
      <c r="AQ408" s="40"/>
      <c r="AR408" s="40"/>
      <c r="AS408" s="40"/>
      <c r="AT408" s="40"/>
      <c r="AU408" s="40"/>
      <c r="AV408" s="40"/>
      <c r="AW408" s="40"/>
      <c r="AX408" s="40"/>
      <c r="AY408" s="40"/>
      <c r="AZ408" s="40"/>
      <c r="BA408" s="40"/>
      <c r="BB408" s="40"/>
      <c r="BC408" s="40"/>
      <c r="BD408" s="40"/>
      <c r="BE408" s="40"/>
      <c r="BF408" s="40"/>
      <c r="BG408" s="40"/>
      <c r="BH408" s="40"/>
      <c r="BI408" s="40"/>
      <c r="BJ408" s="40"/>
      <c r="BK408" s="40"/>
      <c r="BL408" s="40"/>
      <c r="BM408" s="40"/>
      <c r="BN408" s="40"/>
      <c r="BO408" s="40"/>
      <c r="BP408" s="40"/>
      <c r="BQ408" s="40"/>
      <c r="BR408" s="40"/>
      <c r="BS408" s="40"/>
      <c r="BT408" s="40"/>
      <c r="BU408" s="40"/>
      <c r="BV408" s="40"/>
      <c r="BW408" s="40"/>
      <c r="BX408" s="40"/>
      <c r="BY408" s="40"/>
      <c r="BZ408" s="40"/>
      <c r="CA408" s="40"/>
      <c r="CB408" s="40"/>
      <c r="CC408" s="40"/>
      <c r="CD408" s="40"/>
      <c r="CE408" s="40"/>
      <c r="CF408" s="40"/>
      <c r="CG408" s="40"/>
      <c r="CH408" s="40"/>
      <c r="CI408" s="40"/>
      <c r="CJ408" s="40"/>
      <c r="CK408" s="40"/>
      <c r="CL408" s="40"/>
    </row>
    <row r="409" spans="1:90" x14ac:dyDescent="0.25">
      <c r="A409" s="40"/>
      <c r="B409" s="40"/>
      <c r="C409" s="40"/>
      <c r="D409" s="40"/>
      <c r="E409" s="40"/>
      <c r="F409" s="40"/>
      <c r="G409" s="40"/>
      <c r="H409" s="40"/>
      <c r="I409" s="40"/>
      <c r="J409" s="40"/>
      <c r="K409" s="40"/>
      <c r="L409" s="40"/>
      <c r="M409" s="40"/>
      <c r="N409" s="40"/>
      <c r="O409" s="40"/>
      <c r="P409" s="40"/>
      <c r="Q409" s="40"/>
      <c r="R409" s="40"/>
      <c r="S409" s="40"/>
      <c r="T409" s="40"/>
      <c r="U409" s="40"/>
      <c r="V409" s="40"/>
      <c r="W409" s="40"/>
      <c r="X409" s="40"/>
      <c r="Y409" s="40"/>
      <c r="Z409" s="40"/>
      <c r="AA409" s="40"/>
      <c r="AB409" s="40"/>
      <c r="AC409" s="40"/>
      <c r="AD409" s="40"/>
      <c r="AE409" s="40"/>
      <c r="AF409" s="40"/>
      <c r="AG409" s="40"/>
      <c r="AH409" s="40"/>
      <c r="AI409" s="40"/>
      <c r="AJ409" s="40"/>
      <c r="AK409" s="40"/>
      <c r="AL409" s="40"/>
      <c r="AM409" s="40"/>
      <c r="AN409" s="40"/>
      <c r="AO409" s="40"/>
      <c r="AP409" s="40"/>
      <c r="AQ409" s="40"/>
      <c r="AR409" s="40"/>
      <c r="AS409" s="40"/>
      <c r="AT409" s="40"/>
      <c r="AU409" s="40"/>
      <c r="AV409" s="40"/>
      <c r="AW409" s="40"/>
      <c r="AX409" s="40"/>
      <c r="AY409" s="40"/>
      <c r="AZ409" s="40"/>
      <c r="BA409" s="40"/>
      <c r="BB409" s="40"/>
      <c r="BC409" s="40"/>
      <c r="BD409" s="40"/>
      <c r="BE409" s="40"/>
      <c r="BF409" s="40"/>
      <c r="BG409" s="40"/>
      <c r="BH409" s="40"/>
      <c r="BI409" s="40"/>
      <c r="BJ409" s="40"/>
      <c r="BK409" s="40"/>
      <c r="BL409" s="40"/>
      <c r="BM409" s="40"/>
      <c r="BN409" s="40"/>
      <c r="BO409" s="40"/>
      <c r="BP409" s="40"/>
      <c r="BQ409" s="40"/>
      <c r="BR409" s="40"/>
      <c r="BS409" s="40"/>
      <c r="BT409" s="40"/>
      <c r="BU409" s="40"/>
      <c r="BV409" s="40"/>
      <c r="BW409" s="40"/>
      <c r="BX409" s="40"/>
      <c r="BY409" s="40"/>
      <c r="BZ409" s="40"/>
      <c r="CA409" s="40"/>
      <c r="CB409" s="40"/>
      <c r="CC409" s="40"/>
      <c r="CD409" s="40"/>
      <c r="CE409" s="40"/>
      <c r="CF409" s="40"/>
      <c r="CG409" s="40"/>
      <c r="CH409" s="40"/>
      <c r="CI409" s="40"/>
      <c r="CJ409" s="40"/>
      <c r="CK409" s="40"/>
      <c r="CL409" s="40"/>
    </row>
    <row r="410" spans="1:90" x14ac:dyDescent="0.25">
      <c r="A410" s="40"/>
      <c r="B410" s="40"/>
      <c r="C410" s="40"/>
      <c r="D410" s="40"/>
      <c r="E410" s="40"/>
      <c r="F410" s="40"/>
      <c r="G410" s="40"/>
      <c r="H410" s="40"/>
      <c r="I410" s="40"/>
      <c r="J410" s="40"/>
      <c r="K410" s="40"/>
      <c r="L410" s="40"/>
      <c r="M410" s="40"/>
      <c r="N410" s="40"/>
      <c r="O410" s="40"/>
      <c r="P410" s="40"/>
      <c r="Q410" s="40"/>
      <c r="R410" s="40"/>
      <c r="S410" s="40"/>
      <c r="T410" s="40"/>
      <c r="U410" s="40"/>
      <c r="V410" s="40"/>
      <c r="W410" s="40"/>
      <c r="X410" s="40"/>
      <c r="Y410" s="40"/>
      <c r="Z410" s="40"/>
      <c r="AA410" s="40"/>
      <c r="AB410" s="40"/>
      <c r="AC410" s="40"/>
      <c r="AD410" s="40"/>
      <c r="AE410" s="40"/>
      <c r="AF410" s="40"/>
      <c r="AG410" s="40"/>
      <c r="AH410" s="40"/>
      <c r="AI410" s="40"/>
      <c r="AJ410" s="40"/>
      <c r="AK410" s="40"/>
      <c r="AL410" s="40"/>
      <c r="AM410" s="40"/>
      <c r="AN410" s="40"/>
      <c r="AO410" s="40"/>
      <c r="AP410" s="40"/>
      <c r="AQ410" s="40"/>
      <c r="AR410" s="40"/>
      <c r="AS410" s="40"/>
      <c r="AT410" s="40"/>
      <c r="AU410" s="40"/>
      <c r="AV410" s="40"/>
      <c r="AW410" s="40"/>
      <c r="AX410" s="40"/>
      <c r="AY410" s="40"/>
      <c r="AZ410" s="40"/>
      <c r="BA410" s="40"/>
      <c r="BB410" s="40"/>
      <c r="BC410" s="40"/>
      <c r="BD410" s="40"/>
      <c r="BE410" s="40"/>
      <c r="BF410" s="40"/>
      <c r="BG410" s="40"/>
      <c r="BH410" s="40"/>
      <c r="BI410" s="40"/>
      <c r="BJ410" s="40"/>
      <c r="BK410" s="40"/>
      <c r="BL410" s="40"/>
      <c r="BM410" s="40"/>
      <c r="BN410" s="40"/>
      <c r="BO410" s="40"/>
      <c r="BP410" s="40"/>
      <c r="BQ410" s="40"/>
      <c r="BR410" s="40"/>
      <c r="BS410" s="40"/>
      <c r="BT410" s="40"/>
      <c r="BU410" s="40"/>
      <c r="BV410" s="40"/>
      <c r="BW410" s="40"/>
      <c r="BX410" s="40"/>
      <c r="BY410" s="40"/>
      <c r="BZ410" s="40"/>
      <c r="CA410" s="40"/>
      <c r="CB410" s="40"/>
      <c r="CC410" s="40"/>
      <c r="CD410" s="40"/>
      <c r="CE410" s="40"/>
      <c r="CF410" s="40"/>
      <c r="CG410" s="40"/>
      <c r="CH410" s="40"/>
      <c r="CI410" s="40"/>
      <c r="CJ410" s="40"/>
      <c r="CK410" s="40"/>
      <c r="CL410" s="40"/>
    </row>
    <row r="411" spans="1:90" x14ac:dyDescent="0.25">
      <c r="A411" s="40"/>
      <c r="B411" s="40"/>
      <c r="C411" s="40"/>
      <c r="D411" s="40"/>
      <c r="E411" s="40"/>
      <c r="F411" s="40"/>
      <c r="G411" s="40"/>
      <c r="H411" s="40"/>
      <c r="I411" s="40"/>
      <c r="J411" s="40"/>
      <c r="K411" s="40"/>
      <c r="L411" s="40"/>
      <c r="M411" s="40"/>
      <c r="N411" s="40"/>
      <c r="O411" s="40"/>
      <c r="P411" s="40"/>
      <c r="Q411" s="40"/>
      <c r="R411" s="40"/>
      <c r="S411" s="40"/>
      <c r="T411" s="40"/>
      <c r="U411" s="40"/>
      <c r="V411" s="40"/>
      <c r="W411" s="40"/>
      <c r="X411" s="40"/>
      <c r="Y411" s="40"/>
      <c r="Z411" s="40"/>
      <c r="AA411" s="40"/>
      <c r="AB411" s="40"/>
      <c r="AC411" s="40"/>
      <c r="AD411" s="40"/>
      <c r="AE411" s="40"/>
      <c r="AF411" s="40"/>
      <c r="AG411" s="40"/>
      <c r="AH411" s="40"/>
      <c r="AI411" s="40"/>
      <c r="AJ411" s="40"/>
      <c r="AK411" s="40"/>
      <c r="AL411" s="40"/>
      <c r="AM411" s="40"/>
      <c r="AN411" s="40"/>
      <c r="AO411" s="40"/>
      <c r="AP411" s="40"/>
      <c r="AQ411" s="40"/>
      <c r="AR411" s="40"/>
      <c r="AS411" s="40"/>
      <c r="AT411" s="40"/>
      <c r="AU411" s="40"/>
      <c r="AV411" s="40"/>
      <c r="AW411" s="40"/>
      <c r="AX411" s="40"/>
      <c r="AY411" s="40"/>
      <c r="AZ411" s="40"/>
      <c r="BA411" s="40"/>
      <c r="BB411" s="40"/>
      <c r="BC411" s="40"/>
      <c r="BD411" s="40"/>
      <c r="BE411" s="40"/>
      <c r="BF411" s="40"/>
      <c r="BG411" s="40"/>
      <c r="BH411" s="40"/>
      <c r="BI411" s="40"/>
      <c r="BJ411" s="40"/>
      <c r="BK411" s="40"/>
      <c r="BL411" s="40"/>
      <c r="BM411" s="40"/>
      <c r="BN411" s="40"/>
      <c r="BO411" s="40"/>
      <c r="BP411" s="40"/>
      <c r="BQ411" s="40"/>
      <c r="BR411" s="40"/>
      <c r="BS411" s="40"/>
      <c r="BT411" s="40"/>
      <c r="BU411" s="40"/>
      <c r="BV411" s="40"/>
      <c r="BW411" s="40"/>
      <c r="BX411" s="40"/>
      <c r="BY411" s="40"/>
      <c r="BZ411" s="40"/>
      <c r="CA411" s="40"/>
      <c r="CB411" s="40"/>
      <c r="CC411" s="40"/>
      <c r="CD411" s="40"/>
      <c r="CE411" s="40"/>
      <c r="CF411" s="40"/>
      <c r="CG411" s="40"/>
      <c r="CH411" s="40"/>
      <c r="CI411" s="40"/>
      <c r="CJ411" s="40"/>
      <c r="CK411" s="40"/>
      <c r="CL411" s="40"/>
    </row>
    <row r="412" spans="1:90" x14ac:dyDescent="0.25">
      <c r="A412" s="40"/>
      <c r="B412" s="40"/>
      <c r="C412" s="40"/>
      <c r="D412" s="40"/>
      <c r="E412" s="40"/>
      <c r="F412" s="40"/>
      <c r="G412" s="40"/>
      <c r="H412" s="40"/>
      <c r="I412" s="40"/>
      <c r="J412" s="40"/>
      <c r="K412" s="40"/>
      <c r="L412" s="40"/>
      <c r="M412" s="40"/>
      <c r="N412" s="40"/>
      <c r="O412" s="40"/>
      <c r="P412" s="40"/>
      <c r="Q412" s="40"/>
      <c r="R412" s="40"/>
      <c r="S412" s="40"/>
      <c r="T412" s="40"/>
      <c r="U412" s="40"/>
      <c r="V412" s="40"/>
      <c r="W412" s="40"/>
      <c r="X412" s="40"/>
      <c r="Y412" s="40"/>
      <c r="Z412" s="40"/>
      <c r="AA412" s="40"/>
      <c r="AB412" s="40"/>
      <c r="AC412" s="40"/>
      <c r="AD412" s="40"/>
      <c r="AE412" s="40"/>
      <c r="AF412" s="40"/>
      <c r="AG412" s="40"/>
      <c r="AH412" s="40"/>
      <c r="AI412" s="40"/>
      <c r="AJ412" s="40"/>
      <c r="AK412" s="40"/>
      <c r="AL412" s="40"/>
      <c r="AM412" s="40"/>
      <c r="AN412" s="40"/>
      <c r="AO412" s="40"/>
      <c r="AP412" s="40"/>
      <c r="AQ412" s="40"/>
      <c r="AR412" s="40"/>
      <c r="AS412" s="40"/>
      <c r="AT412" s="40"/>
      <c r="AU412" s="40"/>
      <c r="AV412" s="40"/>
      <c r="AW412" s="40"/>
      <c r="AX412" s="40"/>
      <c r="AY412" s="40"/>
      <c r="AZ412" s="40"/>
      <c r="BA412" s="40"/>
      <c r="BB412" s="40"/>
      <c r="BC412" s="40"/>
      <c r="BD412" s="40"/>
      <c r="BE412" s="40"/>
      <c r="BF412" s="40"/>
      <c r="BG412" s="40"/>
      <c r="BH412" s="40"/>
      <c r="BI412" s="40"/>
      <c r="BJ412" s="40"/>
      <c r="BK412" s="40"/>
      <c r="BL412" s="40"/>
      <c r="BM412" s="40"/>
      <c r="BN412" s="40"/>
      <c r="BO412" s="40"/>
      <c r="BP412" s="40"/>
      <c r="BQ412" s="40"/>
      <c r="BR412" s="40"/>
      <c r="BS412" s="40"/>
      <c r="BT412" s="40"/>
      <c r="BU412" s="40"/>
      <c r="BV412" s="40"/>
      <c r="BW412" s="40"/>
      <c r="BX412" s="40"/>
      <c r="BY412" s="40"/>
      <c r="BZ412" s="40"/>
      <c r="CA412" s="40"/>
      <c r="CB412" s="40"/>
      <c r="CC412" s="40"/>
      <c r="CD412" s="40"/>
      <c r="CE412" s="40"/>
      <c r="CF412" s="40"/>
      <c r="CG412" s="40"/>
      <c r="CH412" s="40"/>
      <c r="CI412" s="40"/>
      <c r="CJ412" s="40"/>
      <c r="CK412" s="40"/>
      <c r="CL412" s="40"/>
    </row>
    <row r="413" spans="1:90" x14ac:dyDescent="0.25">
      <c r="A413" s="40"/>
      <c r="B413" s="40"/>
      <c r="C413" s="40"/>
      <c r="D413" s="40"/>
      <c r="E413" s="40"/>
      <c r="F413" s="40"/>
      <c r="G413" s="40"/>
      <c r="H413" s="40"/>
      <c r="I413" s="40"/>
      <c r="J413" s="40"/>
      <c r="K413" s="40"/>
      <c r="L413" s="40"/>
      <c r="M413" s="40"/>
      <c r="N413" s="40"/>
      <c r="O413" s="40"/>
      <c r="P413" s="40"/>
      <c r="Q413" s="40"/>
      <c r="R413" s="40"/>
      <c r="S413" s="40"/>
      <c r="T413" s="40"/>
      <c r="U413" s="40"/>
      <c r="V413" s="40"/>
      <c r="W413" s="40"/>
      <c r="X413" s="40"/>
      <c r="Y413" s="40"/>
      <c r="Z413" s="40"/>
      <c r="AA413" s="40"/>
      <c r="AB413" s="40"/>
      <c r="AC413" s="40"/>
      <c r="AD413" s="40"/>
      <c r="AE413" s="40"/>
      <c r="AF413" s="40"/>
      <c r="AG413" s="40"/>
      <c r="AH413" s="40"/>
      <c r="AI413" s="40"/>
      <c r="AJ413" s="40"/>
      <c r="AK413" s="40"/>
      <c r="AL413" s="40"/>
      <c r="AM413" s="40"/>
      <c r="AN413" s="40"/>
      <c r="AO413" s="40"/>
      <c r="AP413" s="40"/>
      <c r="AQ413" s="40"/>
      <c r="AR413" s="40"/>
      <c r="AS413" s="40"/>
      <c r="AT413" s="40"/>
      <c r="AU413" s="40"/>
      <c r="AV413" s="40"/>
      <c r="AW413" s="40"/>
      <c r="AX413" s="40"/>
      <c r="AY413" s="40"/>
      <c r="AZ413" s="40"/>
      <c r="BA413" s="40"/>
      <c r="BB413" s="40"/>
      <c r="BC413" s="40"/>
      <c r="BD413" s="40"/>
      <c r="BE413" s="40"/>
      <c r="BF413" s="40"/>
      <c r="BG413" s="40"/>
      <c r="BH413" s="40"/>
      <c r="BI413" s="40"/>
      <c r="BJ413" s="40"/>
      <c r="BK413" s="40"/>
      <c r="BL413" s="40"/>
      <c r="BM413" s="40"/>
      <c r="BN413" s="40"/>
      <c r="BO413" s="40"/>
      <c r="BP413" s="40"/>
      <c r="BQ413" s="40"/>
      <c r="BR413" s="40"/>
      <c r="BS413" s="40"/>
      <c r="BT413" s="40"/>
      <c r="BU413" s="40"/>
      <c r="BV413" s="40"/>
      <c r="BW413" s="40"/>
      <c r="BX413" s="40"/>
      <c r="BY413" s="40"/>
      <c r="BZ413" s="40"/>
      <c r="CA413" s="40"/>
      <c r="CB413" s="40"/>
      <c r="CC413" s="40"/>
      <c r="CD413" s="40"/>
      <c r="CE413" s="40"/>
      <c r="CF413" s="40"/>
      <c r="CG413" s="40"/>
      <c r="CH413" s="40"/>
      <c r="CI413" s="40"/>
      <c r="CJ413" s="40"/>
      <c r="CK413" s="40"/>
      <c r="CL413" s="40"/>
    </row>
    <row r="414" spans="1:90" x14ac:dyDescent="0.25">
      <c r="A414" s="40"/>
      <c r="B414" s="40"/>
      <c r="C414" s="40"/>
      <c r="D414" s="40"/>
      <c r="E414" s="40"/>
      <c r="F414" s="40"/>
      <c r="G414" s="40"/>
      <c r="H414" s="40"/>
      <c r="I414" s="40"/>
      <c r="J414" s="40"/>
      <c r="K414" s="40"/>
      <c r="L414" s="40"/>
      <c r="M414" s="40"/>
      <c r="N414" s="40"/>
      <c r="O414" s="40"/>
      <c r="P414" s="40"/>
      <c r="Q414" s="40"/>
      <c r="R414" s="40"/>
      <c r="S414" s="40"/>
      <c r="T414" s="40"/>
      <c r="U414" s="40"/>
      <c r="V414" s="40"/>
      <c r="W414" s="40"/>
      <c r="X414" s="40"/>
      <c r="Y414" s="40"/>
      <c r="Z414" s="40"/>
      <c r="AA414" s="40"/>
      <c r="AB414" s="40"/>
      <c r="AC414" s="40"/>
      <c r="AD414" s="40"/>
      <c r="AE414" s="40"/>
      <c r="AF414" s="40"/>
      <c r="AG414" s="40"/>
      <c r="AH414" s="40"/>
      <c r="AI414" s="40"/>
      <c r="AJ414" s="40"/>
      <c r="AK414" s="40"/>
      <c r="AL414" s="40"/>
      <c r="AM414" s="40"/>
      <c r="AN414" s="40"/>
      <c r="AO414" s="40"/>
      <c r="AP414" s="40"/>
      <c r="AQ414" s="40"/>
      <c r="AR414" s="40"/>
      <c r="AS414" s="40"/>
      <c r="AT414" s="40"/>
      <c r="AU414" s="40"/>
      <c r="AV414" s="40"/>
      <c r="AW414" s="40"/>
      <c r="AX414" s="40"/>
      <c r="AY414" s="40"/>
      <c r="AZ414" s="40"/>
      <c r="BA414" s="40"/>
      <c r="BB414" s="40"/>
      <c r="BC414" s="40"/>
      <c r="BD414" s="40"/>
      <c r="BE414" s="40"/>
      <c r="BF414" s="40"/>
      <c r="BG414" s="40"/>
      <c r="BH414" s="40"/>
      <c r="BI414" s="40"/>
      <c r="BJ414" s="40"/>
      <c r="BK414" s="40"/>
      <c r="BL414" s="40"/>
      <c r="BM414" s="40"/>
      <c r="BN414" s="40"/>
      <c r="BO414" s="40"/>
      <c r="BP414" s="40"/>
      <c r="BQ414" s="40"/>
      <c r="BR414" s="40"/>
      <c r="BS414" s="40"/>
      <c r="BT414" s="40"/>
      <c r="BU414" s="40"/>
      <c r="BV414" s="40"/>
      <c r="BW414" s="40"/>
      <c r="BX414" s="40"/>
      <c r="BY414" s="40"/>
      <c r="BZ414" s="40"/>
      <c r="CA414" s="40"/>
      <c r="CB414" s="40"/>
      <c r="CC414" s="40"/>
      <c r="CD414" s="40"/>
      <c r="CE414" s="40"/>
      <c r="CF414" s="40"/>
      <c r="CG414" s="40"/>
      <c r="CH414" s="40"/>
      <c r="CI414" s="40"/>
      <c r="CJ414" s="40"/>
      <c r="CK414" s="40"/>
      <c r="CL414" s="40"/>
    </row>
    <row r="415" spans="1:90" x14ac:dyDescent="0.25">
      <c r="A415" s="40"/>
      <c r="B415" s="40"/>
      <c r="C415" s="40"/>
      <c r="D415" s="40"/>
      <c r="E415" s="40"/>
      <c r="F415" s="40"/>
      <c r="G415" s="40"/>
      <c r="H415" s="40"/>
      <c r="I415" s="40"/>
      <c r="J415" s="40"/>
      <c r="K415" s="40"/>
      <c r="L415" s="40"/>
      <c r="M415" s="40"/>
      <c r="N415" s="40"/>
      <c r="O415" s="40"/>
      <c r="P415" s="40"/>
      <c r="Q415" s="40"/>
      <c r="R415" s="40"/>
      <c r="S415" s="40"/>
      <c r="T415" s="40"/>
      <c r="U415" s="40"/>
      <c r="V415" s="40"/>
      <c r="W415" s="40"/>
      <c r="X415" s="40"/>
      <c r="Y415" s="40"/>
      <c r="Z415" s="40"/>
      <c r="AA415" s="40"/>
      <c r="AB415" s="40"/>
      <c r="AC415" s="40"/>
      <c r="AD415" s="40"/>
      <c r="AE415" s="40"/>
      <c r="AF415" s="40"/>
      <c r="AG415" s="40"/>
      <c r="AH415" s="40"/>
      <c r="AI415" s="40"/>
      <c r="AJ415" s="40"/>
      <c r="AK415" s="40"/>
      <c r="AL415" s="40"/>
      <c r="AM415" s="40"/>
      <c r="AN415" s="40"/>
      <c r="AO415" s="40"/>
      <c r="AP415" s="40"/>
      <c r="AQ415" s="40"/>
      <c r="AR415" s="40"/>
      <c r="AS415" s="40"/>
      <c r="AT415" s="40"/>
      <c r="AU415" s="40"/>
      <c r="AV415" s="40"/>
      <c r="AW415" s="40"/>
      <c r="AX415" s="40"/>
      <c r="AY415" s="40"/>
      <c r="AZ415" s="40"/>
      <c r="BA415" s="40"/>
      <c r="BB415" s="40"/>
      <c r="BC415" s="40"/>
      <c r="BD415" s="40"/>
      <c r="BE415" s="40"/>
      <c r="BF415" s="40"/>
      <c r="BG415" s="40"/>
      <c r="BH415" s="40"/>
      <c r="BI415" s="40"/>
      <c r="BJ415" s="40"/>
      <c r="BK415" s="40"/>
      <c r="BL415" s="40"/>
      <c r="BM415" s="40"/>
      <c r="BN415" s="40"/>
      <c r="BO415" s="40"/>
      <c r="BP415" s="40"/>
      <c r="BQ415" s="40"/>
      <c r="BR415" s="40"/>
      <c r="BS415" s="40"/>
      <c r="BT415" s="40"/>
      <c r="BU415" s="40"/>
      <c r="BV415" s="40"/>
      <c r="BW415" s="40"/>
      <c r="BX415" s="40"/>
      <c r="BY415" s="40"/>
      <c r="BZ415" s="40"/>
      <c r="CA415" s="40"/>
      <c r="CB415" s="40"/>
      <c r="CC415" s="40"/>
      <c r="CD415" s="40"/>
      <c r="CE415" s="40"/>
      <c r="CF415" s="40"/>
      <c r="CG415" s="40"/>
      <c r="CH415" s="40"/>
      <c r="CI415" s="40"/>
      <c r="CJ415" s="40"/>
      <c r="CK415" s="40"/>
      <c r="CL415" s="40"/>
    </row>
    <row r="416" spans="1:90" x14ac:dyDescent="0.25">
      <c r="A416" s="40"/>
      <c r="B416" s="40"/>
      <c r="C416" s="40"/>
      <c r="D416" s="40"/>
      <c r="E416" s="40"/>
      <c r="F416" s="40"/>
      <c r="G416" s="40"/>
      <c r="H416" s="40"/>
      <c r="I416" s="40"/>
      <c r="J416" s="40"/>
      <c r="K416" s="40"/>
      <c r="L416" s="40"/>
      <c r="M416" s="40"/>
      <c r="N416" s="40"/>
      <c r="O416" s="40"/>
      <c r="P416" s="40"/>
      <c r="Q416" s="40"/>
      <c r="R416" s="40"/>
      <c r="S416" s="40"/>
      <c r="T416" s="40"/>
      <c r="U416" s="40"/>
      <c r="V416" s="40"/>
      <c r="W416" s="40"/>
      <c r="X416" s="40"/>
      <c r="Y416" s="40"/>
      <c r="Z416" s="40"/>
      <c r="AA416" s="40"/>
      <c r="AB416" s="40"/>
      <c r="AC416" s="40"/>
      <c r="AD416" s="40"/>
      <c r="AE416" s="40"/>
      <c r="AF416" s="40"/>
      <c r="AG416" s="40"/>
      <c r="AH416" s="40"/>
      <c r="AI416" s="40"/>
      <c r="AJ416" s="40"/>
      <c r="AK416" s="40"/>
      <c r="AL416" s="40"/>
      <c r="AM416" s="40"/>
      <c r="AN416" s="40"/>
      <c r="AO416" s="40"/>
      <c r="AP416" s="40"/>
      <c r="AQ416" s="40"/>
      <c r="AR416" s="40"/>
      <c r="AS416" s="40"/>
      <c r="AT416" s="40"/>
      <c r="AU416" s="40"/>
      <c r="AV416" s="40"/>
      <c r="AW416" s="40"/>
      <c r="AX416" s="40"/>
      <c r="AY416" s="40"/>
      <c r="AZ416" s="40"/>
      <c r="BA416" s="40"/>
      <c r="BB416" s="40"/>
      <c r="BC416" s="40"/>
      <c r="BD416" s="40"/>
      <c r="BE416" s="40"/>
      <c r="BF416" s="40"/>
      <c r="BG416" s="40"/>
      <c r="BH416" s="40"/>
      <c r="BI416" s="40"/>
      <c r="BJ416" s="40"/>
      <c r="BK416" s="40"/>
      <c r="BL416" s="40"/>
      <c r="BM416" s="40"/>
      <c r="BN416" s="40"/>
      <c r="BO416" s="40"/>
      <c r="BP416" s="40"/>
      <c r="BQ416" s="40"/>
      <c r="BR416" s="40"/>
      <c r="BS416" s="40"/>
      <c r="BT416" s="40"/>
      <c r="BU416" s="40"/>
      <c r="BV416" s="40"/>
      <c r="BW416" s="40"/>
      <c r="BX416" s="40"/>
      <c r="BY416" s="40"/>
      <c r="BZ416" s="40"/>
      <c r="CA416" s="40"/>
      <c r="CB416" s="40"/>
      <c r="CC416" s="40"/>
      <c r="CD416" s="40"/>
      <c r="CE416" s="40"/>
      <c r="CF416" s="40"/>
      <c r="CG416" s="40"/>
      <c r="CH416" s="40"/>
      <c r="CI416" s="40"/>
      <c r="CJ416" s="40"/>
      <c r="CK416" s="40"/>
      <c r="CL416" s="40"/>
    </row>
    <row r="417" spans="1:90" x14ac:dyDescent="0.25">
      <c r="A417" s="40"/>
      <c r="B417" s="40"/>
      <c r="C417" s="40"/>
      <c r="D417" s="40"/>
      <c r="E417" s="40"/>
      <c r="F417" s="40"/>
      <c r="G417" s="40"/>
      <c r="H417" s="40"/>
      <c r="I417" s="40"/>
      <c r="J417" s="40"/>
      <c r="K417" s="40"/>
      <c r="L417" s="40"/>
      <c r="M417" s="40"/>
      <c r="N417" s="40"/>
      <c r="O417" s="40"/>
      <c r="P417" s="40"/>
      <c r="Q417" s="40"/>
      <c r="R417" s="40"/>
      <c r="S417" s="40"/>
      <c r="T417" s="40"/>
      <c r="U417" s="40"/>
      <c r="V417" s="40"/>
      <c r="W417" s="40"/>
      <c r="X417" s="40"/>
      <c r="Y417" s="40"/>
      <c r="Z417" s="40"/>
      <c r="AA417" s="40"/>
      <c r="AB417" s="40"/>
      <c r="AC417" s="40"/>
      <c r="AD417" s="40"/>
      <c r="AE417" s="40"/>
      <c r="AF417" s="40"/>
      <c r="AG417" s="40"/>
      <c r="AH417" s="40"/>
      <c r="AI417" s="40"/>
      <c r="AJ417" s="40"/>
      <c r="AK417" s="40"/>
      <c r="AL417" s="40"/>
      <c r="AM417" s="40"/>
      <c r="AN417" s="40"/>
      <c r="AO417" s="40"/>
      <c r="AP417" s="40"/>
      <c r="AQ417" s="40"/>
      <c r="AR417" s="40"/>
      <c r="AS417" s="40"/>
      <c r="AT417" s="40"/>
      <c r="AU417" s="40"/>
      <c r="AV417" s="40"/>
      <c r="AW417" s="40"/>
      <c r="AX417" s="40"/>
      <c r="AY417" s="40"/>
      <c r="AZ417" s="40"/>
      <c r="BA417" s="40"/>
      <c r="BB417" s="40"/>
      <c r="BC417" s="40"/>
      <c r="BD417" s="40"/>
      <c r="BE417" s="40"/>
      <c r="BF417" s="40"/>
      <c r="BG417" s="40"/>
      <c r="BH417" s="40"/>
      <c r="BI417" s="40"/>
      <c r="BJ417" s="40"/>
      <c r="BK417" s="40"/>
      <c r="BL417" s="40"/>
      <c r="BM417" s="40"/>
      <c r="BN417" s="40"/>
      <c r="BO417" s="40"/>
      <c r="BP417" s="40"/>
      <c r="BQ417" s="40"/>
      <c r="BR417" s="40"/>
      <c r="BS417" s="40"/>
      <c r="BT417" s="40"/>
      <c r="BU417" s="40"/>
      <c r="BV417" s="40"/>
      <c r="BW417" s="40"/>
      <c r="BX417" s="40"/>
      <c r="BY417" s="40"/>
      <c r="BZ417" s="40"/>
      <c r="CA417" s="40"/>
      <c r="CB417" s="40"/>
      <c r="CC417" s="40"/>
      <c r="CD417" s="40"/>
      <c r="CE417" s="40"/>
      <c r="CF417" s="40"/>
      <c r="CG417" s="40"/>
      <c r="CH417" s="40"/>
      <c r="CI417" s="40"/>
      <c r="CJ417" s="40"/>
      <c r="CK417" s="40"/>
      <c r="CL417" s="40"/>
    </row>
    <row r="418" spans="1:90" x14ac:dyDescent="0.25">
      <c r="A418" s="40"/>
      <c r="B418" s="40"/>
      <c r="C418" s="40"/>
      <c r="D418" s="40"/>
      <c r="E418" s="40"/>
      <c r="F418" s="40"/>
      <c r="G418" s="40"/>
      <c r="H418" s="40"/>
      <c r="I418" s="40"/>
      <c r="J418" s="40"/>
      <c r="K418" s="40"/>
      <c r="L418" s="40"/>
      <c r="M418" s="40"/>
      <c r="N418" s="40"/>
      <c r="O418" s="40"/>
      <c r="P418" s="40"/>
      <c r="Q418" s="40"/>
      <c r="R418" s="40"/>
      <c r="S418" s="40"/>
      <c r="T418" s="40"/>
      <c r="U418" s="40"/>
      <c r="V418" s="40"/>
      <c r="W418" s="40"/>
      <c r="X418" s="40"/>
      <c r="Y418" s="40"/>
      <c r="Z418" s="40"/>
      <c r="AA418" s="40"/>
      <c r="AB418" s="40"/>
      <c r="AC418" s="40"/>
      <c r="AD418" s="40"/>
      <c r="AE418" s="40"/>
      <c r="AF418" s="40"/>
      <c r="AG418" s="40"/>
      <c r="AH418" s="40"/>
      <c r="AI418" s="40"/>
      <c r="AJ418" s="40"/>
      <c r="AK418" s="40"/>
      <c r="AL418" s="40"/>
      <c r="AM418" s="40"/>
      <c r="AN418" s="40"/>
      <c r="AO418" s="40"/>
      <c r="AP418" s="40"/>
      <c r="AQ418" s="40"/>
      <c r="AR418" s="40"/>
      <c r="AS418" s="40"/>
      <c r="AT418" s="40"/>
      <c r="AU418" s="40"/>
      <c r="AV418" s="40"/>
      <c r="AW418" s="40"/>
      <c r="AX418" s="40"/>
      <c r="AY418" s="40"/>
      <c r="AZ418" s="40"/>
      <c r="BA418" s="40"/>
      <c r="BB418" s="40"/>
      <c r="BC418" s="40"/>
      <c r="BD418" s="40"/>
      <c r="BE418" s="40"/>
      <c r="BF418" s="40"/>
      <c r="BG418" s="40"/>
      <c r="BH418" s="40"/>
      <c r="BI418" s="40"/>
      <c r="BJ418" s="40"/>
      <c r="BK418" s="40"/>
      <c r="BL418" s="40"/>
      <c r="BM418" s="40"/>
      <c r="BN418" s="40"/>
      <c r="BO418" s="40"/>
      <c r="BP418" s="40"/>
      <c r="BQ418" s="40"/>
      <c r="BR418" s="40"/>
      <c r="BS418" s="40"/>
      <c r="BT418" s="40"/>
      <c r="BU418" s="40"/>
      <c r="BV418" s="40"/>
      <c r="BW418" s="40"/>
      <c r="BX418" s="40"/>
      <c r="BY418" s="40"/>
      <c r="BZ418" s="40"/>
      <c r="CA418" s="40"/>
      <c r="CB418" s="40"/>
      <c r="CC418" s="40"/>
      <c r="CD418" s="40"/>
      <c r="CE418" s="40"/>
      <c r="CF418" s="40"/>
      <c r="CG418" s="40"/>
      <c r="CH418" s="40"/>
      <c r="CI418" s="40"/>
      <c r="CJ418" s="40"/>
      <c r="CK418" s="40"/>
      <c r="CL418" s="40"/>
    </row>
    <row r="419" spans="1:90" x14ac:dyDescent="0.25">
      <c r="A419" s="40"/>
      <c r="B419" s="40"/>
      <c r="C419" s="40"/>
      <c r="D419" s="40"/>
      <c r="E419" s="40"/>
      <c r="F419" s="40"/>
      <c r="G419" s="40"/>
      <c r="H419" s="40"/>
      <c r="I419" s="40"/>
      <c r="J419" s="40"/>
      <c r="K419" s="40"/>
      <c r="L419" s="40"/>
      <c r="M419" s="40"/>
      <c r="N419" s="40"/>
      <c r="O419" s="40"/>
      <c r="P419" s="40"/>
      <c r="Q419" s="40"/>
      <c r="R419" s="40"/>
      <c r="S419" s="40"/>
      <c r="T419" s="40"/>
      <c r="U419" s="40"/>
      <c r="V419" s="40"/>
      <c r="W419" s="40"/>
      <c r="X419" s="40"/>
      <c r="Y419" s="40"/>
      <c r="Z419" s="40"/>
      <c r="AA419" s="40"/>
      <c r="AB419" s="40"/>
      <c r="AC419" s="40"/>
      <c r="AD419" s="40"/>
      <c r="AE419" s="40"/>
      <c r="AF419" s="40"/>
      <c r="AG419" s="40"/>
      <c r="AH419" s="40"/>
      <c r="AI419" s="40"/>
      <c r="AJ419" s="40"/>
      <c r="AK419" s="40"/>
      <c r="AL419" s="40"/>
      <c r="AM419" s="40"/>
      <c r="AN419" s="40"/>
      <c r="AO419" s="40"/>
      <c r="AP419" s="40"/>
      <c r="AQ419" s="40"/>
      <c r="AR419" s="40"/>
      <c r="AS419" s="40"/>
      <c r="AT419" s="40"/>
      <c r="AU419" s="40"/>
      <c r="AV419" s="40"/>
      <c r="AW419" s="40"/>
      <c r="AX419" s="40"/>
      <c r="AY419" s="40"/>
      <c r="AZ419" s="40"/>
      <c r="BA419" s="40"/>
      <c r="BB419" s="40"/>
      <c r="BC419" s="40"/>
      <c r="BD419" s="40"/>
      <c r="BE419" s="40"/>
      <c r="BF419" s="40"/>
      <c r="BG419" s="40"/>
      <c r="BH419" s="40"/>
      <c r="BI419" s="40"/>
      <c r="BJ419" s="40"/>
      <c r="BK419" s="40"/>
      <c r="BL419" s="40"/>
      <c r="BM419" s="40"/>
      <c r="BN419" s="40"/>
      <c r="BO419" s="40"/>
      <c r="BP419" s="40"/>
      <c r="BQ419" s="40"/>
      <c r="BR419" s="40"/>
      <c r="BS419" s="40"/>
      <c r="BT419" s="40"/>
      <c r="BU419" s="40"/>
      <c r="BV419" s="40"/>
      <c r="BW419" s="40"/>
      <c r="BX419" s="40"/>
      <c r="BY419" s="40"/>
      <c r="BZ419" s="40"/>
      <c r="CA419" s="40"/>
      <c r="CB419" s="40"/>
      <c r="CC419" s="40"/>
      <c r="CD419" s="40"/>
      <c r="CE419" s="40"/>
      <c r="CF419" s="40"/>
      <c r="CG419" s="40"/>
      <c r="CH419" s="40"/>
      <c r="CI419" s="40"/>
      <c r="CJ419" s="40"/>
      <c r="CK419" s="40"/>
      <c r="CL419" s="40"/>
    </row>
    <row r="420" spans="1:90" x14ac:dyDescent="0.25">
      <c r="A420" s="40"/>
      <c r="B420" s="40"/>
      <c r="C420" s="40"/>
      <c r="D420" s="40"/>
      <c r="E420" s="40"/>
      <c r="F420" s="40"/>
      <c r="G420" s="40"/>
      <c r="H420" s="40"/>
      <c r="I420" s="40"/>
      <c r="J420" s="40"/>
      <c r="K420" s="40"/>
      <c r="L420" s="40"/>
      <c r="M420" s="40"/>
      <c r="N420" s="40"/>
      <c r="O420" s="40"/>
      <c r="P420" s="40"/>
      <c r="Q420" s="40"/>
      <c r="R420" s="40"/>
      <c r="S420" s="40"/>
      <c r="T420" s="40"/>
      <c r="U420" s="40"/>
      <c r="V420" s="40"/>
      <c r="W420" s="40"/>
      <c r="X420" s="40"/>
      <c r="Y420" s="40"/>
      <c r="Z420" s="40"/>
      <c r="AA420" s="40"/>
      <c r="AB420" s="40"/>
      <c r="AC420" s="40"/>
      <c r="AD420" s="40"/>
      <c r="AE420" s="40"/>
      <c r="AF420" s="40"/>
      <c r="AG420" s="40"/>
      <c r="AH420" s="40"/>
      <c r="AI420" s="40"/>
      <c r="AJ420" s="40"/>
      <c r="AK420" s="40"/>
      <c r="AL420" s="40"/>
      <c r="AM420" s="40"/>
      <c r="AN420" s="40"/>
      <c r="AO420" s="40"/>
      <c r="AP420" s="40"/>
      <c r="AQ420" s="40"/>
      <c r="AR420" s="40"/>
      <c r="AS420" s="40"/>
      <c r="AT420" s="40"/>
      <c r="AU420" s="40"/>
      <c r="AV420" s="40"/>
      <c r="AW420" s="40"/>
      <c r="AX420" s="40"/>
      <c r="AY420" s="40"/>
      <c r="AZ420" s="40"/>
      <c r="BA420" s="40"/>
      <c r="BB420" s="40"/>
      <c r="BC420" s="40"/>
      <c r="BD420" s="40"/>
      <c r="BE420" s="40"/>
      <c r="BF420" s="40"/>
      <c r="BG420" s="40"/>
      <c r="BH420" s="40"/>
      <c r="BI420" s="40"/>
      <c r="BJ420" s="40"/>
      <c r="BK420" s="40"/>
      <c r="BL420" s="40"/>
      <c r="BM420" s="40"/>
      <c r="BN420" s="40"/>
      <c r="BO420" s="40"/>
      <c r="BP420" s="40"/>
      <c r="BQ420" s="40"/>
      <c r="BR420" s="40"/>
      <c r="BS420" s="40"/>
      <c r="BT420" s="40"/>
      <c r="BU420" s="40"/>
      <c r="BV420" s="40"/>
      <c r="BW420" s="40"/>
      <c r="BX420" s="40"/>
      <c r="BY420" s="40"/>
      <c r="BZ420" s="40"/>
      <c r="CA420" s="40"/>
      <c r="CB420" s="40"/>
      <c r="CC420" s="40"/>
      <c r="CD420" s="40"/>
      <c r="CE420" s="40"/>
      <c r="CF420" s="40"/>
      <c r="CG420" s="40"/>
      <c r="CH420" s="40"/>
      <c r="CI420" s="40"/>
      <c r="CJ420" s="40"/>
      <c r="CK420" s="40"/>
      <c r="CL420" s="40"/>
    </row>
    <row r="421" spans="1:90" x14ac:dyDescent="0.25">
      <c r="A421" s="40"/>
      <c r="B421" s="40"/>
      <c r="C421" s="40"/>
      <c r="D421" s="40"/>
      <c r="E421" s="40"/>
      <c r="F421" s="40"/>
      <c r="G421" s="40"/>
      <c r="H421" s="40"/>
      <c r="I421" s="40"/>
      <c r="J421" s="40"/>
      <c r="K421" s="40"/>
      <c r="L421" s="40"/>
      <c r="M421" s="40"/>
      <c r="N421" s="40"/>
      <c r="O421" s="40"/>
      <c r="P421" s="40"/>
      <c r="Q421" s="40"/>
      <c r="R421" s="40"/>
      <c r="S421" s="40"/>
      <c r="T421" s="40"/>
      <c r="U421" s="40"/>
      <c r="V421" s="40"/>
      <c r="W421" s="40"/>
      <c r="X421" s="40"/>
      <c r="Y421" s="40"/>
      <c r="Z421" s="40"/>
      <c r="AA421" s="40"/>
      <c r="AB421" s="40"/>
      <c r="AC421" s="40"/>
      <c r="AD421" s="40"/>
      <c r="AE421" s="40"/>
      <c r="AF421" s="40"/>
      <c r="AG421" s="40"/>
      <c r="AH421" s="40"/>
      <c r="AI421" s="40"/>
      <c r="AJ421" s="40"/>
      <c r="AK421" s="40"/>
      <c r="AL421" s="40"/>
      <c r="AM421" s="40"/>
      <c r="AN421" s="40"/>
      <c r="AO421" s="40"/>
      <c r="AP421" s="40"/>
      <c r="AQ421" s="40"/>
      <c r="AR421" s="40"/>
      <c r="AS421" s="40"/>
      <c r="AT421" s="40"/>
      <c r="AU421" s="40"/>
      <c r="AV421" s="40"/>
      <c r="AW421" s="40"/>
      <c r="AX421" s="40"/>
      <c r="AY421" s="40"/>
      <c r="AZ421" s="40"/>
      <c r="BA421" s="40"/>
      <c r="BB421" s="40"/>
      <c r="BC421" s="40"/>
      <c r="BD421" s="40"/>
      <c r="BE421" s="40"/>
      <c r="BF421" s="40"/>
      <c r="BG421" s="40"/>
      <c r="BH421" s="40"/>
      <c r="BI421" s="40"/>
      <c r="BJ421" s="40"/>
      <c r="BK421" s="40"/>
      <c r="BL421" s="40"/>
      <c r="BM421" s="40"/>
      <c r="BN421" s="40"/>
      <c r="BO421" s="40"/>
      <c r="BP421" s="40"/>
      <c r="BQ421" s="40"/>
      <c r="BR421" s="40"/>
      <c r="BS421" s="40"/>
      <c r="BT421" s="40"/>
      <c r="BU421" s="40"/>
      <c r="BV421" s="40"/>
      <c r="BW421" s="40"/>
      <c r="BX421" s="40"/>
      <c r="BY421" s="40"/>
      <c r="BZ421" s="40"/>
      <c r="CA421" s="40"/>
      <c r="CB421" s="40"/>
      <c r="CC421" s="40"/>
      <c r="CD421" s="40"/>
      <c r="CE421" s="40"/>
      <c r="CF421" s="40"/>
      <c r="CG421" s="40"/>
      <c r="CH421" s="40"/>
      <c r="CI421" s="40"/>
      <c r="CJ421" s="40"/>
      <c r="CK421" s="40"/>
      <c r="CL421" s="40"/>
    </row>
    <row r="422" spans="1:90" x14ac:dyDescent="0.25">
      <c r="A422" s="40"/>
      <c r="B422" s="40"/>
      <c r="C422" s="40"/>
      <c r="D422" s="40"/>
      <c r="E422" s="40"/>
      <c r="F422" s="40"/>
      <c r="G422" s="40"/>
      <c r="H422" s="40"/>
      <c r="I422" s="40"/>
      <c r="J422" s="40"/>
      <c r="K422" s="40"/>
      <c r="L422" s="40"/>
      <c r="M422" s="40"/>
      <c r="N422" s="40"/>
      <c r="O422" s="40"/>
      <c r="P422" s="40"/>
      <c r="Q422" s="40"/>
      <c r="R422" s="40"/>
      <c r="S422" s="40"/>
      <c r="T422" s="40"/>
      <c r="U422" s="40"/>
      <c r="V422" s="40"/>
      <c r="W422" s="40"/>
      <c r="X422" s="40"/>
      <c r="Y422" s="40"/>
      <c r="Z422" s="40"/>
      <c r="AA422" s="40"/>
      <c r="AB422" s="40"/>
      <c r="AC422" s="40"/>
      <c r="AD422" s="40"/>
      <c r="AE422" s="40"/>
      <c r="AF422" s="40"/>
      <c r="AG422" s="40"/>
      <c r="AH422" s="40"/>
      <c r="AI422" s="40"/>
      <c r="AJ422" s="40"/>
      <c r="AK422" s="40"/>
      <c r="AL422" s="40"/>
      <c r="AM422" s="40"/>
      <c r="AN422" s="40"/>
      <c r="AO422" s="40"/>
      <c r="AP422" s="40"/>
      <c r="AQ422" s="40"/>
      <c r="AR422" s="40"/>
      <c r="AS422" s="40"/>
      <c r="AT422" s="40"/>
      <c r="AU422" s="40"/>
      <c r="AV422" s="40"/>
      <c r="AW422" s="40"/>
      <c r="AX422" s="40"/>
      <c r="AY422" s="40"/>
      <c r="AZ422" s="40"/>
      <c r="BA422" s="40"/>
      <c r="BB422" s="40"/>
      <c r="BC422" s="40"/>
      <c r="BD422" s="40"/>
      <c r="BE422" s="40"/>
      <c r="BF422" s="40"/>
      <c r="BG422" s="40"/>
      <c r="BH422" s="40"/>
      <c r="BI422" s="40"/>
      <c r="BJ422" s="40"/>
      <c r="BK422" s="40"/>
      <c r="BL422" s="40"/>
      <c r="BM422" s="40"/>
      <c r="BN422" s="40"/>
      <c r="BO422" s="40"/>
      <c r="BP422" s="40"/>
      <c r="BQ422" s="40"/>
      <c r="BR422" s="40"/>
      <c r="BS422" s="40"/>
      <c r="BT422" s="40"/>
      <c r="BU422" s="40"/>
      <c r="BV422" s="40"/>
      <c r="BW422" s="40"/>
      <c r="BX422" s="40"/>
      <c r="BY422" s="40"/>
      <c r="BZ422" s="40"/>
      <c r="CA422" s="40"/>
      <c r="CB422" s="40"/>
      <c r="CC422" s="40"/>
      <c r="CD422" s="40"/>
      <c r="CE422" s="40"/>
      <c r="CF422" s="40"/>
      <c r="CG422" s="40"/>
      <c r="CH422" s="40"/>
      <c r="CI422" s="40"/>
      <c r="CJ422" s="40"/>
      <c r="CK422" s="40"/>
      <c r="CL422" s="40"/>
    </row>
    <row r="423" spans="1:90" x14ac:dyDescent="0.25">
      <c r="A423" s="40"/>
      <c r="B423" s="40"/>
      <c r="C423" s="40"/>
      <c r="D423" s="40"/>
      <c r="E423" s="40"/>
      <c r="F423" s="40"/>
      <c r="G423" s="40"/>
      <c r="H423" s="40"/>
      <c r="I423" s="40"/>
      <c r="J423" s="40"/>
      <c r="K423" s="40"/>
      <c r="L423" s="40"/>
      <c r="M423" s="40"/>
      <c r="N423" s="40"/>
      <c r="O423" s="40"/>
      <c r="P423" s="40"/>
      <c r="Q423" s="40"/>
      <c r="R423" s="40"/>
      <c r="S423" s="40"/>
      <c r="T423" s="40"/>
      <c r="U423" s="40"/>
      <c r="V423" s="40"/>
      <c r="W423" s="40"/>
      <c r="X423" s="40"/>
      <c r="Y423" s="40"/>
      <c r="Z423" s="40"/>
      <c r="AA423" s="40"/>
      <c r="AB423" s="40"/>
      <c r="AC423" s="40"/>
      <c r="AD423" s="40"/>
      <c r="AE423" s="40"/>
      <c r="AF423" s="40"/>
      <c r="AG423" s="40"/>
      <c r="AH423" s="40"/>
      <c r="AI423" s="40"/>
      <c r="AJ423" s="40"/>
      <c r="AK423" s="40"/>
      <c r="AL423" s="40"/>
      <c r="AM423" s="40"/>
      <c r="AN423" s="40"/>
      <c r="AO423" s="40"/>
      <c r="AP423" s="40"/>
      <c r="AQ423" s="40"/>
      <c r="AR423" s="40"/>
      <c r="AS423" s="40"/>
      <c r="AT423" s="40"/>
      <c r="AU423" s="40"/>
      <c r="AV423" s="40"/>
      <c r="AW423" s="40"/>
      <c r="AX423" s="40"/>
      <c r="AY423" s="40"/>
      <c r="AZ423" s="40"/>
      <c r="BA423" s="40"/>
      <c r="BB423" s="40"/>
      <c r="BC423" s="40"/>
      <c r="BD423" s="40"/>
      <c r="BE423" s="40"/>
      <c r="BF423" s="40"/>
      <c r="BG423" s="40"/>
      <c r="BH423" s="40"/>
      <c r="BI423" s="40"/>
      <c r="BJ423" s="40"/>
      <c r="BK423" s="40"/>
      <c r="BL423" s="40"/>
      <c r="BM423" s="40"/>
      <c r="BN423" s="40"/>
      <c r="BO423" s="40"/>
      <c r="BP423" s="40"/>
      <c r="BQ423" s="40"/>
      <c r="BR423" s="40"/>
      <c r="BS423" s="40"/>
      <c r="BT423" s="40"/>
      <c r="BU423" s="40"/>
      <c r="BV423" s="40"/>
      <c r="BW423" s="40"/>
      <c r="BX423" s="40"/>
      <c r="BY423" s="40"/>
      <c r="BZ423" s="40"/>
      <c r="CA423" s="40"/>
      <c r="CB423" s="40"/>
      <c r="CC423" s="40"/>
      <c r="CD423" s="40"/>
      <c r="CE423" s="40"/>
      <c r="CF423" s="40"/>
      <c r="CG423" s="40"/>
      <c r="CH423" s="40"/>
      <c r="CI423" s="40"/>
      <c r="CJ423" s="40"/>
      <c r="CK423" s="40"/>
      <c r="CL423" s="40"/>
    </row>
    <row r="424" spans="1:90" x14ac:dyDescent="0.25">
      <c r="A424" s="40"/>
      <c r="B424" s="40"/>
      <c r="C424" s="40"/>
      <c r="D424" s="40"/>
      <c r="E424" s="40"/>
      <c r="F424" s="40"/>
      <c r="G424" s="40"/>
      <c r="H424" s="40"/>
      <c r="I424" s="40"/>
      <c r="J424" s="40"/>
      <c r="K424" s="40"/>
      <c r="L424" s="40"/>
      <c r="M424" s="40"/>
      <c r="N424" s="40"/>
      <c r="O424" s="40"/>
      <c r="P424" s="40"/>
      <c r="Q424" s="40"/>
      <c r="R424" s="40"/>
      <c r="S424" s="40"/>
      <c r="T424" s="40"/>
      <c r="U424" s="40"/>
      <c r="V424" s="40"/>
      <c r="W424" s="40"/>
      <c r="X424" s="40"/>
      <c r="Y424" s="40"/>
      <c r="Z424" s="40"/>
      <c r="AA424" s="40"/>
      <c r="AB424" s="40"/>
      <c r="AC424" s="40"/>
      <c r="AD424" s="40"/>
      <c r="AE424" s="40"/>
      <c r="AF424" s="40"/>
      <c r="AG424" s="40"/>
      <c r="AH424" s="40"/>
      <c r="AI424" s="40"/>
      <c r="AJ424" s="40"/>
      <c r="AK424" s="40"/>
      <c r="AL424" s="40"/>
      <c r="AM424" s="40"/>
      <c r="AN424" s="40"/>
      <c r="AO424" s="40"/>
      <c r="AP424" s="40"/>
      <c r="AQ424" s="40"/>
      <c r="AR424" s="40"/>
      <c r="AS424" s="40"/>
      <c r="AT424" s="40"/>
      <c r="AU424" s="40"/>
      <c r="AV424" s="40"/>
      <c r="AW424" s="40"/>
      <c r="AX424" s="40"/>
      <c r="AY424" s="40"/>
      <c r="AZ424" s="40"/>
      <c r="BA424" s="40"/>
      <c r="BB424" s="40"/>
      <c r="BC424" s="40"/>
      <c r="BD424" s="40"/>
      <c r="BE424" s="40"/>
      <c r="BF424" s="40"/>
      <c r="BG424" s="40"/>
      <c r="BH424" s="40"/>
      <c r="BI424" s="40"/>
      <c r="BJ424" s="40"/>
      <c r="BK424" s="40"/>
      <c r="BL424" s="40"/>
      <c r="BM424" s="40"/>
      <c r="BN424" s="40"/>
      <c r="BO424" s="40"/>
      <c r="BP424" s="40"/>
      <c r="BQ424" s="40"/>
      <c r="BR424" s="40"/>
      <c r="BS424" s="40"/>
      <c r="BT424" s="40"/>
      <c r="BU424" s="40"/>
      <c r="BV424" s="40"/>
      <c r="BW424" s="40"/>
      <c r="BX424" s="40"/>
      <c r="BY424" s="40"/>
      <c r="BZ424" s="40"/>
      <c r="CA424" s="40"/>
      <c r="CB424" s="40"/>
      <c r="CC424" s="40"/>
      <c r="CD424" s="40"/>
      <c r="CE424" s="40"/>
      <c r="CF424" s="40"/>
      <c r="CG424" s="40"/>
      <c r="CH424" s="40"/>
      <c r="CI424" s="40"/>
      <c r="CJ424" s="40"/>
      <c r="CK424" s="40"/>
      <c r="CL424" s="40"/>
    </row>
    <row r="425" spans="1:90" x14ac:dyDescent="0.25">
      <c r="A425" s="40"/>
      <c r="B425" s="40"/>
      <c r="C425" s="40"/>
      <c r="D425" s="40"/>
      <c r="E425" s="40"/>
      <c r="F425" s="40"/>
      <c r="G425" s="40"/>
      <c r="H425" s="40"/>
      <c r="I425" s="40"/>
      <c r="J425" s="40"/>
      <c r="K425" s="40"/>
      <c r="L425" s="40"/>
      <c r="M425" s="40"/>
      <c r="N425" s="40"/>
      <c r="O425" s="40"/>
      <c r="P425" s="40"/>
      <c r="Q425" s="40"/>
      <c r="R425" s="40"/>
      <c r="S425" s="40"/>
      <c r="T425" s="40"/>
      <c r="U425" s="40"/>
      <c r="V425" s="40"/>
      <c r="W425" s="40"/>
      <c r="X425" s="40"/>
      <c r="Y425" s="40"/>
      <c r="Z425" s="40"/>
      <c r="AA425" s="40"/>
      <c r="AB425" s="40"/>
      <c r="AC425" s="40"/>
      <c r="AD425" s="40"/>
      <c r="AE425" s="40"/>
      <c r="AF425" s="40"/>
      <c r="AG425" s="40"/>
      <c r="AH425" s="40"/>
      <c r="AI425" s="40"/>
      <c r="AJ425" s="40"/>
      <c r="AK425" s="40"/>
      <c r="AL425" s="40"/>
      <c r="AM425" s="40"/>
      <c r="AN425" s="40"/>
      <c r="AO425" s="40"/>
      <c r="AP425" s="40"/>
      <c r="AQ425" s="40"/>
      <c r="AR425" s="40"/>
      <c r="AS425" s="40"/>
      <c r="AT425" s="40"/>
      <c r="AU425" s="40"/>
      <c r="AV425" s="40"/>
      <c r="AW425" s="40"/>
      <c r="AX425" s="40"/>
      <c r="AY425" s="40"/>
      <c r="AZ425" s="40"/>
      <c r="BA425" s="40"/>
      <c r="BB425" s="40"/>
      <c r="BC425" s="40"/>
      <c r="BD425" s="40"/>
      <c r="BE425" s="40"/>
      <c r="BF425" s="40"/>
      <c r="BG425" s="40"/>
      <c r="BH425" s="40"/>
      <c r="BI425" s="40"/>
      <c r="BJ425" s="40"/>
      <c r="BK425" s="40"/>
      <c r="BL425" s="40"/>
      <c r="BM425" s="40"/>
      <c r="BN425" s="40"/>
      <c r="BO425" s="40"/>
      <c r="BP425" s="40"/>
      <c r="BQ425" s="40"/>
      <c r="BR425" s="40"/>
      <c r="BS425" s="40"/>
      <c r="BT425" s="40"/>
      <c r="BU425" s="40"/>
      <c r="BV425" s="40"/>
      <c r="BW425" s="40"/>
      <c r="BX425" s="40"/>
      <c r="BY425" s="40"/>
      <c r="BZ425" s="40"/>
      <c r="CA425" s="40"/>
      <c r="CB425" s="40"/>
      <c r="CC425" s="40"/>
      <c r="CD425" s="40"/>
      <c r="CE425" s="40"/>
      <c r="CF425" s="40"/>
      <c r="CG425" s="40"/>
      <c r="CH425" s="40"/>
      <c r="CI425" s="40"/>
      <c r="CJ425" s="40"/>
      <c r="CK425" s="40"/>
      <c r="CL425" s="40"/>
    </row>
    <row r="426" spans="1:90" x14ac:dyDescent="0.25">
      <c r="A426" s="40"/>
      <c r="B426" s="40"/>
      <c r="C426" s="40"/>
      <c r="D426" s="40"/>
      <c r="E426" s="40"/>
      <c r="F426" s="40"/>
      <c r="G426" s="40"/>
      <c r="H426" s="40"/>
      <c r="I426" s="40"/>
      <c r="J426" s="40"/>
      <c r="K426" s="40"/>
      <c r="L426" s="40"/>
      <c r="M426" s="40"/>
      <c r="N426" s="40"/>
      <c r="O426" s="40"/>
      <c r="P426" s="40"/>
      <c r="Q426" s="40"/>
      <c r="R426" s="40"/>
      <c r="S426" s="40"/>
      <c r="T426" s="40"/>
      <c r="U426" s="40"/>
      <c r="V426" s="40"/>
      <c r="W426" s="40"/>
      <c r="X426" s="40"/>
      <c r="Y426" s="40"/>
      <c r="Z426" s="40"/>
      <c r="AA426" s="40"/>
      <c r="AB426" s="40"/>
      <c r="AC426" s="40"/>
      <c r="AD426" s="40"/>
      <c r="AE426" s="40"/>
      <c r="AF426" s="40"/>
      <c r="AG426" s="40"/>
      <c r="AH426" s="40"/>
      <c r="AI426" s="40"/>
      <c r="AJ426" s="40"/>
      <c r="AK426" s="40"/>
      <c r="AL426" s="40"/>
      <c r="AM426" s="40"/>
      <c r="AN426" s="40"/>
      <c r="AO426" s="40"/>
      <c r="AP426" s="40"/>
      <c r="AQ426" s="40"/>
      <c r="AR426" s="40"/>
      <c r="AS426" s="40"/>
      <c r="AT426" s="40"/>
      <c r="AU426" s="40"/>
      <c r="AV426" s="40"/>
      <c r="AW426" s="40"/>
      <c r="AX426" s="40"/>
      <c r="AY426" s="40"/>
      <c r="AZ426" s="40"/>
      <c r="BA426" s="40"/>
      <c r="BB426" s="40"/>
      <c r="BC426" s="40"/>
      <c r="BD426" s="40"/>
      <c r="BE426" s="40"/>
      <c r="BF426" s="40"/>
      <c r="BG426" s="40"/>
      <c r="BH426" s="40"/>
      <c r="BI426" s="40"/>
      <c r="BJ426" s="40"/>
      <c r="BK426" s="40"/>
      <c r="BL426" s="40"/>
      <c r="BM426" s="40"/>
      <c r="BN426" s="40"/>
      <c r="BO426" s="40"/>
      <c r="BP426" s="40"/>
      <c r="BQ426" s="40"/>
      <c r="BR426" s="40"/>
      <c r="BS426" s="40"/>
      <c r="BT426" s="40"/>
      <c r="BU426" s="40"/>
      <c r="BV426" s="40"/>
      <c r="BW426" s="40"/>
      <c r="BX426" s="40"/>
      <c r="BY426" s="40"/>
      <c r="BZ426" s="40"/>
      <c r="CA426" s="40"/>
      <c r="CB426" s="40"/>
      <c r="CC426" s="40"/>
      <c r="CD426" s="40"/>
      <c r="CE426" s="40"/>
      <c r="CF426" s="40"/>
      <c r="CG426" s="40"/>
      <c r="CH426" s="40"/>
      <c r="CI426" s="40"/>
      <c r="CJ426" s="40"/>
      <c r="CK426" s="40"/>
      <c r="CL426" s="40"/>
    </row>
    <row r="427" spans="1:90" x14ac:dyDescent="0.25">
      <c r="A427" s="40"/>
      <c r="B427" s="40"/>
      <c r="C427" s="40"/>
      <c r="D427" s="40"/>
      <c r="E427" s="40"/>
      <c r="F427" s="40"/>
      <c r="G427" s="40"/>
      <c r="H427" s="40"/>
      <c r="I427" s="40"/>
      <c r="J427" s="40"/>
      <c r="K427" s="40"/>
      <c r="L427" s="40"/>
      <c r="M427" s="40"/>
      <c r="N427" s="40"/>
      <c r="O427" s="40"/>
      <c r="P427" s="40"/>
      <c r="Q427" s="40"/>
      <c r="R427" s="40"/>
      <c r="S427" s="40"/>
      <c r="T427" s="40"/>
      <c r="U427" s="40"/>
      <c r="V427" s="40"/>
      <c r="W427" s="40"/>
      <c r="X427" s="40"/>
      <c r="Y427" s="40"/>
      <c r="Z427" s="40"/>
      <c r="AA427" s="40"/>
      <c r="AB427" s="40"/>
      <c r="AC427" s="40"/>
      <c r="AD427" s="40"/>
      <c r="AE427" s="40"/>
      <c r="AF427" s="40"/>
      <c r="AG427" s="40"/>
      <c r="AH427" s="40"/>
      <c r="AI427" s="40"/>
      <c r="AJ427" s="40"/>
      <c r="AK427" s="40"/>
      <c r="AL427" s="40"/>
      <c r="AM427" s="40"/>
      <c r="AN427" s="40"/>
      <c r="AO427" s="40"/>
      <c r="AP427" s="40"/>
      <c r="AQ427" s="40"/>
      <c r="AR427" s="40"/>
      <c r="AS427" s="40"/>
      <c r="AT427" s="40"/>
      <c r="AU427" s="40"/>
      <c r="AV427" s="40"/>
      <c r="AW427" s="40"/>
      <c r="AX427" s="40"/>
      <c r="AY427" s="40"/>
      <c r="AZ427" s="40"/>
      <c r="BA427" s="40"/>
      <c r="BB427" s="40"/>
      <c r="BC427" s="40"/>
      <c r="BD427" s="40"/>
      <c r="BE427" s="40"/>
      <c r="BF427" s="40"/>
      <c r="BG427" s="40"/>
      <c r="BH427" s="40"/>
      <c r="BI427" s="40"/>
      <c r="BJ427" s="40"/>
      <c r="BK427" s="40"/>
      <c r="BL427" s="40"/>
      <c r="BM427" s="40"/>
      <c r="BN427" s="40"/>
      <c r="BO427" s="40"/>
      <c r="BP427" s="40"/>
      <c r="BQ427" s="40"/>
      <c r="BR427" s="40"/>
      <c r="BS427" s="40"/>
      <c r="BT427" s="40"/>
      <c r="BU427" s="40"/>
      <c r="BV427" s="40"/>
      <c r="BW427" s="40"/>
      <c r="BX427" s="40"/>
      <c r="BY427" s="40"/>
      <c r="BZ427" s="40"/>
      <c r="CA427" s="40"/>
      <c r="CB427" s="40"/>
      <c r="CC427" s="40"/>
      <c r="CD427" s="40"/>
      <c r="CE427" s="40"/>
      <c r="CF427" s="40"/>
      <c r="CG427" s="40"/>
      <c r="CH427" s="40"/>
      <c r="CI427" s="40"/>
      <c r="CJ427" s="40"/>
      <c r="CK427" s="40"/>
      <c r="CL427" s="40"/>
    </row>
    <row r="428" spans="1:90" x14ac:dyDescent="0.25">
      <c r="A428" s="40"/>
      <c r="B428" s="40"/>
      <c r="C428" s="40"/>
      <c r="D428" s="40"/>
      <c r="E428" s="40"/>
      <c r="F428" s="40"/>
      <c r="G428" s="40"/>
      <c r="H428" s="40"/>
      <c r="I428" s="40"/>
      <c r="J428" s="40"/>
      <c r="K428" s="40"/>
      <c r="L428" s="40"/>
      <c r="M428" s="40"/>
      <c r="N428" s="40"/>
      <c r="O428" s="40"/>
      <c r="P428" s="40"/>
      <c r="Q428" s="40"/>
      <c r="R428" s="40"/>
      <c r="S428" s="40"/>
      <c r="T428" s="40"/>
      <c r="U428" s="40"/>
      <c r="V428" s="40"/>
      <c r="W428" s="40"/>
      <c r="X428" s="40"/>
      <c r="Y428" s="40"/>
      <c r="Z428" s="40"/>
      <c r="AA428" s="40"/>
      <c r="AB428" s="40"/>
      <c r="AC428" s="40"/>
      <c r="AD428" s="40"/>
      <c r="AE428" s="40"/>
      <c r="AF428" s="40"/>
      <c r="AG428" s="40"/>
      <c r="AH428" s="40"/>
      <c r="AI428" s="40"/>
      <c r="AJ428" s="40"/>
      <c r="AK428" s="40"/>
      <c r="AL428" s="40"/>
      <c r="AM428" s="40"/>
      <c r="AN428" s="40"/>
      <c r="AO428" s="40"/>
      <c r="AP428" s="40"/>
      <c r="AQ428" s="40"/>
      <c r="AR428" s="40"/>
      <c r="AS428" s="40"/>
      <c r="AT428" s="40"/>
      <c r="AU428" s="40"/>
      <c r="AV428" s="40"/>
      <c r="AW428" s="40"/>
      <c r="AX428" s="40"/>
      <c r="AY428" s="40"/>
      <c r="AZ428" s="40"/>
      <c r="BA428" s="40"/>
      <c r="BB428" s="40"/>
      <c r="BC428" s="40"/>
      <c r="BD428" s="40"/>
      <c r="BE428" s="40"/>
      <c r="BF428" s="40"/>
      <c r="BG428" s="40"/>
      <c r="BH428" s="40"/>
      <c r="BI428" s="40"/>
      <c r="BJ428" s="40"/>
      <c r="BK428" s="40"/>
      <c r="BL428" s="40"/>
      <c r="BM428" s="40"/>
      <c r="BN428" s="40"/>
      <c r="BO428" s="40"/>
      <c r="BP428" s="40"/>
      <c r="BQ428" s="40"/>
      <c r="BR428" s="40"/>
      <c r="BS428" s="40"/>
      <c r="BT428" s="40"/>
      <c r="BU428" s="40"/>
      <c r="BV428" s="40"/>
      <c r="BW428" s="40"/>
      <c r="BX428" s="40"/>
      <c r="BY428" s="40"/>
      <c r="BZ428" s="40"/>
      <c r="CA428" s="40"/>
      <c r="CB428" s="40"/>
      <c r="CC428" s="40"/>
      <c r="CD428" s="40"/>
      <c r="CE428" s="40"/>
      <c r="CF428" s="40"/>
      <c r="CG428" s="40"/>
      <c r="CH428" s="40"/>
      <c r="CI428" s="40"/>
      <c r="CJ428" s="40"/>
      <c r="CK428" s="40"/>
      <c r="CL428" s="40"/>
    </row>
    <row r="429" spans="1:90" x14ac:dyDescent="0.25">
      <c r="A429" s="40"/>
      <c r="B429" s="40"/>
      <c r="C429" s="40"/>
      <c r="D429" s="40"/>
      <c r="E429" s="40"/>
      <c r="F429" s="40"/>
      <c r="G429" s="40"/>
      <c r="H429" s="40"/>
      <c r="I429" s="40"/>
      <c r="J429" s="40"/>
      <c r="K429" s="40"/>
      <c r="L429" s="40"/>
      <c r="M429" s="40"/>
      <c r="N429" s="40"/>
      <c r="O429" s="40"/>
      <c r="P429" s="40"/>
      <c r="Q429" s="40"/>
      <c r="R429" s="40"/>
      <c r="S429" s="40"/>
      <c r="T429" s="40"/>
      <c r="U429" s="40"/>
      <c r="V429" s="40"/>
      <c r="W429" s="40"/>
      <c r="X429" s="40"/>
      <c r="Y429" s="40"/>
      <c r="Z429" s="40"/>
      <c r="AA429" s="40"/>
      <c r="AB429" s="40"/>
      <c r="AC429" s="40"/>
      <c r="AD429" s="40"/>
      <c r="AE429" s="40"/>
      <c r="AF429" s="40"/>
      <c r="AG429" s="40"/>
      <c r="AH429" s="40"/>
      <c r="AI429" s="40"/>
      <c r="AJ429" s="40"/>
      <c r="AK429" s="40"/>
      <c r="AL429" s="40"/>
      <c r="AM429" s="40"/>
      <c r="AN429" s="40"/>
      <c r="AO429" s="40"/>
      <c r="AP429" s="40"/>
      <c r="AQ429" s="40"/>
      <c r="AR429" s="40"/>
      <c r="AS429" s="40"/>
      <c r="AT429" s="40"/>
      <c r="AU429" s="40"/>
      <c r="AV429" s="40"/>
      <c r="AW429" s="40"/>
      <c r="AX429" s="40"/>
      <c r="AY429" s="40"/>
      <c r="AZ429" s="40"/>
      <c r="BA429" s="40"/>
      <c r="BB429" s="40"/>
      <c r="BC429" s="40"/>
      <c r="BD429" s="40"/>
      <c r="BE429" s="40"/>
      <c r="BF429" s="40"/>
      <c r="BG429" s="40"/>
      <c r="BH429" s="40"/>
      <c r="BI429" s="40"/>
      <c r="BJ429" s="40"/>
      <c r="BK429" s="40"/>
      <c r="BL429" s="40"/>
      <c r="BM429" s="40"/>
      <c r="BN429" s="40"/>
      <c r="BO429" s="40"/>
      <c r="BP429" s="40"/>
      <c r="BQ429" s="40"/>
      <c r="BR429" s="40"/>
      <c r="BS429" s="40"/>
      <c r="BT429" s="40"/>
      <c r="BU429" s="40"/>
      <c r="BV429" s="40"/>
      <c r="BW429" s="40"/>
      <c r="BX429" s="40"/>
      <c r="BY429" s="40"/>
      <c r="BZ429" s="40"/>
      <c r="CA429" s="40"/>
      <c r="CB429" s="40"/>
      <c r="CC429" s="40"/>
      <c r="CD429" s="40"/>
      <c r="CE429" s="40"/>
      <c r="CF429" s="40"/>
      <c r="CG429" s="40"/>
      <c r="CH429" s="40"/>
      <c r="CI429" s="40"/>
      <c r="CJ429" s="40"/>
      <c r="CK429" s="40"/>
      <c r="CL429" s="40"/>
    </row>
    <row r="430" spans="1:90" x14ac:dyDescent="0.25">
      <c r="A430" s="40"/>
      <c r="B430" s="40"/>
      <c r="C430" s="40"/>
      <c r="D430" s="40"/>
      <c r="E430" s="40"/>
      <c r="F430" s="40"/>
      <c r="G430" s="40"/>
      <c r="H430" s="40"/>
      <c r="I430" s="40"/>
      <c r="J430" s="40"/>
      <c r="K430" s="40"/>
      <c r="L430" s="40"/>
      <c r="M430" s="40"/>
      <c r="N430" s="40"/>
      <c r="O430" s="40"/>
      <c r="P430" s="40"/>
      <c r="Q430" s="40"/>
      <c r="R430" s="40"/>
      <c r="S430" s="40"/>
      <c r="T430" s="40"/>
      <c r="U430" s="40"/>
      <c r="V430" s="40"/>
      <c r="W430" s="40"/>
      <c r="X430" s="40"/>
      <c r="Y430" s="40"/>
      <c r="Z430" s="40"/>
      <c r="AA430" s="40"/>
      <c r="AB430" s="40"/>
      <c r="AC430" s="40"/>
      <c r="AD430" s="40"/>
      <c r="AE430" s="40"/>
      <c r="AF430" s="40"/>
      <c r="AG430" s="40"/>
      <c r="AH430" s="40"/>
      <c r="AI430" s="40"/>
      <c r="AJ430" s="40"/>
      <c r="AK430" s="40"/>
      <c r="AL430" s="40"/>
      <c r="AM430" s="40"/>
      <c r="AN430" s="40"/>
      <c r="AO430" s="40"/>
      <c r="AP430" s="40"/>
      <c r="AQ430" s="40"/>
      <c r="AR430" s="40"/>
      <c r="AS430" s="40"/>
      <c r="AT430" s="40"/>
      <c r="AU430" s="40"/>
      <c r="AV430" s="40"/>
      <c r="AW430" s="40"/>
      <c r="AX430" s="40"/>
      <c r="AY430" s="40"/>
      <c r="AZ430" s="40"/>
      <c r="BA430" s="40"/>
      <c r="BB430" s="40"/>
      <c r="BC430" s="40"/>
      <c r="BD430" s="40"/>
      <c r="BE430" s="40"/>
      <c r="BF430" s="40"/>
      <c r="BG430" s="40"/>
      <c r="BH430" s="40"/>
      <c r="BI430" s="40"/>
      <c r="BJ430" s="40"/>
      <c r="BK430" s="40"/>
      <c r="BL430" s="40"/>
      <c r="BM430" s="40"/>
      <c r="BN430" s="40"/>
      <c r="BO430" s="40"/>
      <c r="BP430" s="40"/>
      <c r="BQ430" s="40"/>
      <c r="BR430" s="40"/>
      <c r="BS430" s="40"/>
      <c r="BT430" s="40"/>
      <c r="BU430" s="40"/>
      <c r="BV430" s="40"/>
      <c r="BW430" s="40"/>
      <c r="BX430" s="40"/>
      <c r="BY430" s="40"/>
      <c r="BZ430" s="40"/>
      <c r="CA430" s="40"/>
      <c r="CB430" s="40"/>
      <c r="CC430" s="40"/>
      <c r="CD430" s="40"/>
      <c r="CE430" s="40"/>
      <c r="CF430" s="40"/>
      <c r="CG430" s="40"/>
      <c r="CH430" s="40"/>
      <c r="CI430" s="40"/>
      <c r="CJ430" s="40"/>
      <c r="CK430" s="40"/>
      <c r="CL430" s="40"/>
    </row>
    <row r="431" spans="1:90" x14ac:dyDescent="0.25">
      <c r="A431" s="40"/>
      <c r="B431" s="40"/>
      <c r="C431" s="40"/>
      <c r="D431" s="40"/>
      <c r="E431" s="40"/>
      <c r="F431" s="40"/>
      <c r="G431" s="40"/>
      <c r="H431" s="40"/>
      <c r="I431" s="40"/>
      <c r="J431" s="40"/>
      <c r="K431" s="40"/>
      <c r="L431" s="40"/>
      <c r="M431" s="40"/>
      <c r="N431" s="40"/>
      <c r="O431" s="40"/>
      <c r="P431" s="40"/>
      <c r="Q431" s="40"/>
      <c r="R431" s="40"/>
      <c r="S431" s="40"/>
      <c r="T431" s="40"/>
      <c r="U431" s="40"/>
      <c r="V431" s="40"/>
      <c r="W431" s="40"/>
      <c r="X431" s="40"/>
      <c r="Y431" s="40"/>
      <c r="Z431" s="40"/>
      <c r="AA431" s="40"/>
      <c r="AB431" s="40"/>
      <c r="AC431" s="40"/>
      <c r="AD431" s="40"/>
      <c r="AE431" s="40"/>
      <c r="AF431" s="40"/>
      <c r="AG431" s="40"/>
      <c r="AH431" s="40"/>
      <c r="AI431" s="40"/>
      <c r="AJ431" s="40"/>
      <c r="AK431" s="40"/>
      <c r="AL431" s="40"/>
      <c r="AM431" s="40"/>
      <c r="AN431" s="40"/>
      <c r="AO431" s="40"/>
      <c r="AP431" s="40"/>
      <c r="AQ431" s="40"/>
      <c r="AR431" s="40"/>
      <c r="AS431" s="40"/>
      <c r="AT431" s="40"/>
      <c r="AU431" s="40"/>
      <c r="AV431" s="40"/>
      <c r="AW431" s="40"/>
      <c r="AX431" s="40"/>
      <c r="AY431" s="40"/>
      <c r="AZ431" s="40"/>
      <c r="BA431" s="40"/>
      <c r="BB431" s="40"/>
      <c r="BC431" s="40"/>
      <c r="BD431" s="40"/>
      <c r="BE431" s="40"/>
      <c r="BF431" s="40"/>
      <c r="BG431" s="40"/>
      <c r="BH431" s="40"/>
      <c r="BI431" s="40"/>
      <c r="BJ431" s="40"/>
      <c r="BK431" s="40"/>
      <c r="BL431" s="40"/>
      <c r="BM431" s="40"/>
      <c r="BN431" s="40"/>
      <c r="BO431" s="40"/>
      <c r="BP431" s="40"/>
      <c r="BQ431" s="40"/>
      <c r="BR431" s="40"/>
      <c r="BS431" s="40"/>
      <c r="BT431" s="40"/>
      <c r="BU431" s="40"/>
      <c r="BV431" s="40"/>
      <c r="BW431" s="40"/>
      <c r="BX431" s="40"/>
      <c r="BY431" s="40"/>
      <c r="BZ431" s="40"/>
      <c r="CA431" s="40"/>
      <c r="CB431" s="40"/>
      <c r="CC431" s="40"/>
      <c r="CD431" s="40"/>
      <c r="CE431" s="40"/>
      <c r="CF431" s="40"/>
      <c r="CG431" s="40"/>
      <c r="CH431" s="40"/>
      <c r="CI431" s="40"/>
      <c r="CJ431" s="40"/>
      <c r="CK431" s="40"/>
      <c r="CL431" s="40"/>
    </row>
    <row r="432" spans="1:90" x14ac:dyDescent="0.25">
      <c r="A432" s="40"/>
      <c r="B432" s="40"/>
      <c r="C432" s="40"/>
      <c r="D432" s="40"/>
      <c r="E432" s="40"/>
      <c r="F432" s="40"/>
      <c r="G432" s="40"/>
      <c r="H432" s="40"/>
      <c r="I432" s="40"/>
      <c r="J432" s="40"/>
      <c r="K432" s="40"/>
      <c r="L432" s="40"/>
      <c r="M432" s="40"/>
      <c r="N432" s="40"/>
      <c r="O432" s="40"/>
      <c r="P432" s="40"/>
      <c r="Q432" s="40"/>
      <c r="R432" s="40"/>
      <c r="S432" s="40"/>
      <c r="T432" s="40"/>
      <c r="U432" s="40"/>
      <c r="V432" s="40"/>
      <c r="W432" s="40"/>
      <c r="X432" s="40"/>
      <c r="Y432" s="40"/>
      <c r="Z432" s="40"/>
      <c r="AA432" s="40"/>
      <c r="AB432" s="40"/>
      <c r="AC432" s="40"/>
      <c r="AD432" s="40"/>
      <c r="AE432" s="40"/>
      <c r="AF432" s="40"/>
      <c r="AG432" s="40"/>
      <c r="AH432" s="40"/>
      <c r="AI432" s="40"/>
      <c r="AJ432" s="40"/>
      <c r="AK432" s="40"/>
      <c r="AL432" s="40"/>
      <c r="AM432" s="40"/>
      <c r="AN432" s="40"/>
      <c r="AO432" s="40"/>
      <c r="AP432" s="40"/>
      <c r="AQ432" s="40"/>
      <c r="AR432" s="40"/>
      <c r="AS432" s="40"/>
      <c r="AT432" s="40"/>
      <c r="AU432" s="40"/>
      <c r="AV432" s="40"/>
      <c r="AW432" s="40"/>
      <c r="AX432" s="40"/>
      <c r="AY432" s="40"/>
      <c r="AZ432" s="40"/>
      <c r="BA432" s="40"/>
      <c r="BB432" s="40"/>
      <c r="BC432" s="40"/>
      <c r="BD432" s="40"/>
      <c r="BE432" s="40"/>
      <c r="BF432" s="40"/>
      <c r="BG432" s="40"/>
      <c r="BH432" s="40"/>
      <c r="BI432" s="40"/>
      <c r="BJ432" s="40"/>
      <c r="BK432" s="40"/>
      <c r="BL432" s="40"/>
      <c r="BM432" s="40"/>
      <c r="BN432" s="40"/>
      <c r="BO432" s="40"/>
      <c r="BP432" s="40"/>
      <c r="BQ432" s="40"/>
      <c r="BR432" s="40"/>
      <c r="BS432" s="40"/>
      <c r="BT432" s="40"/>
      <c r="BU432" s="40"/>
      <c r="BV432" s="40"/>
      <c r="BW432" s="40"/>
      <c r="BX432" s="40"/>
      <c r="BY432" s="40"/>
      <c r="BZ432" s="40"/>
      <c r="CA432" s="40"/>
      <c r="CB432" s="40"/>
      <c r="CC432" s="40"/>
      <c r="CD432" s="40"/>
      <c r="CE432" s="40"/>
      <c r="CF432" s="40"/>
      <c r="CG432" s="40"/>
      <c r="CH432" s="40"/>
      <c r="CI432" s="40"/>
      <c r="CJ432" s="40"/>
      <c r="CK432" s="40"/>
      <c r="CL432" s="40"/>
    </row>
    <row r="433" spans="1:90" x14ac:dyDescent="0.25">
      <c r="A433" s="40"/>
      <c r="B433" s="40"/>
      <c r="C433" s="40"/>
      <c r="D433" s="40"/>
      <c r="E433" s="40"/>
      <c r="F433" s="40"/>
      <c r="G433" s="40"/>
      <c r="H433" s="40"/>
      <c r="I433" s="40"/>
      <c r="J433" s="40"/>
      <c r="K433" s="40"/>
      <c r="L433" s="40"/>
      <c r="M433" s="40"/>
      <c r="N433" s="40"/>
      <c r="O433" s="40"/>
      <c r="P433" s="40"/>
      <c r="Q433" s="40"/>
      <c r="R433" s="40"/>
      <c r="S433" s="40"/>
      <c r="T433" s="40"/>
      <c r="U433" s="40"/>
      <c r="V433" s="40"/>
      <c r="W433" s="40"/>
      <c r="X433" s="40"/>
      <c r="Y433" s="40"/>
      <c r="Z433" s="40"/>
      <c r="AA433" s="40"/>
      <c r="AB433" s="40"/>
      <c r="AC433" s="40"/>
      <c r="AD433" s="40"/>
      <c r="AE433" s="40"/>
      <c r="AF433" s="40"/>
      <c r="AG433" s="40"/>
      <c r="AH433" s="40"/>
      <c r="AI433" s="40"/>
      <c r="AJ433" s="40"/>
      <c r="AK433" s="40"/>
      <c r="AL433" s="40"/>
      <c r="AM433" s="40"/>
      <c r="AN433" s="40"/>
      <c r="AO433" s="40"/>
      <c r="AP433" s="40"/>
      <c r="AQ433" s="40"/>
      <c r="AR433" s="40"/>
      <c r="AS433" s="40"/>
      <c r="AT433" s="40"/>
      <c r="AU433" s="40"/>
      <c r="AV433" s="40"/>
      <c r="AW433" s="40"/>
      <c r="AX433" s="40"/>
      <c r="AY433" s="40"/>
      <c r="AZ433" s="40"/>
      <c r="BA433" s="40"/>
      <c r="BB433" s="40"/>
      <c r="BC433" s="40"/>
      <c r="BD433" s="40"/>
      <c r="BE433" s="40"/>
      <c r="BF433" s="40"/>
      <c r="BG433" s="40"/>
      <c r="BH433" s="40"/>
      <c r="BI433" s="40"/>
      <c r="BJ433" s="40"/>
      <c r="BK433" s="40"/>
      <c r="BL433" s="40"/>
      <c r="BM433" s="40"/>
      <c r="BN433" s="40"/>
      <c r="BO433" s="40"/>
      <c r="BP433" s="40"/>
      <c r="BQ433" s="40"/>
      <c r="BR433" s="40"/>
      <c r="BS433" s="40"/>
      <c r="BT433" s="40"/>
      <c r="BU433" s="40"/>
      <c r="BV433" s="40"/>
      <c r="BW433" s="40"/>
      <c r="BX433" s="40"/>
      <c r="BY433" s="40"/>
      <c r="BZ433" s="40"/>
      <c r="CA433" s="40"/>
      <c r="CB433" s="40"/>
      <c r="CC433" s="40"/>
      <c r="CD433" s="40"/>
      <c r="CE433" s="40"/>
      <c r="CF433" s="40"/>
      <c r="CG433" s="40"/>
      <c r="CH433" s="40"/>
      <c r="CI433" s="40"/>
      <c r="CJ433" s="40"/>
      <c r="CK433" s="40"/>
      <c r="CL433" s="40"/>
    </row>
    <row r="434" spans="1:90" x14ac:dyDescent="0.25">
      <c r="A434" s="40"/>
      <c r="B434" s="40"/>
      <c r="C434" s="40"/>
      <c r="D434" s="40"/>
      <c r="E434" s="40"/>
      <c r="F434" s="40"/>
      <c r="G434" s="40"/>
      <c r="H434" s="40"/>
      <c r="I434" s="40"/>
      <c r="J434" s="40"/>
      <c r="K434" s="40"/>
      <c r="L434" s="40"/>
      <c r="M434" s="40"/>
      <c r="N434" s="40"/>
      <c r="O434" s="40"/>
      <c r="P434" s="40"/>
      <c r="Q434" s="40"/>
      <c r="R434" s="40"/>
      <c r="S434" s="40"/>
      <c r="T434" s="40"/>
      <c r="U434" s="40"/>
      <c r="V434" s="40"/>
      <c r="W434" s="40"/>
      <c r="X434" s="40"/>
      <c r="Y434" s="40"/>
      <c r="Z434" s="40"/>
      <c r="AA434" s="40"/>
      <c r="AB434" s="40"/>
      <c r="AC434" s="40"/>
      <c r="AD434" s="40"/>
      <c r="AE434" s="40"/>
      <c r="AF434" s="40"/>
      <c r="AG434" s="40"/>
      <c r="AH434" s="40"/>
      <c r="AI434" s="40"/>
      <c r="AJ434" s="40"/>
      <c r="AK434" s="40"/>
      <c r="AL434" s="40"/>
      <c r="AM434" s="40"/>
      <c r="AN434" s="40"/>
      <c r="AO434" s="40"/>
      <c r="AP434" s="40"/>
      <c r="AQ434" s="40"/>
      <c r="AR434" s="40"/>
      <c r="AS434" s="40"/>
      <c r="AT434" s="40"/>
      <c r="AU434" s="40"/>
      <c r="AV434" s="40"/>
      <c r="AW434" s="40"/>
      <c r="AX434" s="40"/>
      <c r="AY434" s="40"/>
      <c r="AZ434" s="40"/>
      <c r="BA434" s="40"/>
      <c r="BB434" s="40"/>
      <c r="BC434" s="40"/>
      <c r="BD434" s="40"/>
      <c r="BE434" s="40"/>
      <c r="BF434" s="40"/>
      <c r="BG434" s="40"/>
      <c r="BH434" s="40"/>
      <c r="BI434" s="40"/>
      <c r="BJ434" s="40"/>
      <c r="BK434" s="40"/>
      <c r="BL434" s="40"/>
      <c r="BM434" s="40"/>
      <c r="BN434" s="40"/>
      <c r="BO434" s="40"/>
      <c r="BP434" s="40"/>
      <c r="BQ434" s="40"/>
      <c r="BR434" s="40"/>
      <c r="BS434" s="40"/>
      <c r="BT434" s="40"/>
      <c r="BU434" s="40"/>
      <c r="BV434" s="40"/>
      <c r="BW434" s="40"/>
      <c r="BX434" s="40"/>
      <c r="BY434" s="40"/>
      <c r="BZ434" s="40"/>
      <c r="CA434" s="40"/>
      <c r="CB434" s="40"/>
      <c r="CC434" s="40"/>
      <c r="CD434" s="40"/>
      <c r="CE434" s="40"/>
      <c r="CF434" s="40"/>
      <c r="CG434" s="40"/>
      <c r="CH434" s="40"/>
      <c r="CI434" s="40"/>
      <c r="CJ434" s="40"/>
      <c r="CK434" s="40"/>
      <c r="CL434" s="40"/>
    </row>
    <row r="435" spans="1:90" x14ac:dyDescent="0.25">
      <c r="A435" s="40"/>
      <c r="B435" s="40"/>
      <c r="C435" s="40"/>
      <c r="D435" s="40"/>
      <c r="E435" s="40"/>
      <c r="F435" s="40"/>
      <c r="G435" s="40"/>
      <c r="H435" s="40"/>
      <c r="I435" s="40"/>
      <c r="J435" s="40"/>
      <c r="K435" s="40"/>
      <c r="L435" s="40"/>
      <c r="M435" s="40"/>
      <c r="N435" s="40"/>
      <c r="O435" s="40"/>
      <c r="P435" s="40"/>
      <c r="Q435" s="40"/>
      <c r="R435" s="40"/>
      <c r="S435" s="40"/>
      <c r="T435" s="40"/>
      <c r="U435" s="40"/>
      <c r="V435" s="40"/>
      <c r="W435" s="40"/>
      <c r="X435" s="40"/>
      <c r="Y435" s="40"/>
      <c r="Z435" s="40"/>
      <c r="AA435" s="40"/>
      <c r="AB435" s="40"/>
      <c r="AC435" s="40"/>
      <c r="AD435" s="40"/>
      <c r="AE435" s="40"/>
      <c r="AF435" s="40"/>
      <c r="AG435" s="40"/>
      <c r="AH435" s="40"/>
      <c r="AI435" s="40"/>
      <c r="AJ435" s="40"/>
      <c r="AK435" s="40"/>
      <c r="AL435" s="40"/>
      <c r="AM435" s="40"/>
      <c r="AN435" s="40"/>
      <c r="AO435" s="40"/>
      <c r="AP435" s="40"/>
      <c r="AQ435" s="40"/>
      <c r="AR435" s="40"/>
      <c r="AS435" s="40"/>
      <c r="AT435" s="40"/>
      <c r="AU435" s="40"/>
      <c r="AV435" s="40"/>
      <c r="AW435" s="40"/>
      <c r="AX435" s="40"/>
      <c r="AY435" s="40"/>
      <c r="AZ435" s="40"/>
      <c r="BA435" s="40"/>
      <c r="BB435" s="40"/>
      <c r="BC435" s="40"/>
      <c r="BD435" s="40"/>
      <c r="BE435" s="40"/>
      <c r="BF435" s="40"/>
      <c r="BG435" s="40"/>
      <c r="BH435" s="40"/>
      <c r="BI435" s="40"/>
      <c r="BJ435" s="40"/>
      <c r="BK435" s="40"/>
      <c r="BL435" s="40"/>
      <c r="BM435" s="40"/>
      <c r="BN435" s="40"/>
      <c r="BO435" s="40"/>
      <c r="BP435" s="40"/>
      <c r="BQ435" s="40"/>
      <c r="BR435" s="40"/>
      <c r="BS435" s="40"/>
      <c r="BT435" s="40"/>
      <c r="BU435" s="40"/>
      <c r="BV435" s="40"/>
      <c r="BW435" s="40"/>
      <c r="BX435" s="40"/>
      <c r="BY435" s="40"/>
      <c r="BZ435" s="40"/>
      <c r="CA435" s="40"/>
      <c r="CB435" s="40"/>
      <c r="CC435" s="40"/>
      <c r="CD435" s="40"/>
      <c r="CE435" s="40"/>
      <c r="CF435" s="40"/>
      <c r="CG435" s="40"/>
      <c r="CH435" s="40"/>
      <c r="CI435" s="40"/>
      <c r="CJ435" s="40"/>
      <c r="CK435" s="40"/>
      <c r="CL435" s="40"/>
    </row>
    <row r="436" spans="1:90" x14ac:dyDescent="0.25">
      <c r="A436" s="40"/>
      <c r="B436" s="40"/>
      <c r="C436" s="40"/>
      <c r="D436" s="40"/>
      <c r="E436" s="40"/>
      <c r="F436" s="40"/>
      <c r="G436" s="40"/>
      <c r="H436" s="40"/>
      <c r="I436" s="40"/>
      <c r="J436" s="40"/>
      <c r="K436" s="40"/>
      <c r="L436" s="40"/>
      <c r="M436" s="40"/>
      <c r="N436" s="40"/>
      <c r="O436" s="40"/>
      <c r="P436" s="40"/>
      <c r="Q436" s="40"/>
      <c r="R436" s="40"/>
      <c r="S436" s="40"/>
      <c r="T436" s="40"/>
      <c r="U436" s="40"/>
      <c r="V436" s="40"/>
      <c r="W436" s="40"/>
      <c r="X436" s="40"/>
      <c r="Y436" s="40"/>
      <c r="Z436" s="40"/>
      <c r="AA436" s="40"/>
      <c r="AB436" s="40"/>
      <c r="AC436" s="40"/>
      <c r="AD436" s="40"/>
      <c r="AE436" s="40"/>
      <c r="AF436" s="40"/>
      <c r="AG436" s="40"/>
      <c r="AH436" s="40"/>
      <c r="AI436" s="40"/>
      <c r="AJ436" s="40"/>
      <c r="AK436" s="40"/>
      <c r="AL436" s="40"/>
      <c r="AM436" s="40"/>
      <c r="AN436" s="40"/>
      <c r="AO436" s="40"/>
      <c r="AP436" s="40"/>
      <c r="AQ436" s="40"/>
      <c r="AR436" s="40"/>
      <c r="AS436" s="40"/>
      <c r="AT436" s="40"/>
      <c r="AU436" s="40"/>
      <c r="AV436" s="40"/>
      <c r="AW436" s="40"/>
      <c r="AX436" s="40"/>
      <c r="AY436" s="40"/>
      <c r="AZ436" s="40"/>
      <c r="BA436" s="40"/>
      <c r="BB436" s="40"/>
      <c r="BC436" s="40"/>
      <c r="BD436" s="40"/>
      <c r="BE436" s="40"/>
      <c r="BF436" s="40"/>
      <c r="BG436" s="40"/>
      <c r="BH436" s="40"/>
      <c r="BI436" s="40"/>
      <c r="BJ436" s="40"/>
      <c r="BK436" s="40"/>
      <c r="BL436" s="40"/>
      <c r="BM436" s="40"/>
      <c r="BN436" s="40"/>
      <c r="BO436" s="40"/>
      <c r="BP436" s="40"/>
      <c r="BQ436" s="40"/>
      <c r="BR436" s="40"/>
      <c r="BS436" s="40"/>
      <c r="BT436" s="40"/>
      <c r="BU436" s="40"/>
      <c r="BV436" s="40"/>
      <c r="BW436" s="40"/>
      <c r="BX436" s="40"/>
      <c r="BY436" s="40"/>
      <c r="BZ436" s="40"/>
      <c r="CA436" s="40"/>
      <c r="CB436" s="40"/>
      <c r="CC436" s="40"/>
      <c r="CD436" s="40"/>
      <c r="CE436" s="40"/>
      <c r="CF436" s="40"/>
      <c r="CG436" s="40"/>
      <c r="CH436" s="40"/>
      <c r="CI436" s="40"/>
      <c r="CJ436" s="40"/>
      <c r="CK436" s="40"/>
      <c r="CL436" s="40"/>
    </row>
    <row r="437" spans="1:90" x14ac:dyDescent="0.25">
      <c r="A437" s="40"/>
      <c r="B437" s="40"/>
      <c r="C437" s="40"/>
      <c r="D437" s="40"/>
      <c r="E437" s="40"/>
      <c r="F437" s="40"/>
      <c r="G437" s="40"/>
      <c r="H437" s="40"/>
      <c r="I437" s="40"/>
      <c r="J437" s="40"/>
      <c r="K437" s="40"/>
      <c r="L437" s="40"/>
      <c r="M437" s="40"/>
      <c r="N437" s="40"/>
      <c r="O437" s="40"/>
      <c r="P437" s="40"/>
      <c r="Q437" s="40"/>
      <c r="R437" s="40"/>
      <c r="S437" s="40"/>
      <c r="T437" s="40"/>
      <c r="U437" s="40"/>
      <c r="V437" s="40"/>
      <c r="W437" s="40"/>
      <c r="X437" s="40"/>
      <c r="Y437" s="40"/>
      <c r="Z437" s="40"/>
      <c r="AA437" s="40"/>
      <c r="AB437" s="40"/>
      <c r="AC437" s="40"/>
      <c r="AD437" s="40"/>
      <c r="AE437" s="40"/>
      <c r="AF437" s="40"/>
      <c r="AG437" s="40"/>
      <c r="AH437" s="40"/>
      <c r="AI437" s="40"/>
      <c r="AJ437" s="40"/>
      <c r="AK437" s="40"/>
      <c r="AL437" s="40"/>
      <c r="AM437" s="40"/>
      <c r="AN437" s="40"/>
      <c r="AO437" s="40"/>
      <c r="AP437" s="40"/>
      <c r="AQ437" s="40"/>
      <c r="AR437" s="40"/>
      <c r="AS437" s="40"/>
      <c r="AT437" s="40"/>
      <c r="AU437" s="40"/>
      <c r="AV437" s="40"/>
      <c r="AW437" s="40"/>
      <c r="AX437" s="40"/>
      <c r="AY437" s="40"/>
      <c r="AZ437" s="40"/>
      <c r="BA437" s="40"/>
      <c r="BB437" s="40"/>
      <c r="BC437" s="40"/>
      <c r="BD437" s="40"/>
      <c r="BE437" s="40"/>
      <c r="BF437" s="40"/>
      <c r="BG437" s="40"/>
      <c r="BH437" s="40"/>
      <c r="BI437" s="40"/>
      <c r="BJ437" s="40"/>
      <c r="BK437" s="40"/>
      <c r="BL437" s="40"/>
      <c r="BM437" s="40"/>
      <c r="BN437" s="40"/>
      <c r="BO437" s="40"/>
      <c r="BP437" s="40"/>
      <c r="BQ437" s="40"/>
      <c r="BR437" s="40"/>
      <c r="BS437" s="40"/>
      <c r="BT437" s="40"/>
      <c r="BU437" s="40"/>
      <c r="BV437" s="40"/>
      <c r="BW437" s="40"/>
      <c r="BX437" s="40"/>
      <c r="BY437" s="40"/>
      <c r="BZ437" s="40"/>
      <c r="CA437" s="40"/>
      <c r="CB437" s="40"/>
      <c r="CC437" s="40"/>
      <c r="CD437" s="40"/>
      <c r="CE437" s="40"/>
      <c r="CF437" s="40"/>
      <c r="CG437" s="40"/>
      <c r="CH437" s="40"/>
      <c r="CI437" s="40"/>
      <c r="CJ437" s="40"/>
      <c r="CK437" s="40"/>
      <c r="CL437" s="40"/>
    </row>
    <row r="438" spans="1:90" x14ac:dyDescent="0.25">
      <c r="A438" s="40"/>
      <c r="B438" s="40"/>
      <c r="C438" s="40"/>
      <c r="D438" s="40"/>
      <c r="E438" s="40"/>
      <c r="F438" s="40"/>
      <c r="G438" s="40"/>
      <c r="H438" s="40"/>
      <c r="I438" s="40"/>
      <c r="J438" s="40"/>
      <c r="K438" s="40"/>
      <c r="L438" s="40"/>
      <c r="M438" s="40"/>
      <c r="N438" s="40"/>
      <c r="O438" s="40"/>
      <c r="P438" s="40"/>
      <c r="Q438" s="40"/>
      <c r="R438" s="40"/>
      <c r="S438" s="40"/>
      <c r="T438" s="40"/>
      <c r="U438" s="40"/>
      <c r="V438" s="40"/>
      <c r="W438" s="40"/>
      <c r="X438" s="40"/>
      <c r="Y438" s="40"/>
      <c r="Z438" s="40"/>
      <c r="AA438" s="40"/>
      <c r="AB438" s="40"/>
      <c r="AC438" s="40"/>
      <c r="AD438" s="40"/>
      <c r="AE438" s="40"/>
      <c r="AF438" s="40"/>
      <c r="AG438" s="40"/>
      <c r="AH438" s="40"/>
      <c r="AI438" s="40"/>
      <c r="AJ438" s="40"/>
      <c r="AK438" s="40"/>
      <c r="AL438" s="40"/>
      <c r="AM438" s="40"/>
      <c r="AN438" s="40"/>
      <c r="AO438" s="40"/>
      <c r="AP438" s="40"/>
      <c r="AQ438" s="40"/>
      <c r="AR438" s="40"/>
      <c r="AS438" s="40"/>
      <c r="AT438" s="40"/>
      <c r="AU438" s="40"/>
      <c r="AV438" s="40"/>
      <c r="AW438" s="40"/>
      <c r="AX438" s="40"/>
      <c r="AY438" s="40"/>
      <c r="AZ438" s="40"/>
      <c r="BA438" s="40"/>
      <c r="BB438" s="40"/>
      <c r="BC438" s="40"/>
      <c r="BD438" s="40"/>
      <c r="BE438" s="40"/>
      <c r="BF438" s="40"/>
      <c r="BG438" s="40"/>
      <c r="BH438" s="40"/>
      <c r="BI438" s="40"/>
      <c r="BJ438" s="40"/>
      <c r="BK438" s="40"/>
      <c r="BL438" s="40"/>
      <c r="BM438" s="40"/>
      <c r="BN438" s="40"/>
      <c r="BO438" s="40"/>
      <c r="BP438" s="40"/>
      <c r="BQ438" s="40"/>
      <c r="BR438" s="40"/>
      <c r="BS438" s="40"/>
      <c r="BT438" s="40"/>
      <c r="BU438" s="40"/>
      <c r="BV438" s="40"/>
      <c r="BW438" s="40"/>
      <c r="BX438" s="40"/>
      <c r="BY438" s="40"/>
      <c r="BZ438" s="40"/>
      <c r="CA438" s="40"/>
      <c r="CB438" s="40"/>
      <c r="CC438" s="40"/>
      <c r="CD438" s="40"/>
      <c r="CE438" s="40"/>
      <c r="CF438" s="40"/>
      <c r="CG438" s="40"/>
      <c r="CH438" s="40"/>
      <c r="CI438" s="40"/>
      <c r="CJ438" s="40"/>
      <c r="CK438" s="40"/>
      <c r="CL438" s="40"/>
    </row>
    <row r="439" spans="1:90" x14ac:dyDescent="0.25">
      <c r="A439" s="40"/>
      <c r="B439" s="40"/>
      <c r="C439" s="40"/>
      <c r="D439" s="40"/>
      <c r="E439" s="40"/>
      <c r="F439" s="40"/>
      <c r="G439" s="40"/>
      <c r="H439" s="40"/>
      <c r="I439" s="40"/>
      <c r="J439" s="40"/>
      <c r="K439" s="40"/>
      <c r="L439" s="40"/>
      <c r="M439" s="40"/>
      <c r="N439" s="40"/>
      <c r="O439" s="40"/>
      <c r="P439" s="40"/>
      <c r="Q439" s="40"/>
      <c r="R439" s="40"/>
      <c r="S439" s="40"/>
      <c r="T439" s="40"/>
      <c r="U439" s="40"/>
      <c r="V439" s="40"/>
      <c r="W439" s="40"/>
      <c r="X439" s="40"/>
      <c r="Y439" s="40"/>
      <c r="Z439" s="40"/>
      <c r="AA439" s="40"/>
      <c r="AB439" s="40"/>
      <c r="AC439" s="40"/>
      <c r="AD439" s="40"/>
      <c r="AE439" s="40"/>
      <c r="AF439" s="40"/>
      <c r="AG439" s="40"/>
      <c r="AH439" s="40"/>
      <c r="AI439" s="40"/>
      <c r="AJ439" s="40"/>
      <c r="AK439" s="40"/>
      <c r="AL439" s="40"/>
      <c r="AM439" s="40"/>
      <c r="AN439" s="40"/>
      <c r="AO439" s="40"/>
      <c r="AP439" s="40"/>
      <c r="AQ439" s="40"/>
      <c r="AR439" s="40"/>
      <c r="AS439" s="40"/>
      <c r="AT439" s="40"/>
      <c r="AU439" s="40"/>
      <c r="AV439" s="40"/>
      <c r="AW439" s="40"/>
      <c r="AX439" s="40"/>
      <c r="AY439" s="40"/>
      <c r="AZ439" s="40"/>
      <c r="BA439" s="40"/>
      <c r="BB439" s="40"/>
      <c r="BC439" s="40"/>
      <c r="BD439" s="40"/>
      <c r="BE439" s="40"/>
      <c r="BF439" s="40"/>
      <c r="BG439" s="40"/>
      <c r="BH439" s="40"/>
      <c r="BI439" s="40"/>
      <c r="BJ439" s="40"/>
      <c r="BK439" s="40"/>
      <c r="BL439" s="40"/>
      <c r="BM439" s="40"/>
      <c r="BN439" s="40"/>
      <c r="BO439" s="40"/>
      <c r="BP439" s="40"/>
      <c r="BQ439" s="40"/>
      <c r="BR439" s="40"/>
      <c r="BS439" s="40"/>
      <c r="BT439" s="40"/>
      <c r="BU439" s="40"/>
      <c r="BV439" s="40"/>
      <c r="BW439" s="40"/>
      <c r="BX439" s="40"/>
      <c r="BY439" s="40"/>
      <c r="BZ439" s="40"/>
      <c r="CA439" s="40"/>
      <c r="CB439" s="40"/>
      <c r="CC439" s="40"/>
      <c r="CD439" s="40"/>
      <c r="CE439" s="40"/>
      <c r="CF439" s="40"/>
      <c r="CG439" s="40"/>
      <c r="CH439" s="40"/>
      <c r="CI439" s="40"/>
      <c r="CJ439" s="40"/>
      <c r="CK439" s="40"/>
      <c r="CL439" s="40"/>
    </row>
    <row r="440" spans="1:90" x14ac:dyDescent="0.25">
      <c r="A440" s="40"/>
      <c r="B440" s="40"/>
      <c r="C440" s="40"/>
      <c r="D440" s="40"/>
      <c r="E440" s="40"/>
      <c r="F440" s="40"/>
      <c r="G440" s="40"/>
      <c r="H440" s="40"/>
      <c r="I440" s="40"/>
      <c r="J440" s="40"/>
      <c r="K440" s="40"/>
      <c r="L440" s="40"/>
      <c r="M440" s="40"/>
      <c r="N440" s="40"/>
      <c r="O440" s="40"/>
      <c r="P440" s="40"/>
      <c r="Q440" s="40"/>
      <c r="R440" s="40"/>
      <c r="S440" s="40"/>
      <c r="T440" s="40"/>
      <c r="U440" s="40"/>
      <c r="V440" s="40"/>
      <c r="W440" s="40"/>
      <c r="X440" s="40"/>
      <c r="Y440" s="40"/>
      <c r="Z440" s="40"/>
      <c r="AA440" s="40"/>
      <c r="AB440" s="40"/>
      <c r="AC440" s="40"/>
      <c r="AD440" s="40"/>
      <c r="AE440" s="40"/>
      <c r="AF440" s="40"/>
      <c r="AG440" s="40"/>
      <c r="AH440" s="40"/>
      <c r="AI440" s="40"/>
      <c r="AJ440" s="40"/>
      <c r="AK440" s="40"/>
      <c r="AL440" s="40"/>
      <c r="AM440" s="40"/>
      <c r="AN440" s="40"/>
      <c r="AO440" s="40"/>
      <c r="AP440" s="40"/>
      <c r="AQ440" s="40"/>
      <c r="AR440" s="40"/>
      <c r="AS440" s="40"/>
      <c r="AT440" s="40"/>
      <c r="AU440" s="40"/>
      <c r="AV440" s="40"/>
      <c r="AW440" s="40"/>
      <c r="AX440" s="40"/>
      <c r="AY440" s="40"/>
      <c r="AZ440" s="40"/>
      <c r="BA440" s="40"/>
      <c r="BB440" s="40"/>
      <c r="BC440" s="40"/>
      <c r="BD440" s="40"/>
      <c r="BE440" s="40"/>
      <c r="BF440" s="40"/>
      <c r="BG440" s="40"/>
      <c r="BH440" s="40"/>
      <c r="BI440" s="40"/>
      <c r="BJ440" s="40"/>
      <c r="BK440" s="40"/>
      <c r="BL440" s="40"/>
      <c r="BM440" s="40"/>
      <c r="BN440" s="40"/>
      <c r="BO440" s="40"/>
      <c r="BP440" s="40"/>
      <c r="BQ440" s="40"/>
      <c r="BR440" s="40"/>
      <c r="BS440" s="40"/>
      <c r="BT440" s="40"/>
      <c r="BU440" s="40"/>
      <c r="BV440" s="40"/>
      <c r="BW440" s="40"/>
      <c r="BX440" s="40"/>
      <c r="BY440" s="40"/>
      <c r="BZ440" s="40"/>
      <c r="CA440" s="40"/>
      <c r="CB440" s="40"/>
      <c r="CC440" s="40"/>
      <c r="CD440" s="40"/>
      <c r="CE440" s="40"/>
      <c r="CF440" s="40"/>
      <c r="CG440" s="40"/>
      <c r="CH440" s="40"/>
      <c r="CI440" s="40"/>
      <c r="CJ440" s="40"/>
      <c r="CK440" s="40"/>
      <c r="CL440" s="40"/>
    </row>
    <row r="441" spans="1:90" x14ac:dyDescent="0.25">
      <c r="A441" s="40"/>
      <c r="B441" s="40"/>
      <c r="C441" s="40"/>
      <c r="D441" s="40"/>
      <c r="E441" s="40"/>
      <c r="F441" s="40"/>
      <c r="G441" s="40"/>
      <c r="H441" s="40"/>
      <c r="I441" s="40"/>
      <c r="J441" s="40"/>
      <c r="K441" s="40"/>
      <c r="L441" s="40"/>
      <c r="M441" s="40"/>
      <c r="N441" s="40"/>
      <c r="O441" s="40"/>
      <c r="P441" s="40"/>
      <c r="Q441" s="40"/>
      <c r="R441" s="40"/>
      <c r="S441" s="40"/>
      <c r="T441" s="40"/>
      <c r="U441" s="40"/>
      <c r="V441" s="40"/>
      <c r="W441" s="40"/>
      <c r="X441" s="40"/>
      <c r="Y441" s="40"/>
      <c r="Z441" s="40"/>
      <c r="AA441" s="40"/>
      <c r="AB441" s="40"/>
      <c r="AC441" s="40"/>
      <c r="AD441" s="40"/>
      <c r="AE441" s="40"/>
      <c r="AF441" s="40"/>
      <c r="AG441" s="40"/>
      <c r="AH441" s="40"/>
      <c r="AI441" s="40"/>
      <c r="AJ441" s="40"/>
      <c r="AK441" s="40"/>
      <c r="AL441" s="40"/>
      <c r="AM441" s="40"/>
      <c r="AN441" s="40"/>
      <c r="AO441" s="40"/>
      <c r="AP441" s="40"/>
      <c r="AQ441" s="40"/>
      <c r="AR441" s="40"/>
      <c r="AS441" s="40"/>
      <c r="AT441" s="40"/>
      <c r="AU441" s="40"/>
      <c r="AV441" s="40"/>
      <c r="AW441" s="40"/>
      <c r="AX441" s="40"/>
      <c r="AY441" s="40"/>
      <c r="AZ441" s="40"/>
      <c r="BA441" s="40"/>
      <c r="BB441" s="40"/>
      <c r="BC441" s="40"/>
      <c r="BD441" s="40"/>
      <c r="BE441" s="40"/>
      <c r="BF441" s="40"/>
      <c r="BG441" s="40"/>
      <c r="BH441" s="40"/>
      <c r="BI441" s="40"/>
      <c r="BJ441" s="40"/>
      <c r="BK441" s="40"/>
      <c r="BL441" s="40"/>
      <c r="BM441" s="40"/>
      <c r="BN441" s="40"/>
      <c r="BO441" s="40"/>
      <c r="BP441" s="40"/>
      <c r="BQ441" s="40"/>
      <c r="BR441" s="40"/>
      <c r="BS441" s="40"/>
      <c r="BT441" s="40"/>
      <c r="BU441" s="40"/>
      <c r="BV441" s="40"/>
      <c r="BW441" s="40"/>
      <c r="BX441" s="40"/>
      <c r="BY441" s="40"/>
      <c r="BZ441" s="40"/>
      <c r="CA441" s="40"/>
      <c r="CB441" s="40"/>
      <c r="CC441" s="40"/>
      <c r="CD441" s="40"/>
      <c r="CE441" s="40"/>
      <c r="CF441" s="40"/>
      <c r="CG441" s="40"/>
      <c r="CH441" s="40"/>
      <c r="CI441" s="40"/>
      <c r="CJ441" s="40"/>
      <c r="CK441" s="40"/>
      <c r="CL441" s="40"/>
    </row>
    <row r="442" spans="1:90" x14ac:dyDescent="0.25">
      <c r="A442" s="40"/>
      <c r="B442" s="40"/>
      <c r="C442" s="40"/>
      <c r="D442" s="40"/>
      <c r="E442" s="40"/>
      <c r="F442" s="40"/>
      <c r="G442" s="40"/>
      <c r="H442" s="40"/>
      <c r="I442" s="40"/>
      <c r="J442" s="40"/>
      <c r="K442" s="40"/>
      <c r="L442" s="40"/>
      <c r="M442" s="40"/>
      <c r="N442" s="40"/>
      <c r="O442" s="40"/>
      <c r="P442" s="40"/>
      <c r="Q442" s="40"/>
      <c r="R442" s="40"/>
      <c r="S442" s="40"/>
      <c r="T442" s="40"/>
      <c r="U442" s="40"/>
      <c r="V442" s="40"/>
      <c r="W442" s="40"/>
      <c r="X442" s="40"/>
      <c r="Y442" s="40"/>
      <c r="Z442" s="40"/>
      <c r="AA442" s="40"/>
      <c r="AB442" s="40"/>
      <c r="AC442" s="40"/>
      <c r="AD442" s="40"/>
      <c r="AE442" s="40"/>
      <c r="AF442" s="40"/>
      <c r="AG442" s="40"/>
      <c r="AH442" s="40"/>
      <c r="AI442" s="40"/>
      <c r="AJ442" s="40"/>
      <c r="AK442" s="40"/>
      <c r="AL442" s="40"/>
      <c r="AM442" s="40"/>
      <c r="AN442" s="40"/>
      <c r="AO442" s="40"/>
      <c r="AP442" s="40"/>
      <c r="AQ442" s="40"/>
      <c r="AR442" s="40"/>
      <c r="AS442" s="40"/>
      <c r="AT442" s="40"/>
      <c r="AU442" s="40"/>
      <c r="AV442" s="40"/>
      <c r="AW442" s="40"/>
      <c r="AX442" s="40"/>
      <c r="AY442" s="40"/>
      <c r="AZ442" s="40"/>
      <c r="BA442" s="40"/>
      <c r="BB442" s="40"/>
      <c r="BC442" s="40"/>
      <c r="BD442" s="40"/>
      <c r="BE442" s="40"/>
      <c r="BF442" s="40"/>
      <c r="BG442" s="40"/>
      <c r="BH442" s="40"/>
      <c r="BI442" s="40"/>
      <c r="BJ442" s="40"/>
      <c r="BK442" s="40"/>
      <c r="BL442" s="40"/>
      <c r="BM442" s="40"/>
      <c r="BN442" s="40"/>
      <c r="BO442" s="40"/>
      <c r="BP442" s="40"/>
      <c r="BQ442" s="40"/>
      <c r="BR442" s="40"/>
      <c r="BS442" s="40"/>
      <c r="BT442" s="40"/>
      <c r="BU442" s="40"/>
      <c r="BV442" s="40"/>
      <c r="BW442" s="40"/>
      <c r="BX442" s="40"/>
      <c r="BY442" s="40"/>
      <c r="BZ442" s="40"/>
      <c r="CA442" s="40"/>
      <c r="CB442" s="40"/>
      <c r="CC442" s="40"/>
      <c r="CD442" s="40"/>
      <c r="CE442" s="40"/>
      <c r="CF442" s="40"/>
      <c r="CG442" s="40"/>
      <c r="CH442" s="40"/>
      <c r="CI442" s="40"/>
      <c r="CJ442" s="40"/>
      <c r="CK442" s="40"/>
      <c r="CL442" s="40"/>
    </row>
    <row r="443" spans="1:90" x14ac:dyDescent="0.25">
      <c r="A443" s="40"/>
      <c r="B443" s="40"/>
      <c r="C443" s="40"/>
      <c r="D443" s="40"/>
      <c r="E443" s="40"/>
      <c r="F443" s="40"/>
      <c r="G443" s="40"/>
      <c r="H443" s="40"/>
      <c r="I443" s="40"/>
      <c r="J443" s="40"/>
      <c r="K443" s="40"/>
      <c r="L443" s="40"/>
      <c r="M443" s="40"/>
      <c r="N443" s="40"/>
      <c r="O443" s="40"/>
      <c r="P443" s="40"/>
      <c r="Q443" s="40"/>
      <c r="R443" s="40"/>
      <c r="S443" s="40"/>
      <c r="T443" s="40"/>
      <c r="U443" s="40"/>
      <c r="V443" s="40"/>
      <c r="W443" s="40"/>
      <c r="X443" s="40"/>
      <c r="Y443" s="40"/>
      <c r="Z443" s="40"/>
      <c r="AA443" s="40"/>
      <c r="AB443" s="40"/>
      <c r="AC443" s="40"/>
      <c r="AD443" s="40"/>
      <c r="AE443" s="40"/>
      <c r="AF443" s="40"/>
      <c r="AG443" s="40"/>
      <c r="AH443" s="40"/>
      <c r="AI443" s="40"/>
      <c r="AJ443" s="40"/>
      <c r="AK443" s="40"/>
      <c r="AL443" s="40"/>
      <c r="AM443" s="40"/>
      <c r="AN443" s="40"/>
      <c r="AO443" s="40"/>
      <c r="AP443" s="40"/>
      <c r="AQ443" s="40"/>
      <c r="AR443" s="40"/>
      <c r="AS443" s="40"/>
      <c r="AT443" s="40"/>
      <c r="AU443" s="40"/>
      <c r="AV443" s="40"/>
      <c r="AW443" s="40"/>
      <c r="AX443" s="40"/>
      <c r="AY443" s="40"/>
      <c r="AZ443" s="40"/>
      <c r="BA443" s="40"/>
      <c r="BB443" s="40"/>
      <c r="BC443" s="40"/>
      <c r="BD443" s="40"/>
      <c r="BE443" s="40"/>
      <c r="BF443" s="40"/>
      <c r="BG443" s="40"/>
      <c r="BH443" s="40"/>
      <c r="BI443" s="40"/>
      <c r="BJ443" s="40"/>
      <c r="BK443" s="40"/>
      <c r="BL443" s="40"/>
      <c r="BM443" s="40"/>
      <c r="BN443" s="40"/>
      <c r="BO443" s="40"/>
      <c r="BP443" s="40"/>
      <c r="BQ443" s="40"/>
      <c r="BR443" s="40"/>
      <c r="BS443" s="40"/>
      <c r="BT443" s="40"/>
      <c r="BU443" s="40"/>
      <c r="BV443" s="40"/>
      <c r="BW443" s="40"/>
      <c r="BX443" s="40"/>
      <c r="BY443" s="40"/>
      <c r="BZ443" s="40"/>
      <c r="CA443" s="40"/>
      <c r="CB443" s="40"/>
      <c r="CC443" s="40"/>
      <c r="CD443" s="40"/>
      <c r="CE443" s="40"/>
      <c r="CF443" s="40"/>
      <c r="CG443" s="40"/>
      <c r="CH443" s="40"/>
      <c r="CI443" s="40"/>
      <c r="CJ443" s="40"/>
      <c r="CK443" s="40"/>
      <c r="CL443" s="40"/>
    </row>
    <row r="444" spans="1:90" x14ac:dyDescent="0.25">
      <c r="A444" s="40"/>
      <c r="B444" s="40"/>
      <c r="C444" s="40"/>
      <c r="D444" s="40"/>
      <c r="E444" s="40"/>
      <c r="F444" s="40"/>
      <c r="G444" s="40"/>
      <c r="H444" s="40"/>
      <c r="I444" s="40"/>
      <c r="J444" s="40"/>
      <c r="K444" s="40"/>
      <c r="L444" s="40"/>
      <c r="M444" s="40"/>
      <c r="N444" s="40"/>
      <c r="O444" s="40"/>
      <c r="P444" s="40"/>
      <c r="Q444" s="40"/>
      <c r="R444" s="40"/>
      <c r="S444" s="40"/>
      <c r="T444" s="40"/>
      <c r="U444" s="40"/>
      <c r="V444" s="40"/>
      <c r="W444" s="40"/>
      <c r="X444" s="40"/>
      <c r="Y444" s="40"/>
      <c r="Z444" s="40"/>
      <c r="AA444" s="40"/>
      <c r="AB444" s="40"/>
      <c r="AC444" s="40"/>
      <c r="AD444" s="40"/>
      <c r="AE444" s="40"/>
      <c r="AF444" s="40"/>
      <c r="AG444" s="40"/>
      <c r="AH444" s="40"/>
      <c r="AI444" s="40"/>
      <c r="AJ444" s="40"/>
      <c r="AK444" s="40"/>
      <c r="AL444" s="40"/>
      <c r="AM444" s="40"/>
      <c r="AN444" s="40"/>
      <c r="AO444" s="40"/>
      <c r="AP444" s="40"/>
      <c r="AQ444" s="40"/>
      <c r="AR444" s="40"/>
      <c r="AS444" s="40"/>
      <c r="AT444" s="40"/>
      <c r="AU444" s="40"/>
      <c r="AV444" s="40"/>
      <c r="AW444" s="40"/>
      <c r="AX444" s="40"/>
      <c r="AY444" s="40"/>
      <c r="AZ444" s="40"/>
      <c r="BA444" s="40"/>
      <c r="BB444" s="40"/>
      <c r="BC444" s="40"/>
      <c r="BD444" s="40"/>
      <c r="BE444" s="40"/>
      <c r="BF444" s="40"/>
      <c r="BG444" s="40"/>
      <c r="BH444" s="40"/>
      <c r="BI444" s="40"/>
      <c r="BJ444" s="40"/>
      <c r="BK444" s="40"/>
      <c r="BL444" s="40"/>
      <c r="BM444" s="40"/>
      <c r="BN444" s="40"/>
      <c r="BO444" s="40"/>
      <c r="BP444" s="40"/>
      <c r="BQ444" s="40"/>
      <c r="BR444" s="40"/>
      <c r="BS444" s="40"/>
      <c r="BT444" s="40"/>
      <c r="BU444" s="40"/>
      <c r="BV444" s="40"/>
      <c r="BW444" s="40"/>
      <c r="BX444" s="40"/>
      <c r="BY444" s="40"/>
      <c r="BZ444" s="40"/>
      <c r="CA444" s="40"/>
      <c r="CB444" s="40"/>
      <c r="CC444" s="40"/>
      <c r="CD444" s="40"/>
      <c r="CE444" s="40"/>
      <c r="CF444" s="40"/>
      <c r="CG444" s="40"/>
      <c r="CH444" s="40"/>
      <c r="CI444" s="40"/>
      <c r="CJ444" s="40"/>
      <c r="CK444" s="40"/>
      <c r="CL444" s="40"/>
    </row>
    <row r="445" spans="1:90" x14ac:dyDescent="0.25">
      <c r="A445" s="40"/>
      <c r="B445" s="40"/>
      <c r="C445" s="40"/>
      <c r="D445" s="40"/>
      <c r="E445" s="40"/>
      <c r="F445" s="40"/>
      <c r="G445" s="40"/>
      <c r="H445" s="40"/>
      <c r="I445" s="40"/>
      <c r="J445" s="40"/>
      <c r="K445" s="40"/>
      <c r="L445" s="40"/>
      <c r="M445" s="40"/>
      <c r="N445" s="40"/>
      <c r="O445" s="40"/>
      <c r="P445" s="40"/>
      <c r="Q445" s="40"/>
      <c r="R445" s="40"/>
      <c r="S445" s="40"/>
      <c r="T445" s="40"/>
      <c r="U445" s="40"/>
      <c r="V445" s="40"/>
      <c r="W445" s="40"/>
      <c r="X445" s="40"/>
      <c r="Y445" s="40"/>
      <c r="Z445" s="40"/>
      <c r="AA445" s="40"/>
      <c r="AB445" s="40"/>
      <c r="AC445" s="40"/>
      <c r="AD445" s="40"/>
      <c r="AE445" s="40"/>
      <c r="AF445" s="40"/>
      <c r="AG445" s="40"/>
      <c r="AH445" s="40"/>
      <c r="AI445" s="40"/>
      <c r="AJ445" s="40"/>
      <c r="AK445" s="40"/>
      <c r="AL445" s="40"/>
      <c r="AM445" s="40"/>
      <c r="AN445" s="40"/>
      <c r="AO445" s="40"/>
      <c r="AP445" s="40"/>
      <c r="AQ445" s="40"/>
      <c r="AR445" s="40"/>
      <c r="AS445" s="40"/>
      <c r="AT445" s="40"/>
      <c r="AU445" s="40"/>
      <c r="AV445" s="40"/>
      <c r="AW445" s="40"/>
      <c r="AX445" s="40"/>
      <c r="AY445" s="40"/>
      <c r="AZ445" s="40"/>
      <c r="BA445" s="40"/>
      <c r="BB445" s="40"/>
      <c r="BC445" s="40"/>
      <c r="BD445" s="40"/>
      <c r="BE445" s="40"/>
      <c r="BF445" s="40"/>
      <c r="BG445" s="40"/>
      <c r="BH445" s="40"/>
      <c r="BI445" s="40"/>
      <c r="BJ445" s="40"/>
      <c r="BK445" s="40"/>
      <c r="BL445" s="40"/>
      <c r="BM445" s="40"/>
      <c r="BN445" s="40"/>
      <c r="BO445" s="40"/>
      <c r="BP445" s="40"/>
      <c r="BQ445" s="40"/>
      <c r="BR445" s="40"/>
      <c r="BS445" s="40"/>
      <c r="BT445" s="40"/>
      <c r="BU445" s="40"/>
      <c r="BV445" s="40"/>
      <c r="BW445" s="40"/>
      <c r="BX445" s="40"/>
      <c r="BY445" s="40"/>
      <c r="BZ445" s="40"/>
      <c r="CA445" s="40"/>
      <c r="CB445" s="40"/>
      <c r="CC445" s="40"/>
      <c r="CD445" s="40"/>
      <c r="CE445" s="40"/>
      <c r="CF445" s="40"/>
      <c r="CG445" s="40"/>
      <c r="CH445" s="40"/>
      <c r="CI445" s="40"/>
      <c r="CJ445" s="40"/>
      <c r="CK445" s="40"/>
      <c r="CL445" s="40"/>
    </row>
    <row r="446" spans="1:90" x14ac:dyDescent="0.25">
      <c r="A446" s="40"/>
      <c r="B446" s="40"/>
      <c r="C446" s="40"/>
      <c r="D446" s="40"/>
      <c r="E446" s="40"/>
      <c r="F446" s="40"/>
      <c r="G446" s="40"/>
      <c r="H446" s="40"/>
      <c r="I446" s="40"/>
      <c r="J446" s="40"/>
      <c r="K446" s="40"/>
      <c r="L446" s="40"/>
      <c r="M446" s="40"/>
      <c r="N446" s="40"/>
      <c r="O446" s="40"/>
      <c r="P446" s="40"/>
      <c r="Q446" s="40"/>
      <c r="R446" s="40"/>
      <c r="S446" s="40"/>
      <c r="T446" s="40"/>
      <c r="U446" s="40"/>
      <c r="V446" s="40"/>
      <c r="W446" s="40"/>
      <c r="X446" s="40"/>
      <c r="Y446" s="40"/>
      <c r="Z446" s="40"/>
      <c r="AA446" s="40"/>
      <c r="AB446" s="40"/>
      <c r="AC446" s="40"/>
      <c r="AD446" s="40"/>
      <c r="AE446" s="40"/>
      <c r="AF446" s="40"/>
      <c r="AG446" s="40"/>
      <c r="AH446" s="40"/>
      <c r="AI446" s="40"/>
      <c r="AJ446" s="40"/>
      <c r="AK446" s="40"/>
      <c r="AL446" s="40"/>
      <c r="AM446" s="40"/>
      <c r="AN446" s="40"/>
      <c r="AO446" s="40"/>
      <c r="AP446" s="40"/>
      <c r="AQ446" s="40"/>
      <c r="AR446" s="40"/>
      <c r="AS446" s="40"/>
      <c r="AT446" s="40"/>
      <c r="AU446" s="40"/>
      <c r="AV446" s="40"/>
      <c r="AW446" s="40"/>
      <c r="AX446" s="40"/>
      <c r="AY446" s="40"/>
      <c r="AZ446" s="40"/>
      <c r="BA446" s="40"/>
      <c r="BB446" s="40"/>
      <c r="BC446" s="40"/>
      <c r="BD446" s="40"/>
      <c r="BE446" s="40"/>
      <c r="BF446" s="40"/>
      <c r="BG446" s="40"/>
      <c r="BH446" s="40"/>
      <c r="BI446" s="40"/>
      <c r="BJ446" s="40"/>
      <c r="BK446" s="40"/>
      <c r="BL446" s="40"/>
      <c r="BM446" s="40"/>
      <c r="BN446" s="40"/>
      <c r="BO446" s="40"/>
      <c r="BP446" s="40"/>
      <c r="BQ446" s="40"/>
      <c r="BR446" s="40"/>
      <c r="BS446" s="40"/>
      <c r="BT446" s="40"/>
      <c r="BU446" s="40"/>
      <c r="BV446" s="40"/>
      <c r="BW446" s="40"/>
      <c r="BX446" s="40"/>
      <c r="BY446" s="40"/>
      <c r="BZ446" s="40"/>
      <c r="CA446" s="40"/>
      <c r="CB446" s="40"/>
      <c r="CC446" s="40"/>
      <c r="CD446" s="40"/>
      <c r="CE446" s="40"/>
      <c r="CF446" s="40"/>
      <c r="CG446" s="40"/>
      <c r="CH446" s="40"/>
      <c r="CI446" s="40"/>
      <c r="CJ446" s="40"/>
      <c r="CK446" s="40"/>
      <c r="CL446" s="40"/>
    </row>
    <row r="447" spans="1:90" x14ac:dyDescent="0.25">
      <c r="A447" s="40"/>
      <c r="B447" s="40"/>
      <c r="C447" s="40"/>
      <c r="D447" s="40"/>
      <c r="E447" s="40"/>
      <c r="F447" s="40"/>
      <c r="G447" s="40"/>
      <c r="H447" s="40"/>
      <c r="I447" s="40"/>
      <c r="J447" s="40"/>
      <c r="K447" s="40"/>
      <c r="L447" s="40"/>
      <c r="M447" s="40"/>
      <c r="N447" s="40"/>
      <c r="O447" s="40"/>
      <c r="P447" s="40"/>
      <c r="Q447" s="40"/>
      <c r="R447" s="40"/>
      <c r="S447" s="40"/>
      <c r="T447" s="40"/>
      <c r="U447" s="40"/>
      <c r="V447" s="40"/>
      <c r="W447" s="40"/>
      <c r="X447" s="40"/>
      <c r="Y447" s="40"/>
      <c r="Z447" s="40"/>
      <c r="AA447" s="40"/>
      <c r="AB447" s="40"/>
      <c r="AC447" s="40"/>
      <c r="AD447" s="40"/>
      <c r="AE447" s="40"/>
      <c r="AF447" s="40"/>
      <c r="AG447" s="40"/>
      <c r="AH447" s="40"/>
      <c r="AI447" s="40"/>
      <c r="AJ447" s="40"/>
      <c r="AK447" s="40"/>
      <c r="AL447" s="40"/>
      <c r="AM447" s="40"/>
      <c r="AN447" s="40"/>
      <c r="AO447" s="40"/>
      <c r="AP447" s="40"/>
      <c r="AQ447" s="40"/>
      <c r="AR447" s="40"/>
      <c r="AS447" s="40"/>
      <c r="AT447" s="40"/>
      <c r="AU447" s="40"/>
      <c r="AV447" s="40"/>
      <c r="AW447" s="40"/>
      <c r="AX447" s="40"/>
      <c r="AY447" s="40"/>
      <c r="AZ447" s="40"/>
      <c r="BA447" s="40"/>
      <c r="BB447" s="40"/>
      <c r="BC447" s="40"/>
      <c r="BD447" s="40"/>
      <c r="BE447" s="40"/>
      <c r="BF447" s="40"/>
      <c r="BG447" s="40"/>
      <c r="BH447" s="40"/>
      <c r="BI447" s="40"/>
      <c r="BJ447" s="40"/>
      <c r="BK447" s="40"/>
      <c r="BL447" s="40"/>
      <c r="BM447" s="40"/>
      <c r="BN447" s="40"/>
      <c r="BO447" s="40"/>
      <c r="BP447" s="40"/>
      <c r="BQ447" s="40"/>
      <c r="BR447" s="40"/>
      <c r="BS447" s="40"/>
      <c r="BT447" s="40"/>
      <c r="BU447" s="40"/>
      <c r="BV447" s="40"/>
      <c r="BW447" s="40"/>
      <c r="BX447" s="40"/>
      <c r="BY447" s="40"/>
      <c r="BZ447" s="40"/>
      <c r="CA447" s="40"/>
      <c r="CB447" s="40"/>
      <c r="CC447" s="40"/>
      <c r="CD447" s="40"/>
      <c r="CE447" s="40"/>
      <c r="CF447" s="40"/>
      <c r="CG447" s="40"/>
      <c r="CH447" s="40"/>
      <c r="CI447" s="40"/>
      <c r="CJ447" s="40"/>
      <c r="CK447" s="40"/>
      <c r="CL447" s="40"/>
    </row>
    <row r="448" spans="1:90" x14ac:dyDescent="0.25">
      <c r="A448" s="40"/>
      <c r="B448" s="40"/>
      <c r="C448" s="40"/>
      <c r="D448" s="40"/>
      <c r="E448" s="40"/>
      <c r="F448" s="40"/>
      <c r="G448" s="40"/>
      <c r="H448" s="40"/>
      <c r="I448" s="40"/>
      <c r="J448" s="40"/>
      <c r="K448" s="40"/>
      <c r="L448" s="40"/>
      <c r="M448" s="40"/>
      <c r="N448" s="40"/>
      <c r="O448" s="40"/>
      <c r="P448" s="40"/>
      <c r="Q448" s="40"/>
      <c r="R448" s="40"/>
      <c r="S448" s="40"/>
      <c r="T448" s="40"/>
      <c r="U448" s="40"/>
      <c r="V448" s="40"/>
      <c r="W448" s="40"/>
      <c r="X448" s="40"/>
      <c r="Y448" s="40"/>
      <c r="Z448" s="40"/>
      <c r="AA448" s="40"/>
      <c r="AB448" s="40"/>
      <c r="AC448" s="40"/>
      <c r="AD448" s="40"/>
      <c r="AE448" s="40"/>
      <c r="AF448" s="40"/>
      <c r="AG448" s="40"/>
      <c r="AH448" s="40"/>
      <c r="AI448" s="40"/>
      <c r="AJ448" s="40"/>
      <c r="AK448" s="40"/>
      <c r="AL448" s="40"/>
      <c r="AM448" s="40"/>
      <c r="AN448" s="40"/>
      <c r="AO448" s="40"/>
      <c r="AP448" s="40"/>
      <c r="AQ448" s="40"/>
      <c r="AR448" s="40"/>
      <c r="AS448" s="40"/>
      <c r="AT448" s="40"/>
      <c r="AU448" s="40"/>
      <c r="AV448" s="40"/>
      <c r="AW448" s="40"/>
      <c r="AX448" s="40"/>
      <c r="AY448" s="40"/>
      <c r="AZ448" s="40"/>
      <c r="BA448" s="40"/>
      <c r="BB448" s="40"/>
      <c r="BC448" s="40"/>
      <c r="BD448" s="40"/>
      <c r="BE448" s="40"/>
      <c r="BF448" s="40"/>
      <c r="BG448" s="40"/>
      <c r="BH448" s="40"/>
      <c r="BI448" s="40"/>
      <c r="BJ448" s="40"/>
      <c r="BK448" s="40"/>
      <c r="BL448" s="40"/>
      <c r="BM448" s="40"/>
      <c r="BN448" s="40"/>
      <c r="BO448" s="40"/>
      <c r="BP448" s="40"/>
      <c r="BQ448" s="40"/>
      <c r="BR448" s="40"/>
      <c r="BS448" s="40"/>
      <c r="BT448" s="40"/>
      <c r="BU448" s="40"/>
      <c r="BV448" s="40"/>
      <c r="BW448" s="40"/>
      <c r="BX448" s="40"/>
      <c r="BY448" s="40"/>
      <c r="BZ448" s="40"/>
      <c r="CA448" s="40"/>
      <c r="CB448" s="40"/>
      <c r="CC448" s="40"/>
      <c r="CD448" s="40"/>
      <c r="CE448" s="40"/>
      <c r="CF448" s="40"/>
      <c r="CG448" s="40"/>
      <c r="CH448" s="40"/>
      <c r="CI448" s="40"/>
      <c r="CJ448" s="40"/>
      <c r="CK448" s="40"/>
      <c r="CL448" s="40"/>
    </row>
    <row r="449" spans="1:90" x14ac:dyDescent="0.25">
      <c r="A449" s="40"/>
      <c r="B449" s="40"/>
      <c r="C449" s="40"/>
      <c r="D449" s="40"/>
      <c r="E449" s="40"/>
      <c r="F449" s="40"/>
      <c r="G449" s="40"/>
      <c r="H449" s="40"/>
      <c r="I449" s="40"/>
      <c r="J449" s="40"/>
      <c r="K449" s="40"/>
      <c r="L449" s="40"/>
      <c r="M449" s="40"/>
      <c r="N449" s="40"/>
      <c r="O449" s="40"/>
      <c r="P449" s="40"/>
      <c r="Q449" s="40"/>
      <c r="R449" s="40"/>
      <c r="S449" s="40"/>
      <c r="T449" s="40"/>
      <c r="U449" s="40"/>
      <c r="V449" s="40"/>
      <c r="W449" s="40"/>
      <c r="X449" s="40"/>
      <c r="Y449" s="40"/>
      <c r="Z449" s="40"/>
      <c r="AA449" s="40"/>
      <c r="AB449" s="40"/>
      <c r="AC449" s="40"/>
      <c r="AD449" s="40"/>
      <c r="AE449" s="40"/>
      <c r="AF449" s="40"/>
      <c r="AG449" s="40"/>
      <c r="AH449" s="40"/>
      <c r="AI449" s="40"/>
      <c r="AJ449" s="40"/>
      <c r="AK449" s="40"/>
      <c r="AL449" s="40"/>
      <c r="AM449" s="40"/>
      <c r="AN449" s="40"/>
      <c r="AO449" s="40"/>
      <c r="AP449" s="40"/>
      <c r="AQ449" s="40"/>
      <c r="AR449" s="40"/>
      <c r="AS449" s="40"/>
      <c r="AT449" s="40"/>
      <c r="AU449" s="40"/>
      <c r="AV449" s="40"/>
      <c r="AW449" s="40"/>
      <c r="AX449" s="40"/>
      <c r="AY449" s="40"/>
      <c r="AZ449" s="40"/>
      <c r="BA449" s="40"/>
      <c r="BB449" s="40"/>
      <c r="BC449" s="40"/>
      <c r="BD449" s="40"/>
      <c r="BE449" s="40"/>
      <c r="BF449" s="40"/>
      <c r="BG449" s="40"/>
      <c r="BH449" s="40"/>
      <c r="BI449" s="40"/>
      <c r="BJ449" s="40"/>
      <c r="BK449" s="40"/>
      <c r="BL449" s="40"/>
      <c r="BM449" s="40"/>
      <c r="BN449" s="40"/>
      <c r="BO449" s="40"/>
      <c r="BP449" s="40"/>
      <c r="BQ449" s="40"/>
      <c r="BR449" s="40"/>
      <c r="BS449" s="40"/>
      <c r="BT449" s="40"/>
      <c r="BU449" s="40"/>
      <c r="BV449" s="40"/>
      <c r="BW449" s="40"/>
      <c r="BX449" s="40"/>
      <c r="BY449" s="40"/>
      <c r="BZ449" s="40"/>
      <c r="CA449" s="40"/>
      <c r="CB449" s="40"/>
      <c r="CC449" s="40"/>
      <c r="CD449" s="40"/>
      <c r="CE449" s="40"/>
      <c r="CF449" s="40"/>
      <c r="CG449" s="40"/>
      <c r="CH449" s="40"/>
      <c r="CI449" s="40"/>
      <c r="CJ449" s="40"/>
      <c r="CK449" s="40"/>
      <c r="CL449" s="40"/>
    </row>
    <row r="450" spans="1:90" x14ac:dyDescent="0.25">
      <c r="A450" s="40"/>
      <c r="B450" s="40"/>
      <c r="C450" s="40"/>
      <c r="D450" s="40"/>
      <c r="E450" s="40"/>
      <c r="F450" s="40"/>
      <c r="G450" s="40"/>
      <c r="H450" s="40"/>
      <c r="I450" s="40"/>
      <c r="J450" s="40"/>
      <c r="K450" s="40"/>
      <c r="L450" s="40"/>
      <c r="M450" s="40"/>
      <c r="N450" s="40"/>
      <c r="O450" s="40"/>
      <c r="P450" s="40"/>
      <c r="Q450" s="40"/>
      <c r="R450" s="40"/>
      <c r="S450" s="40"/>
      <c r="T450" s="40"/>
      <c r="U450" s="40"/>
      <c r="V450" s="40"/>
      <c r="W450" s="40"/>
      <c r="X450" s="40"/>
      <c r="Y450" s="40"/>
      <c r="Z450" s="40"/>
      <c r="AA450" s="40"/>
      <c r="AB450" s="40"/>
      <c r="AC450" s="40"/>
      <c r="AD450" s="40"/>
      <c r="AE450" s="40"/>
      <c r="AF450" s="40"/>
      <c r="AG450" s="40"/>
      <c r="AH450" s="40"/>
      <c r="AI450" s="40"/>
      <c r="AJ450" s="40"/>
      <c r="AK450" s="40"/>
      <c r="AL450" s="40"/>
      <c r="AM450" s="40"/>
      <c r="AN450" s="40"/>
      <c r="AO450" s="40"/>
      <c r="AP450" s="40"/>
      <c r="AQ450" s="40"/>
      <c r="AR450" s="40"/>
      <c r="AS450" s="40"/>
      <c r="AT450" s="40"/>
      <c r="AU450" s="40"/>
      <c r="AV450" s="40"/>
      <c r="AW450" s="40"/>
      <c r="AX450" s="40"/>
      <c r="AY450" s="40"/>
      <c r="AZ450" s="40"/>
      <c r="BA450" s="40"/>
      <c r="BB450" s="40"/>
      <c r="BC450" s="40"/>
      <c r="BD450" s="40"/>
      <c r="BE450" s="40"/>
      <c r="BF450" s="40"/>
      <c r="BG450" s="40"/>
      <c r="BH450" s="40"/>
      <c r="BI450" s="40"/>
      <c r="BJ450" s="40"/>
      <c r="BK450" s="40"/>
      <c r="BL450" s="40"/>
      <c r="BM450" s="40"/>
      <c r="BN450" s="40"/>
      <c r="BO450" s="40"/>
      <c r="BP450" s="40"/>
      <c r="BQ450" s="40"/>
      <c r="BR450" s="40"/>
      <c r="BS450" s="40"/>
      <c r="BT450" s="40"/>
      <c r="BU450" s="40"/>
      <c r="BV450" s="40"/>
      <c r="BW450" s="40"/>
      <c r="BX450" s="40"/>
      <c r="BY450" s="40"/>
      <c r="BZ450" s="40"/>
      <c r="CA450" s="40"/>
      <c r="CB450" s="40"/>
      <c r="CC450" s="40"/>
      <c r="CD450" s="40"/>
      <c r="CE450" s="40"/>
      <c r="CF450" s="40"/>
      <c r="CG450" s="40"/>
      <c r="CH450" s="40"/>
      <c r="CI450" s="40"/>
      <c r="CJ450" s="40"/>
      <c r="CK450" s="40"/>
      <c r="CL450" s="40"/>
    </row>
    <row r="451" spans="1:90" x14ac:dyDescent="0.25">
      <c r="A451" s="40"/>
      <c r="B451" s="40"/>
      <c r="C451" s="40"/>
      <c r="D451" s="40"/>
      <c r="E451" s="40"/>
      <c r="F451" s="40"/>
      <c r="G451" s="40"/>
      <c r="H451" s="40"/>
      <c r="I451" s="40"/>
      <c r="J451" s="40"/>
      <c r="K451" s="40"/>
      <c r="L451" s="40"/>
      <c r="M451" s="40"/>
      <c r="N451" s="40"/>
      <c r="O451" s="40"/>
      <c r="P451" s="40"/>
      <c r="Q451" s="40"/>
      <c r="R451" s="40"/>
      <c r="S451" s="40"/>
      <c r="T451" s="40"/>
      <c r="U451" s="40"/>
      <c r="V451" s="40"/>
      <c r="W451" s="40"/>
      <c r="X451" s="40"/>
      <c r="Y451" s="40"/>
      <c r="Z451" s="40"/>
      <c r="AA451" s="40"/>
      <c r="AB451" s="40"/>
      <c r="AC451" s="40"/>
      <c r="AD451" s="40"/>
      <c r="AE451" s="40"/>
      <c r="AF451" s="40"/>
      <c r="AG451" s="40"/>
      <c r="AH451" s="40"/>
      <c r="AI451" s="40"/>
      <c r="AJ451" s="40"/>
      <c r="AK451" s="40"/>
      <c r="AL451" s="40"/>
      <c r="AM451" s="40"/>
      <c r="AN451" s="40"/>
      <c r="AO451" s="40"/>
      <c r="AP451" s="40"/>
      <c r="AQ451" s="40"/>
      <c r="AR451" s="40"/>
      <c r="AS451" s="40"/>
      <c r="AT451" s="40"/>
      <c r="AU451" s="40"/>
      <c r="AV451" s="40"/>
      <c r="AW451" s="40"/>
      <c r="AX451" s="40"/>
      <c r="AY451" s="40"/>
      <c r="AZ451" s="40"/>
      <c r="BA451" s="40"/>
      <c r="BB451" s="40"/>
      <c r="BC451" s="40"/>
      <c r="BD451" s="40"/>
      <c r="BE451" s="40"/>
      <c r="BF451" s="40"/>
      <c r="BG451" s="40"/>
      <c r="BH451" s="40"/>
      <c r="BI451" s="40"/>
      <c r="BJ451" s="40"/>
      <c r="BK451" s="40"/>
      <c r="BL451" s="40"/>
      <c r="BM451" s="40"/>
      <c r="BN451" s="40"/>
      <c r="BO451" s="40"/>
      <c r="BP451" s="40"/>
      <c r="BQ451" s="40"/>
      <c r="BR451" s="40"/>
      <c r="BS451" s="40"/>
      <c r="BT451" s="40"/>
      <c r="BU451" s="40"/>
      <c r="BV451" s="40"/>
      <c r="BW451" s="40"/>
      <c r="BX451" s="40"/>
      <c r="BY451" s="40"/>
      <c r="BZ451" s="40"/>
      <c r="CA451" s="40"/>
      <c r="CB451" s="40"/>
      <c r="CC451" s="40"/>
      <c r="CD451" s="40"/>
      <c r="CE451" s="40"/>
      <c r="CF451" s="40"/>
      <c r="CG451" s="40"/>
      <c r="CH451" s="40"/>
      <c r="CI451" s="40"/>
      <c r="CJ451" s="40"/>
      <c r="CK451" s="40"/>
      <c r="CL451" s="40"/>
    </row>
    <row r="452" spans="1:90" x14ac:dyDescent="0.25">
      <c r="A452" s="40"/>
      <c r="B452" s="40"/>
      <c r="C452" s="40"/>
      <c r="D452" s="40"/>
      <c r="E452" s="40"/>
      <c r="F452" s="40"/>
      <c r="G452" s="40"/>
      <c r="H452" s="40"/>
      <c r="I452" s="40"/>
      <c r="J452" s="40"/>
      <c r="K452" s="40"/>
      <c r="L452" s="40"/>
      <c r="M452" s="40"/>
      <c r="N452" s="40"/>
      <c r="O452" s="40"/>
      <c r="P452" s="40"/>
      <c r="Q452" s="40"/>
      <c r="R452" s="40"/>
      <c r="S452" s="40"/>
      <c r="T452" s="40"/>
      <c r="U452" s="40"/>
      <c r="V452" s="40"/>
      <c r="W452" s="40"/>
      <c r="X452" s="40"/>
      <c r="Y452" s="40"/>
      <c r="Z452" s="40"/>
      <c r="AA452" s="40"/>
      <c r="AB452" s="40"/>
      <c r="AC452" s="40"/>
      <c r="AD452" s="40"/>
      <c r="AE452" s="40"/>
      <c r="AF452" s="40"/>
      <c r="AG452" s="40"/>
      <c r="AH452" s="40"/>
      <c r="AI452" s="40"/>
      <c r="AJ452" s="40"/>
      <c r="AK452" s="40"/>
      <c r="AL452" s="40"/>
      <c r="AM452" s="40"/>
      <c r="AN452" s="40"/>
      <c r="AO452" s="40"/>
      <c r="AP452" s="40"/>
      <c r="AQ452" s="40"/>
      <c r="AR452" s="40"/>
      <c r="AS452" s="40"/>
      <c r="AT452" s="40"/>
      <c r="AU452" s="40"/>
      <c r="AV452" s="40"/>
      <c r="AW452" s="40"/>
      <c r="AX452" s="40"/>
      <c r="AY452" s="40"/>
      <c r="AZ452" s="40"/>
      <c r="BA452" s="40"/>
      <c r="BB452" s="40"/>
      <c r="BC452" s="40"/>
      <c r="BD452" s="40"/>
      <c r="BE452" s="40"/>
      <c r="BF452" s="40"/>
      <c r="BG452" s="40"/>
      <c r="BH452" s="40"/>
      <c r="BI452" s="40"/>
      <c r="BJ452" s="40"/>
      <c r="BK452" s="40"/>
      <c r="BL452" s="40"/>
      <c r="BM452" s="40"/>
      <c r="BN452" s="40"/>
      <c r="BO452" s="40"/>
      <c r="BP452" s="40"/>
      <c r="BQ452" s="40"/>
      <c r="BR452" s="40"/>
      <c r="BS452" s="40"/>
      <c r="BT452" s="40"/>
      <c r="BU452" s="40"/>
      <c r="BV452" s="40"/>
      <c r="BW452" s="40"/>
      <c r="BX452" s="40"/>
      <c r="BY452" s="40"/>
      <c r="BZ452" s="40"/>
      <c r="CA452" s="40"/>
      <c r="CB452" s="40"/>
      <c r="CC452" s="40"/>
      <c r="CD452" s="40"/>
      <c r="CE452" s="40"/>
      <c r="CF452" s="40"/>
      <c r="CG452" s="40"/>
      <c r="CH452" s="40"/>
      <c r="CI452" s="40"/>
      <c r="CJ452" s="40"/>
      <c r="CK452" s="40"/>
      <c r="CL452" s="40"/>
    </row>
    <row r="453" spans="1:90" x14ac:dyDescent="0.25">
      <c r="A453" s="40"/>
      <c r="B453" s="40"/>
      <c r="C453" s="40"/>
      <c r="D453" s="40"/>
      <c r="E453" s="40"/>
      <c r="F453" s="40"/>
      <c r="G453" s="40"/>
      <c r="H453" s="40"/>
      <c r="I453" s="40"/>
      <c r="J453" s="40"/>
      <c r="K453" s="40"/>
      <c r="L453" s="40"/>
      <c r="M453" s="40"/>
      <c r="N453" s="40"/>
      <c r="O453" s="40"/>
      <c r="P453" s="40"/>
      <c r="Q453" s="40"/>
      <c r="R453" s="40"/>
      <c r="S453" s="40"/>
      <c r="T453" s="40"/>
      <c r="U453" s="40"/>
      <c r="V453" s="40"/>
      <c r="W453" s="40"/>
      <c r="X453" s="40"/>
      <c r="Y453" s="40"/>
      <c r="Z453" s="40"/>
      <c r="AA453" s="40"/>
      <c r="AB453" s="40"/>
      <c r="AC453" s="40"/>
      <c r="AD453" s="40"/>
      <c r="AE453" s="40"/>
      <c r="AF453" s="40"/>
      <c r="AG453" s="40"/>
      <c r="AH453" s="40"/>
      <c r="AI453" s="40"/>
      <c r="AJ453" s="40"/>
      <c r="AK453" s="40"/>
      <c r="AL453" s="40"/>
      <c r="AM453" s="40"/>
      <c r="AN453" s="40"/>
      <c r="AO453" s="40"/>
      <c r="AP453" s="40"/>
      <c r="AQ453" s="40"/>
      <c r="AR453" s="40"/>
      <c r="AS453" s="40"/>
      <c r="AT453" s="40"/>
      <c r="AU453" s="40"/>
      <c r="AV453" s="40"/>
      <c r="AW453" s="40"/>
      <c r="AX453" s="40"/>
      <c r="AY453" s="40"/>
      <c r="AZ453" s="40"/>
      <c r="BA453" s="40"/>
      <c r="BB453" s="40"/>
      <c r="BC453" s="40"/>
      <c r="BD453" s="40"/>
      <c r="BE453" s="40"/>
      <c r="BF453" s="40"/>
      <c r="BG453" s="40"/>
      <c r="BH453" s="40"/>
      <c r="BI453" s="40"/>
      <c r="BJ453" s="40"/>
      <c r="BK453" s="40"/>
      <c r="BL453" s="40"/>
      <c r="BM453" s="40"/>
      <c r="BN453" s="40"/>
      <c r="BO453" s="40"/>
      <c r="BP453" s="40"/>
      <c r="BQ453" s="40"/>
      <c r="BR453" s="40"/>
      <c r="BS453" s="40"/>
      <c r="BT453" s="40"/>
      <c r="BU453" s="40"/>
      <c r="BV453" s="40"/>
      <c r="BW453" s="40"/>
      <c r="BX453" s="40"/>
      <c r="BY453" s="40"/>
      <c r="BZ453" s="40"/>
      <c r="CA453" s="40"/>
      <c r="CB453" s="40"/>
      <c r="CC453" s="40"/>
      <c r="CD453" s="40"/>
      <c r="CE453" s="40"/>
      <c r="CF453" s="40"/>
      <c r="CG453" s="40"/>
      <c r="CH453" s="40"/>
      <c r="CI453" s="40"/>
      <c r="CJ453" s="40"/>
      <c r="CK453" s="40"/>
      <c r="CL453" s="40"/>
    </row>
    <row r="454" spans="1:90" x14ac:dyDescent="0.25">
      <c r="A454" s="40"/>
      <c r="B454" s="40"/>
      <c r="C454" s="40"/>
      <c r="D454" s="40"/>
      <c r="E454" s="40"/>
      <c r="F454" s="40"/>
      <c r="G454" s="40"/>
      <c r="H454" s="40"/>
      <c r="I454" s="40"/>
      <c r="J454" s="40"/>
      <c r="K454" s="40"/>
      <c r="L454" s="40"/>
      <c r="M454" s="40"/>
      <c r="N454" s="40"/>
      <c r="O454" s="40"/>
      <c r="P454" s="40"/>
      <c r="Q454" s="40"/>
      <c r="R454" s="40"/>
      <c r="S454" s="40"/>
      <c r="T454" s="40"/>
      <c r="U454" s="40"/>
      <c r="V454" s="40"/>
      <c r="W454" s="40"/>
      <c r="X454" s="40"/>
      <c r="Y454" s="40"/>
      <c r="Z454" s="40"/>
      <c r="AA454" s="40"/>
      <c r="AB454" s="40"/>
      <c r="AC454" s="40"/>
      <c r="AD454" s="40"/>
      <c r="AE454" s="40"/>
      <c r="AF454" s="40"/>
      <c r="AG454" s="40"/>
      <c r="AH454" s="40"/>
      <c r="AI454" s="40"/>
      <c r="AJ454" s="40"/>
      <c r="AK454" s="40"/>
      <c r="AL454" s="40"/>
      <c r="AM454" s="40"/>
      <c r="AN454" s="40"/>
      <c r="AO454" s="40"/>
      <c r="AP454" s="40"/>
      <c r="AQ454" s="40"/>
      <c r="AR454" s="40"/>
      <c r="AS454" s="40"/>
      <c r="AT454" s="40"/>
      <c r="AU454" s="40"/>
      <c r="AV454" s="40"/>
      <c r="AW454" s="40"/>
      <c r="AX454" s="40"/>
      <c r="AY454" s="40"/>
      <c r="AZ454" s="40"/>
      <c r="BA454" s="40"/>
      <c r="BB454" s="40"/>
      <c r="BC454" s="40"/>
      <c r="BD454" s="40"/>
      <c r="BE454" s="40"/>
      <c r="BF454" s="40"/>
      <c r="BG454" s="40"/>
      <c r="BH454" s="40"/>
      <c r="BI454" s="40"/>
      <c r="BJ454" s="40"/>
      <c r="BK454" s="40"/>
      <c r="BL454" s="40"/>
      <c r="BM454" s="40"/>
      <c r="BN454" s="40"/>
      <c r="BO454" s="40"/>
      <c r="BP454" s="40"/>
      <c r="BQ454" s="40"/>
      <c r="BR454" s="40"/>
      <c r="BS454" s="40"/>
      <c r="BT454" s="40"/>
      <c r="BU454" s="40"/>
      <c r="BV454" s="40"/>
      <c r="BW454" s="40"/>
      <c r="BX454" s="40"/>
      <c r="BY454" s="40"/>
      <c r="BZ454" s="40"/>
      <c r="CA454" s="40"/>
      <c r="CB454" s="40"/>
      <c r="CC454" s="40"/>
      <c r="CD454" s="40"/>
      <c r="CE454" s="40"/>
      <c r="CF454" s="40"/>
      <c r="CG454" s="40"/>
      <c r="CH454" s="40"/>
      <c r="CI454" s="40"/>
      <c r="CJ454" s="40"/>
      <c r="CK454" s="40"/>
      <c r="CL454" s="40"/>
    </row>
    <row r="455" spans="1:90" x14ac:dyDescent="0.25">
      <c r="A455" s="40"/>
      <c r="B455" s="40"/>
      <c r="C455" s="40"/>
      <c r="D455" s="40"/>
      <c r="E455" s="40"/>
      <c r="F455" s="40"/>
      <c r="G455" s="40"/>
      <c r="H455" s="40"/>
      <c r="I455" s="40"/>
      <c r="J455" s="40"/>
      <c r="K455" s="40"/>
      <c r="L455" s="40"/>
      <c r="M455" s="40"/>
      <c r="N455" s="40"/>
      <c r="O455" s="40"/>
      <c r="P455" s="40"/>
      <c r="Q455" s="40"/>
      <c r="R455" s="40"/>
      <c r="S455" s="40"/>
      <c r="T455" s="40"/>
      <c r="U455" s="40"/>
      <c r="V455" s="40"/>
      <c r="W455" s="40"/>
      <c r="X455" s="40"/>
      <c r="Y455" s="40"/>
      <c r="Z455" s="40"/>
      <c r="AA455" s="40"/>
      <c r="AB455" s="40"/>
      <c r="AC455" s="40"/>
      <c r="AD455" s="40"/>
      <c r="AE455" s="40"/>
      <c r="AF455" s="40"/>
      <c r="AG455" s="40"/>
      <c r="AH455" s="40"/>
      <c r="AI455" s="40"/>
      <c r="AJ455" s="40"/>
      <c r="AK455" s="40"/>
      <c r="AL455" s="40"/>
      <c r="AM455" s="40"/>
      <c r="AN455" s="40"/>
      <c r="AO455" s="40"/>
      <c r="AP455" s="40"/>
      <c r="AQ455" s="40"/>
      <c r="AR455" s="40"/>
      <c r="AS455" s="40"/>
      <c r="AT455" s="40"/>
      <c r="AU455" s="40"/>
      <c r="AV455" s="40"/>
      <c r="AW455" s="40"/>
      <c r="AX455" s="40"/>
      <c r="AY455" s="40"/>
      <c r="AZ455" s="40"/>
      <c r="BA455" s="40"/>
      <c r="BB455" s="40"/>
      <c r="BC455" s="40"/>
      <c r="BD455" s="40"/>
      <c r="BE455" s="40"/>
      <c r="BF455" s="40"/>
      <c r="BG455" s="40"/>
      <c r="BH455" s="40"/>
      <c r="BI455" s="40"/>
      <c r="BJ455" s="40"/>
      <c r="BK455" s="40"/>
      <c r="BL455" s="40"/>
      <c r="BM455" s="40"/>
      <c r="BN455" s="40"/>
      <c r="BO455" s="40"/>
      <c r="BP455" s="40"/>
      <c r="BQ455" s="40"/>
      <c r="BR455" s="40"/>
      <c r="BS455" s="40"/>
      <c r="BT455" s="40"/>
      <c r="BU455" s="40"/>
      <c r="BV455" s="40"/>
      <c r="BW455" s="40"/>
      <c r="BX455" s="40"/>
      <c r="BY455" s="40"/>
      <c r="BZ455" s="40"/>
      <c r="CA455" s="40"/>
      <c r="CB455" s="40"/>
      <c r="CC455" s="40"/>
      <c r="CD455" s="40"/>
      <c r="CE455" s="40"/>
      <c r="CF455" s="40"/>
      <c r="CG455" s="40"/>
      <c r="CH455" s="40"/>
      <c r="CI455" s="40"/>
      <c r="CJ455" s="40"/>
      <c r="CK455" s="40"/>
      <c r="CL455" s="40"/>
    </row>
    <row r="456" spans="1:90" x14ac:dyDescent="0.25">
      <c r="A456" s="40"/>
      <c r="B456" s="40"/>
      <c r="C456" s="40"/>
      <c r="D456" s="40"/>
      <c r="E456" s="40"/>
      <c r="F456" s="40"/>
      <c r="G456" s="40"/>
      <c r="H456" s="40"/>
      <c r="I456" s="40"/>
      <c r="J456" s="40"/>
      <c r="K456" s="40"/>
      <c r="L456" s="40"/>
      <c r="M456" s="40"/>
      <c r="N456" s="40"/>
      <c r="O456" s="40"/>
      <c r="P456" s="40"/>
      <c r="Q456" s="40"/>
      <c r="R456" s="40"/>
      <c r="S456" s="40"/>
      <c r="T456" s="40"/>
      <c r="U456" s="40"/>
      <c r="V456" s="40"/>
      <c r="W456" s="40"/>
      <c r="X456" s="40"/>
      <c r="Y456" s="40"/>
      <c r="Z456" s="40"/>
      <c r="AA456" s="40"/>
      <c r="AB456" s="40"/>
      <c r="AC456" s="40"/>
      <c r="AD456" s="40"/>
      <c r="AE456" s="40"/>
      <c r="AF456" s="40"/>
      <c r="AG456" s="40"/>
      <c r="AH456" s="40"/>
      <c r="AI456" s="40"/>
      <c r="AJ456" s="40"/>
      <c r="AK456" s="40"/>
      <c r="AL456" s="40"/>
      <c r="AM456" s="40"/>
      <c r="AN456" s="40"/>
      <c r="AO456" s="40"/>
      <c r="AP456" s="40"/>
      <c r="AQ456" s="40"/>
      <c r="AR456" s="40"/>
      <c r="AS456" s="40"/>
      <c r="AT456" s="40"/>
      <c r="AU456" s="40"/>
      <c r="AV456" s="40"/>
      <c r="AW456" s="40"/>
      <c r="AX456" s="40"/>
      <c r="AY456" s="40"/>
      <c r="AZ456" s="40"/>
      <c r="BA456" s="40"/>
      <c r="BB456" s="40"/>
      <c r="BC456" s="40"/>
      <c r="BD456" s="40"/>
      <c r="BE456" s="40"/>
      <c r="BF456" s="40"/>
      <c r="BG456" s="40"/>
      <c r="BH456" s="40"/>
      <c r="BI456" s="40"/>
      <c r="BJ456" s="40"/>
      <c r="BK456" s="40"/>
      <c r="BL456" s="40"/>
      <c r="BM456" s="40"/>
      <c r="BN456" s="40"/>
      <c r="BO456" s="40"/>
      <c r="BP456" s="40"/>
      <c r="BQ456" s="40"/>
      <c r="BR456" s="40"/>
      <c r="BS456" s="40"/>
      <c r="BT456" s="40"/>
      <c r="BU456" s="40"/>
      <c r="BV456" s="40"/>
      <c r="BW456" s="40"/>
      <c r="BX456" s="40"/>
      <c r="BY456" s="40"/>
      <c r="BZ456" s="40"/>
      <c r="CA456" s="40"/>
      <c r="CB456" s="40"/>
      <c r="CC456" s="40"/>
      <c r="CD456" s="40"/>
      <c r="CE456" s="40"/>
      <c r="CF456" s="40"/>
      <c r="CG456" s="40"/>
      <c r="CH456" s="40"/>
      <c r="CI456" s="40"/>
      <c r="CJ456" s="40"/>
      <c r="CK456" s="40"/>
      <c r="CL456" s="40"/>
    </row>
    <row r="457" spans="1:90" x14ac:dyDescent="0.25">
      <c r="A457" s="40"/>
      <c r="B457" s="40"/>
      <c r="C457" s="40"/>
      <c r="D457" s="40"/>
      <c r="E457" s="40"/>
      <c r="F457" s="40"/>
      <c r="G457" s="40"/>
      <c r="H457" s="40"/>
      <c r="I457" s="40"/>
      <c r="J457" s="40"/>
      <c r="K457" s="40"/>
      <c r="L457" s="40"/>
      <c r="M457" s="40"/>
      <c r="N457" s="40"/>
      <c r="O457" s="40"/>
      <c r="P457" s="40"/>
      <c r="Q457" s="40"/>
      <c r="R457" s="40"/>
      <c r="S457" s="40"/>
      <c r="T457" s="40"/>
      <c r="U457" s="40"/>
      <c r="V457" s="40"/>
      <c r="W457" s="40"/>
      <c r="X457" s="40"/>
      <c r="Y457" s="40"/>
      <c r="Z457" s="40"/>
      <c r="AA457" s="40"/>
      <c r="AB457" s="40"/>
      <c r="AC457" s="40"/>
      <c r="AD457" s="40"/>
      <c r="AE457" s="40"/>
      <c r="AF457" s="40"/>
      <c r="AG457" s="40"/>
      <c r="AH457" s="40"/>
      <c r="AI457" s="40"/>
      <c r="AJ457" s="40"/>
      <c r="AK457" s="40"/>
      <c r="AL457" s="40"/>
      <c r="AM457" s="40"/>
      <c r="AN457" s="40"/>
      <c r="AO457" s="40"/>
      <c r="AP457" s="40"/>
      <c r="AQ457" s="40"/>
      <c r="AR457" s="40"/>
      <c r="AS457" s="40"/>
      <c r="AT457" s="40"/>
      <c r="AU457" s="40"/>
      <c r="AV457" s="40"/>
      <c r="AW457" s="40"/>
      <c r="AX457" s="40"/>
      <c r="AY457" s="40"/>
      <c r="AZ457" s="40"/>
      <c r="BA457" s="40"/>
      <c r="BB457" s="40"/>
      <c r="BC457" s="40"/>
      <c r="BD457" s="40"/>
      <c r="BE457" s="40"/>
      <c r="BF457" s="40"/>
      <c r="BG457" s="40"/>
      <c r="BH457" s="40"/>
      <c r="BI457" s="40"/>
      <c r="BJ457" s="40"/>
      <c r="BK457" s="40"/>
      <c r="BL457" s="40"/>
      <c r="BM457" s="40"/>
      <c r="BN457" s="40"/>
      <c r="BO457" s="40"/>
      <c r="BP457" s="40"/>
      <c r="BQ457" s="40"/>
      <c r="BR457" s="40"/>
      <c r="BS457" s="40"/>
      <c r="BT457" s="40"/>
      <c r="BU457" s="40"/>
      <c r="BV457" s="40"/>
      <c r="BW457" s="40"/>
      <c r="BX457" s="40"/>
      <c r="BY457" s="40"/>
      <c r="BZ457" s="40"/>
      <c r="CA457" s="40"/>
      <c r="CB457" s="40"/>
      <c r="CC457" s="40"/>
      <c r="CD457" s="40"/>
      <c r="CE457" s="40"/>
      <c r="CF457" s="40"/>
      <c r="CG457" s="40"/>
      <c r="CH457" s="40"/>
      <c r="CI457" s="40"/>
      <c r="CJ457" s="40"/>
      <c r="CK457" s="40"/>
      <c r="CL457" s="40"/>
    </row>
    <row r="458" spans="1:90" x14ac:dyDescent="0.25">
      <c r="A458" s="40"/>
      <c r="B458" s="40"/>
      <c r="C458" s="40"/>
      <c r="D458" s="40"/>
      <c r="E458" s="40"/>
      <c r="F458" s="40"/>
      <c r="G458" s="40"/>
      <c r="H458" s="40"/>
      <c r="I458" s="40"/>
      <c r="J458" s="40"/>
      <c r="K458" s="40"/>
      <c r="L458" s="40"/>
      <c r="M458" s="40"/>
      <c r="N458" s="40"/>
      <c r="O458" s="40"/>
      <c r="P458" s="40"/>
      <c r="Q458" s="40"/>
      <c r="R458" s="40"/>
      <c r="S458" s="40"/>
      <c r="T458" s="40"/>
      <c r="U458" s="40"/>
      <c r="V458" s="40"/>
      <c r="W458" s="40"/>
      <c r="X458" s="40"/>
      <c r="Y458" s="40"/>
      <c r="Z458" s="40"/>
      <c r="AA458" s="40"/>
      <c r="AB458" s="40"/>
      <c r="AC458" s="40"/>
      <c r="AD458" s="40"/>
      <c r="AE458" s="40"/>
      <c r="AF458" s="40"/>
      <c r="AG458" s="40"/>
      <c r="AH458" s="40"/>
      <c r="AI458" s="40"/>
      <c r="AJ458" s="40"/>
      <c r="AK458" s="40"/>
      <c r="AL458" s="40"/>
      <c r="AM458" s="40"/>
      <c r="AN458" s="40"/>
      <c r="AO458" s="40"/>
      <c r="AP458" s="40"/>
      <c r="AQ458" s="40"/>
      <c r="AR458" s="40"/>
      <c r="AS458" s="40"/>
      <c r="AT458" s="40"/>
      <c r="AU458" s="40"/>
      <c r="AV458" s="40"/>
      <c r="AW458" s="40"/>
      <c r="AX458" s="40"/>
      <c r="AY458" s="40"/>
      <c r="AZ458" s="40"/>
      <c r="BA458" s="40"/>
      <c r="BB458" s="40"/>
      <c r="BC458" s="40"/>
      <c r="BD458" s="40"/>
      <c r="BE458" s="40"/>
      <c r="BF458" s="40"/>
      <c r="BG458" s="40"/>
      <c r="BH458" s="40"/>
      <c r="BI458" s="40"/>
      <c r="BJ458" s="40"/>
      <c r="BK458" s="40"/>
      <c r="BL458" s="40"/>
      <c r="BM458" s="40"/>
      <c r="BN458" s="40"/>
      <c r="BO458" s="40"/>
      <c r="BP458" s="40"/>
      <c r="BQ458" s="40"/>
      <c r="BR458" s="40"/>
      <c r="BS458" s="40"/>
      <c r="BT458" s="40"/>
      <c r="BU458" s="40"/>
      <c r="BV458" s="40"/>
      <c r="BW458" s="40"/>
      <c r="BX458" s="40"/>
      <c r="BY458" s="40"/>
      <c r="BZ458" s="40"/>
      <c r="CA458" s="40"/>
      <c r="CB458" s="40"/>
      <c r="CC458" s="40"/>
      <c r="CD458" s="40"/>
      <c r="CE458" s="40"/>
      <c r="CF458" s="40"/>
      <c r="CG458" s="40"/>
      <c r="CH458" s="40"/>
      <c r="CI458" s="40"/>
      <c r="CJ458" s="40"/>
      <c r="CK458" s="40"/>
      <c r="CL458" s="40"/>
    </row>
    <row r="459" spans="1:90" x14ac:dyDescent="0.25">
      <c r="A459" s="40"/>
      <c r="B459" s="40"/>
      <c r="C459" s="40"/>
      <c r="D459" s="40"/>
      <c r="E459" s="40"/>
      <c r="F459" s="40"/>
      <c r="G459" s="40"/>
      <c r="H459" s="40"/>
      <c r="I459" s="40"/>
      <c r="J459" s="40"/>
      <c r="K459" s="40"/>
      <c r="L459" s="40"/>
      <c r="M459" s="40"/>
      <c r="N459" s="40"/>
      <c r="O459" s="40"/>
      <c r="P459" s="40"/>
      <c r="Q459" s="40"/>
      <c r="R459" s="40"/>
      <c r="S459" s="40"/>
      <c r="T459" s="40"/>
      <c r="U459" s="40"/>
      <c r="V459" s="40"/>
      <c r="W459" s="40"/>
      <c r="X459" s="40"/>
      <c r="Y459" s="40"/>
      <c r="Z459" s="40"/>
      <c r="AA459" s="40"/>
      <c r="AB459" s="40"/>
      <c r="AC459" s="40"/>
      <c r="AD459" s="40"/>
      <c r="AE459" s="40"/>
      <c r="AF459" s="40"/>
      <c r="AG459" s="40"/>
      <c r="AH459" s="40"/>
      <c r="AI459" s="40"/>
      <c r="AJ459" s="40"/>
      <c r="AK459" s="40"/>
      <c r="AL459" s="40"/>
      <c r="AM459" s="40"/>
      <c r="AN459" s="40"/>
      <c r="AO459" s="40"/>
      <c r="AP459" s="40"/>
      <c r="AQ459" s="40"/>
      <c r="AR459" s="40"/>
      <c r="AS459" s="40"/>
      <c r="AT459" s="40"/>
      <c r="AU459" s="40"/>
      <c r="AV459" s="40"/>
      <c r="AW459" s="40"/>
      <c r="AX459" s="40"/>
      <c r="AY459" s="40"/>
      <c r="AZ459" s="40"/>
      <c r="BA459" s="40"/>
      <c r="BB459" s="40"/>
      <c r="BC459" s="40"/>
      <c r="BD459" s="40"/>
      <c r="BE459" s="40"/>
      <c r="BF459" s="40"/>
      <c r="BG459" s="40"/>
      <c r="BH459" s="40"/>
      <c r="BI459" s="40"/>
      <c r="BJ459" s="40"/>
      <c r="BK459" s="40"/>
      <c r="BL459" s="40"/>
      <c r="BM459" s="40"/>
      <c r="BN459" s="40"/>
      <c r="BO459" s="40"/>
      <c r="BP459" s="40"/>
      <c r="BQ459" s="40"/>
      <c r="BR459" s="40"/>
      <c r="BS459" s="40"/>
      <c r="BT459" s="40"/>
      <c r="BU459" s="40"/>
      <c r="BV459" s="40"/>
      <c r="BW459" s="40"/>
      <c r="BX459" s="40"/>
      <c r="BY459" s="40"/>
      <c r="BZ459" s="40"/>
      <c r="CA459" s="40"/>
      <c r="CB459" s="40"/>
      <c r="CC459" s="40"/>
      <c r="CD459" s="40"/>
      <c r="CE459" s="40"/>
      <c r="CF459" s="40"/>
      <c r="CG459" s="40"/>
      <c r="CH459" s="40"/>
      <c r="CI459" s="40"/>
      <c r="CJ459" s="40"/>
      <c r="CK459" s="40"/>
      <c r="CL459" s="40"/>
    </row>
    <row r="460" spans="1:90" x14ac:dyDescent="0.25">
      <c r="A460" s="40"/>
      <c r="B460" s="40"/>
      <c r="C460" s="40"/>
      <c r="D460" s="40"/>
      <c r="E460" s="40"/>
      <c r="F460" s="40"/>
      <c r="G460" s="40"/>
      <c r="H460" s="40"/>
      <c r="I460" s="40"/>
      <c r="J460" s="40"/>
      <c r="K460" s="40"/>
      <c r="L460" s="40"/>
      <c r="M460" s="40"/>
      <c r="N460" s="40"/>
      <c r="O460" s="40"/>
      <c r="P460" s="40"/>
      <c r="Q460" s="40"/>
      <c r="R460" s="40"/>
      <c r="S460" s="40"/>
      <c r="T460" s="40"/>
      <c r="U460" s="40"/>
      <c r="V460" s="40"/>
      <c r="W460" s="40"/>
      <c r="X460" s="40"/>
      <c r="Y460" s="40"/>
      <c r="Z460" s="40"/>
      <c r="AA460" s="40"/>
      <c r="AB460" s="40"/>
      <c r="AC460" s="40"/>
      <c r="AD460" s="40"/>
      <c r="AE460" s="40"/>
      <c r="AF460" s="40"/>
      <c r="AG460" s="40"/>
      <c r="AH460" s="40"/>
      <c r="AI460" s="40"/>
      <c r="AJ460" s="40"/>
      <c r="AK460" s="40"/>
      <c r="AL460" s="40"/>
      <c r="AM460" s="40"/>
      <c r="AN460" s="40"/>
      <c r="AO460" s="40"/>
      <c r="AP460" s="40"/>
      <c r="AQ460" s="40"/>
      <c r="AR460" s="40"/>
      <c r="AS460" s="40"/>
      <c r="AT460" s="40"/>
      <c r="AU460" s="40"/>
      <c r="AV460" s="40"/>
      <c r="AW460" s="40"/>
      <c r="AX460" s="40"/>
      <c r="AY460" s="40"/>
      <c r="AZ460" s="40"/>
      <c r="BA460" s="40"/>
      <c r="BB460" s="40"/>
      <c r="BC460" s="40"/>
      <c r="BD460" s="40"/>
      <c r="BE460" s="40"/>
      <c r="BF460" s="40"/>
      <c r="BG460" s="40"/>
      <c r="BH460" s="40"/>
      <c r="BI460" s="40"/>
      <c r="BJ460" s="40"/>
      <c r="BK460" s="40"/>
      <c r="BL460" s="40"/>
      <c r="BM460" s="40"/>
      <c r="BN460" s="40"/>
      <c r="BO460" s="40"/>
      <c r="BP460" s="40"/>
      <c r="BQ460" s="40"/>
      <c r="BR460" s="40"/>
      <c r="BS460" s="40"/>
      <c r="BT460" s="40"/>
      <c r="BU460" s="40"/>
      <c r="BV460" s="40"/>
      <c r="BW460" s="40"/>
      <c r="BX460" s="40"/>
      <c r="BY460" s="40"/>
      <c r="BZ460" s="40"/>
      <c r="CA460" s="40"/>
      <c r="CB460" s="40"/>
      <c r="CC460" s="40"/>
      <c r="CD460" s="40"/>
      <c r="CE460" s="40"/>
      <c r="CF460" s="40"/>
      <c r="CG460" s="40"/>
      <c r="CH460" s="40"/>
      <c r="CI460" s="40"/>
      <c r="CJ460" s="40"/>
      <c r="CK460" s="40"/>
      <c r="CL460" s="40"/>
    </row>
    <row r="461" spans="1:90" x14ac:dyDescent="0.25">
      <c r="A461" s="40"/>
      <c r="B461" s="40"/>
      <c r="C461" s="40"/>
      <c r="D461" s="40"/>
      <c r="E461" s="40"/>
      <c r="F461" s="40"/>
      <c r="G461" s="40"/>
      <c r="H461" s="40"/>
      <c r="I461" s="40"/>
      <c r="J461" s="40"/>
      <c r="K461" s="40"/>
      <c r="L461" s="40"/>
      <c r="M461" s="40"/>
      <c r="N461" s="40"/>
      <c r="O461" s="40"/>
      <c r="P461" s="40"/>
      <c r="Q461" s="40"/>
      <c r="R461" s="40"/>
      <c r="S461" s="40"/>
      <c r="T461" s="40"/>
      <c r="U461" s="40"/>
      <c r="V461" s="40"/>
      <c r="W461" s="40"/>
      <c r="X461" s="40"/>
      <c r="Y461" s="40"/>
      <c r="Z461" s="40"/>
      <c r="AA461" s="40"/>
      <c r="AB461" s="40"/>
      <c r="AC461" s="40"/>
      <c r="AD461" s="40"/>
      <c r="AE461" s="40"/>
      <c r="AF461" s="40"/>
      <c r="AG461" s="40"/>
      <c r="AH461" s="40"/>
      <c r="AI461" s="40"/>
      <c r="AJ461" s="40"/>
      <c r="AK461" s="40"/>
      <c r="AL461" s="40"/>
      <c r="AM461" s="40"/>
      <c r="AN461" s="40"/>
      <c r="AO461" s="40"/>
      <c r="AP461" s="40"/>
      <c r="AQ461" s="40"/>
      <c r="AR461" s="40"/>
      <c r="AS461" s="40"/>
      <c r="AT461" s="40"/>
      <c r="AU461" s="40"/>
      <c r="AV461" s="40"/>
      <c r="AW461" s="40"/>
      <c r="AX461" s="40"/>
      <c r="AY461" s="40"/>
      <c r="AZ461" s="40"/>
      <c r="BA461" s="40"/>
      <c r="BB461" s="40"/>
      <c r="BC461" s="40"/>
      <c r="BD461" s="40"/>
      <c r="BE461" s="40"/>
      <c r="BF461" s="40"/>
      <c r="BG461" s="40"/>
      <c r="BH461" s="40"/>
      <c r="BI461" s="40"/>
      <c r="BJ461" s="40"/>
      <c r="BK461" s="40"/>
      <c r="BL461" s="40"/>
      <c r="BM461" s="40"/>
      <c r="BN461" s="40"/>
      <c r="BO461" s="40"/>
      <c r="BP461" s="40"/>
      <c r="BQ461" s="40"/>
      <c r="BR461" s="40"/>
      <c r="BS461" s="40"/>
      <c r="BT461" s="40"/>
      <c r="BU461" s="40"/>
      <c r="BV461" s="40"/>
      <c r="BW461" s="40"/>
      <c r="BX461" s="40"/>
      <c r="BY461" s="40"/>
      <c r="BZ461" s="40"/>
      <c r="CA461" s="40"/>
      <c r="CB461" s="40"/>
      <c r="CC461" s="40"/>
      <c r="CD461" s="40"/>
      <c r="CE461" s="40"/>
      <c r="CF461" s="40"/>
      <c r="CG461" s="40"/>
      <c r="CH461" s="40"/>
      <c r="CI461" s="40"/>
      <c r="CJ461" s="40"/>
      <c r="CK461" s="40"/>
      <c r="CL461" s="40"/>
    </row>
    <row r="462" spans="1:90" x14ac:dyDescent="0.25">
      <c r="A462" s="40"/>
      <c r="B462" s="40"/>
      <c r="C462" s="40"/>
      <c r="D462" s="40"/>
      <c r="E462" s="40"/>
      <c r="F462" s="40"/>
      <c r="G462" s="40"/>
      <c r="H462" s="40"/>
      <c r="I462" s="40"/>
      <c r="J462" s="40"/>
      <c r="K462" s="40"/>
      <c r="L462" s="40"/>
      <c r="M462" s="40"/>
      <c r="N462" s="40"/>
      <c r="O462" s="40"/>
      <c r="P462" s="40"/>
      <c r="Q462" s="40"/>
      <c r="R462" s="40"/>
      <c r="S462" s="40"/>
      <c r="T462" s="40"/>
      <c r="U462" s="40"/>
      <c r="V462" s="40"/>
      <c r="W462" s="40"/>
      <c r="X462" s="40"/>
      <c r="Y462" s="40"/>
      <c r="Z462" s="40"/>
      <c r="AA462" s="40"/>
      <c r="AB462" s="40"/>
      <c r="AC462" s="40"/>
      <c r="AD462" s="40"/>
      <c r="AE462" s="40"/>
      <c r="AF462" s="40"/>
      <c r="AG462" s="40"/>
      <c r="AH462" s="40"/>
      <c r="AI462" s="40"/>
      <c r="AJ462" s="40"/>
      <c r="AK462" s="40"/>
      <c r="AL462" s="40"/>
      <c r="AM462" s="40"/>
      <c r="AN462" s="40"/>
      <c r="AO462" s="40"/>
      <c r="AP462" s="40"/>
      <c r="AQ462" s="40"/>
      <c r="AR462" s="40"/>
      <c r="AS462" s="40"/>
      <c r="AT462" s="40"/>
      <c r="AU462" s="40"/>
      <c r="AV462" s="40"/>
      <c r="AW462" s="40"/>
      <c r="AX462" s="40"/>
      <c r="AY462" s="40"/>
      <c r="AZ462" s="40"/>
      <c r="BA462" s="40"/>
      <c r="BB462" s="40"/>
      <c r="BC462" s="40"/>
      <c r="BD462" s="40"/>
      <c r="BE462" s="40"/>
      <c r="BF462" s="40"/>
      <c r="BG462" s="40"/>
      <c r="BH462" s="40"/>
      <c r="BI462" s="40"/>
      <c r="BJ462" s="40"/>
      <c r="BK462" s="40"/>
      <c r="BL462" s="40"/>
      <c r="BM462" s="40"/>
      <c r="BN462" s="40"/>
      <c r="BO462" s="40"/>
      <c r="BP462" s="40"/>
      <c r="BQ462" s="40"/>
      <c r="BR462" s="40"/>
      <c r="BS462" s="40"/>
      <c r="BT462" s="40"/>
      <c r="BU462" s="40"/>
      <c r="BV462" s="40"/>
      <c r="BW462" s="40"/>
      <c r="BX462" s="40"/>
      <c r="BY462" s="40"/>
      <c r="BZ462" s="40"/>
      <c r="CA462" s="40"/>
      <c r="CB462" s="40"/>
      <c r="CC462" s="40"/>
      <c r="CD462" s="40"/>
      <c r="CE462" s="40"/>
      <c r="CF462" s="40"/>
      <c r="CG462" s="40"/>
      <c r="CH462" s="40"/>
      <c r="CI462" s="40"/>
      <c r="CJ462" s="40"/>
      <c r="CK462" s="40"/>
      <c r="CL462" s="40"/>
    </row>
    <row r="463" spans="1:90" x14ac:dyDescent="0.25">
      <c r="A463" s="40"/>
      <c r="B463" s="40"/>
      <c r="C463" s="40"/>
      <c r="D463" s="40"/>
      <c r="E463" s="40"/>
      <c r="F463" s="40"/>
      <c r="G463" s="40"/>
      <c r="H463" s="40"/>
      <c r="I463" s="40"/>
      <c r="J463" s="40"/>
      <c r="K463" s="40"/>
      <c r="L463" s="40"/>
      <c r="M463" s="40"/>
      <c r="N463" s="40"/>
      <c r="O463" s="40"/>
      <c r="P463" s="40"/>
      <c r="Q463" s="40"/>
      <c r="R463" s="40"/>
      <c r="S463" s="40"/>
      <c r="T463" s="40"/>
      <c r="U463" s="40"/>
      <c r="V463" s="40"/>
      <c r="W463" s="40"/>
      <c r="X463" s="40"/>
      <c r="Y463" s="40"/>
      <c r="Z463" s="40"/>
      <c r="AA463" s="40"/>
      <c r="AB463" s="40"/>
      <c r="AC463" s="40"/>
      <c r="AD463" s="40"/>
      <c r="AE463" s="40"/>
      <c r="AF463" s="40"/>
      <c r="AG463" s="40"/>
      <c r="AH463" s="40"/>
      <c r="AI463" s="40"/>
      <c r="AJ463" s="40"/>
      <c r="AK463" s="40"/>
      <c r="AL463" s="40"/>
      <c r="AM463" s="40"/>
      <c r="AN463" s="40"/>
      <c r="AO463" s="40"/>
      <c r="AP463" s="40"/>
      <c r="AQ463" s="40"/>
      <c r="AR463" s="40"/>
      <c r="AS463" s="40"/>
      <c r="AT463" s="40"/>
      <c r="AU463" s="40"/>
      <c r="AV463" s="40"/>
      <c r="AW463" s="40"/>
      <c r="AX463" s="40"/>
      <c r="AY463" s="40"/>
      <c r="AZ463" s="40"/>
      <c r="BA463" s="40"/>
      <c r="BB463" s="40"/>
      <c r="BC463" s="40"/>
      <c r="BD463" s="40"/>
      <c r="BE463" s="40"/>
      <c r="BF463" s="40"/>
      <c r="BG463" s="40"/>
      <c r="BH463" s="40"/>
      <c r="BI463" s="40"/>
      <c r="BJ463" s="40"/>
      <c r="BK463" s="40"/>
      <c r="BL463" s="40"/>
      <c r="BM463" s="40"/>
      <c r="BN463" s="40"/>
      <c r="BO463" s="40"/>
      <c r="BP463" s="40"/>
      <c r="BQ463" s="40"/>
      <c r="BR463" s="40"/>
      <c r="BS463" s="40"/>
      <c r="BT463" s="40"/>
      <c r="BU463" s="40"/>
      <c r="BV463" s="40"/>
      <c r="BW463" s="40"/>
      <c r="BX463" s="40"/>
      <c r="BY463" s="40"/>
      <c r="BZ463" s="40"/>
      <c r="CA463" s="40"/>
      <c r="CB463" s="40"/>
      <c r="CC463" s="40"/>
      <c r="CD463" s="40"/>
      <c r="CE463" s="40"/>
      <c r="CF463" s="40"/>
      <c r="CG463" s="40"/>
      <c r="CH463" s="40"/>
      <c r="CI463" s="40"/>
      <c r="CJ463" s="40"/>
      <c r="CK463" s="40"/>
      <c r="CL463" s="40"/>
    </row>
    <row r="464" spans="1:90" x14ac:dyDescent="0.25">
      <c r="A464" s="40"/>
      <c r="B464" s="40"/>
      <c r="C464" s="40"/>
      <c r="D464" s="40"/>
      <c r="E464" s="40"/>
      <c r="F464" s="40"/>
      <c r="G464" s="40"/>
      <c r="H464" s="40"/>
      <c r="I464" s="40"/>
      <c r="J464" s="40"/>
      <c r="K464" s="40"/>
      <c r="L464" s="40"/>
      <c r="M464" s="40"/>
      <c r="N464" s="40"/>
      <c r="O464" s="40"/>
      <c r="P464" s="40"/>
      <c r="Q464" s="40"/>
      <c r="R464" s="40"/>
      <c r="S464" s="40"/>
      <c r="T464" s="40"/>
      <c r="U464" s="40"/>
      <c r="V464" s="40"/>
      <c r="W464" s="40"/>
      <c r="X464" s="40"/>
      <c r="Y464" s="40"/>
      <c r="Z464" s="40"/>
      <c r="AA464" s="40"/>
      <c r="AB464" s="40"/>
      <c r="AC464" s="40"/>
      <c r="AD464" s="40"/>
      <c r="AE464" s="40"/>
      <c r="AF464" s="40"/>
      <c r="AG464" s="40"/>
      <c r="AH464" s="40"/>
      <c r="AI464" s="40"/>
      <c r="AJ464" s="40"/>
      <c r="AK464" s="40"/>
      <c r="AL464" s="40"/>
      <c r="AM464" s="40"/>
      <c r="AN464" s="40"/>
      <c r="AO464" s="40"/>
      <c r="AP464" s="40"/>
      <c r="AQ464" s="40"/>
      <c r="AR464" s="40"/>
      <c r="AS464" s="40"/>
      <c r="AT464" s="40"/>
      <c r="AU464" s="40"/>
      <c r="AV464" s="40"/>
      <c r="AW464" s="40"/>
      <c r="AX464" s="40"/>
      <c r="AY464" s="40"/>
      <c r="AZ464" s="40"/>
      <c r="BA464" s="40"/>
      <c r="BB464" s="40"/>
      <c r="BC464" s="40"/>
      <c r="BD464" s="40"/>
      <c r="BE464" s="40"/>
      <c r="BF464" s="40"/>
      <c r="BG464" s="40"/>
      <c r="BH464" s="40"/>
      <c r="BI464" s="40"/>
      <c r="BJ464" s="40"/>
      <c r="BK464" s="40"/>
      <c r="BL464" s="40"/>
      <c r="BM464" s="40"/>
      <c r="BN464" s="40"/>
      <c r="BO464" s="40"/>
      <c r="BP464" s="40"/>
      <c r="BQ464" s="40"/>
      <c r="BR464" s="40"/>
      <c r="BS464" s="40"/>
      <c r="BT464" s="40"/>
      <c r="BU464" s="40"/>
      <c r="BV464" s="40"/>
      <c r="BW464" s="40"/>
      <c r="BX464" s="40"/>
      <c r="BY464" s="40"/>
      <c r="BZ464" s="40"/>
      <c r="CA464" s="40"/>
      <c r="CB464" s="40"/>
      <c r="CC464" s="40"/>
      <c r="CD464" s="40"/>
      <c r="CE464" s="40"/>
      <c r="CF464" s="40"/>
      <c r="CG464" s="40"/>
      <c r="CH464" s="40"/>
      <c r="CI464" s="40"/>
      <c r="CJ464" s="40"/>
      <c r="CK464" s="40"/>
      <c r="CL464" s="40"/>
    </row>
    <row r="465" spans="1:90" x14ac:dyDescent="0.25">
      <c r="A465" s="40"/>
      <c r="B465" s="40"/>
      <c r="C465" s="40"/>
      <c r="D465" s="40"/>
      <c r="E465" s="40"/>
      <c r="F465" s="40"/>
      <c r="G465" s="40"/>
      <c r="H465" s="40"/>
      <c r="I465" s="40"/>
      <c r="J465" s="40"/>
      <c r="K465" s="40"/>
      <c r="L465" s="40"/>
      <c r="M465" s="40"/>
      <c r="N465" s="40"/>
      <c r="O465" s="40"/>
      <c r="P465" s="40"/>
      <c r="Q465" s="40"/>
      <c r="R465" s="40"/>
      <c r="S465" s="40"/>
      <c r="T465" s="40"/>
      <c r="U465" s="40"/>
      <c r="V465" s="40"/>
      <c r="W465" s="40"/>
      <c r="X465" s="40"/>
      <c r="Y465" s="40"/>
      <c r="Z465" s="40"/>
      <c r="AA465" s="40"/>
      <c r="AB465" s="40"/>
      <c r="AC465" s="40"/>
      <c r="AD465" s="40"/>
      <c r="AE465" s="40"/>
      <c r="AF465" s="40"/>
      <c r="AG465" s="40"/>
      <c r="AH465" s="40"/>
      <c r="AI465" s="40"/>
      <c r="AJ465" s="40"/>
      <c r="AK465" s="40"/>
      <c r="AL465" s="40"/>
      <c r="AM465" s="40"/>
      <c r="AN465" s="40"/>
      <c r="AO465" s="40"/>
      <c r="AP465" s="40"/>
      <c r="AQ465" s="40"/>
      <c r="AR465" s="40"/>
      <c r="AS465" s="40"/>
      <c r="AT465" s="40"/>
      <c r="AU465" s="40"/>
      <c r="AV465" s="40"/>
      <c r="AW465" s="40"/>
      <c r="AX465" s="40"/>
      <c r="AY465" s="40"/>
      <c r="AZ465" s="40"/>
      <c r="BA465" s="40"/>
      <c r="BB465" s="40"/>
      <c r="BC465" s="40"/>
      <c r="BD465" s="40"/>
      <c r="BE465" s="40"/>
      <c r="BF465" s="40"/>
      <c r="BG465" s="40"/>
      <c r="BH465" s="40"/>
      <c r="BI465" s="40"/>
      <c r="BJ465" s="40"/>
      <c r="BK465" s="40"/>
      <c r="BL465" s="40"/>
      <c r="BM465" s="40"/>
      <c r="BN465" s="40"/>
      <c r="BO465" s="40"/>
      <c r="BP465" s="40"/>
      <c r="BQ465" s="40"/>
      <c r="BR465" s="40"/>
      <c r="BS465" s="40"/>
      <c r="BT465" s="40"/>
      <c r="BU465" s="40"/>
      <c r="BV465" s="40"/>
      <c r="BW465" s="40"/>
      <c r="BX465" s="40"/>
      <c r="BY465" s="40"/>
      <c r="BZ465" s="40"/>
      <c r="CA465" s="40"/>
      <c r="CB465" s="40"/>
      <c r="CC465" s="40"/>
      <c r="CD465" s="40"/>
      <c r="CE465" s="40"/>
      <c r="CF465" s="40"/>
      <c r="CG465" s="40"/>
      <c r="CH465" s="40"/>
      <c r="CI465" s="40"/>
      <c r="CJ465" s="40"/>
      <c r="CK465" s="40"/>
      <c r="CL465" s="40"/>
    </row>
    <row r="466" spans="1:90" x14ac:dyDescent="0.25">
      <c r="A466" s="40"/>
      <c r="B466" s="40"/>
      <c r="C466" s="40"/>
      <c r="D466" s="40"/>
      <c r="E466" s="40"/>
      <c r="F466" s="40"/>
      <c r="G466" s="40"/>
      <c r="H466" s="40"/>
      <c r="I466" s="40"/>
      <c r="J466" s="40"/>
      <c r="K466" s="40"/>
      <c r="L466" s="40"/>
      <c r="M466" s="40"/>
      <c r="N466" s="40"/>
      <c r="O466" s="40"/>
      <c r="P466" s="40"/>
      <c r="Q466" s="40"/>
      <c r="R466" s="40"/>
      <c r="S466" s="40"/>
      <c r="T466" s="40"/>
      <c r="U466" s="40"/>
      <c r="V466" s="40"/>
      <c r="W466" s="40"/>
      <c r="X466" s="40"/>
      <c r="Y466" s="40"/>
      <c r="Z466" s="40"/>
      <c r="AA466" s="40"/>
      <c r="AB466" s="40"/>
      <c r="AC466" s="40"/>
      <c r="AD466" s="40"/>
      <c r="AE466" s="40"/>
      <c r="AF466" s="40"/>
      <c r="AG466" s="40"/>
      <c r="AH466" s="40"/>
      <c r="AI466" s="40"/>
      <c r="AJ466" s="40"/>
      <c r="AK466" s="40"/>
      <c r="AL466" s="40"/>
      <c r="AM466" s="40"/>
      <c r="AN466" s="40"/>
      <c r="AO466" s="40"/>
      <c r="AP466" s="40"/>
      <c r="AQ466" s="40"/>
      <c r="AR466" s="40"/>
      <c r="AS466" s="40"/>
      <c r="AT466" s="40"/>
      <c r="AU466" s="40"/>
      <c r="AV466" s="40"/>
      <c r="AW466" s="40"/>
      <c r="AX466" s="40"/>
      <c r="AY466" s="40"/>
      <c r="AZ466" s="40"/>
      <c r="BA466" s="40"/>
      <c r="BB466" s="40"/>
      <c r="BC466" s="40"/>
      <c r="BD466" s="40"/>
      <c r="BE466" s="40"/>
      <c r="BF466" s="40"/>
      <c r="BG466" s="40"/>
      <c r="BH466" s="40"/>
      <c r="BI466" s="40"/>
      <c r="BJ466" s="40"/>
      <c r="BK466" s="40"/>
      <c r="BL466" s="40"/>
      <c r="BM466" s="40"/>
      <c r="BN466" s="40"/>
      <c r="BO466" s="40"/>
      <c r="BP466" s="40"/>
      <c r="BQ466" s="40"/>
      <c r="BR466" s="40"/>
      <c r="BS466" s="40"/>
      <c r="BT466" s="40"/>
      <c r="BU466" s="40"/>
      <c r="BV466" s="40"/>
      <c r="BW466" s="40"/>
      <c r="BX466" s="40"/>
      <c r="BY466" s="40"/>
      <c r="BZ466" s="40"/>
      <c r="CA466" s="40"/>
      <c r="CB466" s="40"/>
      <c r="CC466" s="40"/>
      <c r="CD466" s="40"/>
      <c r="CE466" s="40"/>
      <c r="CF466" s="40"/>
      <c r="CG466" s="40"/>
      <c r="CH466" s="40"/>
      <c r="CI466" s="40"/>
      <c r="CJ466" s="40"/>
      <c r="CK466" s="40"/>
      <c r="CL466" s="40"/>
    </row>
    <row r="467" spans="1:90" x14ac:dyDescent="0.25">
      <c r="A467" s="40"/>
      <c r="B467" s="40"/>
      <c r="C467" s="40"/>
      <c r="D467" s="40"/>
      <c r="E467" s="40"/>
      <c r="F467" s="40"/>
      <c r="G467" s="40"/>
      <c r="H467" s="40"/>
      <c r="I467" s="40"/>
      <c r="J467" s="40"/>
      <c r="K467" s="40"/>
      <c r="L467" s="40"/>
      <c r="M467" s="40"/>
      <c r="N467" s="40"/>
      <c r="O467" s="40"/>
      <c r="P467" s="40"/>
      <c r="Q467" s="40"/>
      <c r="R467" s="40"/>
      <c r="S467" s="40"/>
      <c r="T467" s="40"/>
      <c r="U467" s="40"/>
      <c r="V467" s="40"/>
      <c r="W467" s="40"/>
      <c r="X467" s="40"/>
      <c r="Y467" s="40"/>
      <c r="Z467" s="40"/>
      <c r="AA467" s="40"/>
      <c r="AB467" s="40"/>
      <c r="AC467" s="40"/>
      <c r="AD467" s="40"/>
      <c r="AE467" s="40"/>
      <c r="AF467" s="40"/>
      <c r="AG467" s="40"/>
      <c r="AH467" s="40"/>
      <c r="AI467" s="40"/>
      <c r="AJ467" s="40"/>
      <c r="AK467" s="40"/>
      <c r="AL467" s="40"/>
      <c r="AM467" s="40"/>
      <c r="AN467" s="40"/>
      <c r="AO467" s="40"/>
      <c r="AP467" s="40"/>
      <c r="AQ467" s="40"/>
      <c r="AR467" s="40"/>
      <c r="AS467" s="40"/>
      <c r="AT467" s="40"/>
      <c r="AU467" s="40"/>
      <c r="AV467" s="40"/>
      <c r="AW467" s="40"/>
      <c r="AX467" s="40"/>
      <c r="AY467" s="40"/>
      <c r="AZ467" s="40"/>
      <c r="BA467" s="40"/>
      <c r="BB467" s="40"/>
      <c r="BC467" s="40"/>
      <c r="BD467" s="40"/>
      <c r="BE467" s="40"/>
      <c r="BF467" s="40"/>
      <c r="BG467" s="40"/>
      <c r="BH467" s="40"/>
      <c r="BI467" s="40"/>
      <c r="BJ467" s="40"/>
      <c r="BK467" s="40"/>
      <c r="BL467" s="40"/>
      <c r="BM467" s="40"/>
      <c r="BN467" s="40"/>
      <c r="BO467" s="40"/>
      <c r="BP467" s="40"/>
      <c r="BQ467" s="40"/>
      <c r="BR467" s="40"/>
      <c r="BS467" s="40"/>
      <c r="BT467" s="40"/>
      <c r="BU467" s="40"/>
      <c r="BV467" s="40"/>
      <c r="BW467" s="40"/>
      <c r="BX467" s="40"/>
      <c r="BY467" s="40"/>
      <c r="BZ467" s="40"/>
      <c r="CA467" s="40"/>
      <c r="CB467" s="40"/>
      <c r="CC467" s="40"/>
      <c r="CD467" s="40"/>
      <c r="CE467" s="40"/>
      <c r="CF467" s="40"/>
      <c r="CG467" s="40"/>
      <c r="CH467" s="40"/>
      <c r="CI467" s="40"/>
      <c r="CJ467" s="40"/>
      <c r="CK467" s="40"/>
      <c r="CL467" s="40"/>
    </row>
    <row r="468" spans="1:90" x14ac:dyDescent="0.25">
      <c r="A468" s="40"/>
      <c r="B468" s="40"/>
      <c r="C468" s="40"/>
      <c r="D468" s="40"/>
      <c r="E468" s="40"/>
      <c r="F468" s="40"/>
      <c r="G468" s="40"/>
      <c r="H468" s="40"/>
      <c r="I468" s="40"/>
      <c r="J468" s="40"/>
      <c r="K468" s="40"/>
      <c r="L468" s="40"/>
      <c r="M468" s="40"/>
      <c r="N468" s="40"/>
      <c r="O468" s="40"/>
      <c r="P468" s="40"/>
      <c r="Q468" s="40"/>
      <c r="R468" s="40"/>
      <c r="S468" s="40"/>
      <c r="T468" s="40"/>
      <c r="U468" s="40"/>
      <c r="V468" s="40"/>
      <c r="W468" s="40"/>
      <c r="X468" s="40"/>
      <c r="Y468" s="40"/>
      <c r="Z468" s="40"/>
      <c r="AA468" s="40"/>
      <c r="AB468" s="40"/>
      <c r="AC468" s="40"/>
      <c r="AD468" s="40"/>
      <c r="AE468" s="40"/>
      <c r="AF468" s="40"/>
      <c r="AG468" s="40"/>
      <c r="AH468" s="40"/>
      <c r="AI468" s="40"/>
      <c r="AJ468" s="40"/>
      <c r="AK468" s="40"/>
      <c r="AL468" s="40"/>
      <c r="AM468" s="40"/>
      <c r="AN468" s="40"/>
      <c r="AO468" s="40"/>
      <c r="AP468" s="40"/>
      <c r="AQ468" s="40"/>
      <c r="AR468" s="40"/>
      <c r="AS468" s="40"/>
      <c r="AT468" s="40"/>
      <c r="AU468" s="40"/>
      <c r="AV468" s="40"/>
      <c r="AW468" s="40"/>
      <c r="AX468" s="40"/>
      <c r="AY468" s="40"/>
      <c r="AZ468" s="40"/>
      <c r="BA468" s="40"/>
      <c r="BB468" s="40"/>
      <c r="BC468" s="40"/>
      <c r="BD468" s="40"/>
      <c r="BE468" s="40"/>
      <c r="BF468" s="40"/>
      <c r="BG468" s="40"/>
      <c r="BH468" s="40"/>
      <c r="BI468" s="40"/>
      <c r="BJ468" s="40"/>
      <c r="BK468" s="40"/>
      <c r="BL468" s="40"/>
      <c r="BM468" s="40"/>
      <c r="BN468" s="40"/>
      <c r="BO468" s="40"/>
      <c r="BP468" s="40"/>
      <c r="BQ468" s="40"/>
      <c r="BR468" s="40"/>
      <c r="BS468" s="40"/>
      <c r="BT468" s="40"/>
      <c r="BU468" s="40"/>
      <c r="BV468" s="40"/>
      <c r="BW468" s="40"/>
      <c r="BX468" s="40"/>
      <c r="BY468" s="40"/>
      <c r="BZ468" s="40"/>
      <c r="CA468" s="40"/>
      <c r="CB468" s="40"/>
      <c r="CC468" s="40"/>
      <c r="CD468" s="40"/>
      <c r="CE468" s="40"/>
      <c r="CF468" s="40"/>
      <c r="CG468" s="40"/>
      <c r="CH468" s="40"/>
      <c r="CI468" s="40"/>
      <c r="CJ468" s="40"/>
      <c r="CK468" s="40"/>
      <c r="CL468" s="40"/>
    </row>
    <row r="469" spans="1:90" x14ac:dyDescent="0.25">
      <c r="A469" s="40"/>
      <c r="B469" s="40"/>
      <c r="C469" s="40"/>
      <c r="D469" s="40"/>
      <c r="E469" s="40"/>
      <c r="F469" s="40"/>
      <c r="G469" s="40"/>
      <c r="H469" s="40"/>
      <c r="I469" s="40"/>
      <c r="J469" s="40"/>
      <c r="K469" s="40"/>
      <c r="L469" s="40"/>
      <c r="M469" s="40"/>
      <c r="N469" s="40"/>
      <c r="O469" s="40"/>
      <c r="P469" s="40"/>
      <c r="Q469" s="40"/>
      <c r="R469" s="40"/>
      <c r="S469" s="40"/>
      <c r="T469" s="40"/>
      <c r="U469" s="40"/>
      <c r="V469" s="40"/>
      <c r="W469" s="40"/>
      <c r="X469" s="40"/>
      <c r="Y469" s="40"/>
      <c r="Z469" s="40"/>
      <c r="AA469" s="40"/>
      <c r="AB469" s="40"/>
      <c r="AC469" s="40"/>
      <c r="AD469" s="40"/>
      <c r="AE469" s="40"/>
      <c r="AF469" s="40"/>
      <c r="AG469" s="40"/>
      <c r="AH469" s="40"/>
      <c r="AI469" s="40"/>
      <c r="AJ469" s="40"/>
      <c r="AK469" s="40"/>
      <c r="AL469" s="40"/>
      <c r="AM469" s="40"/>
      <c r="AN469" s="40"/>
      <c r="AO469" s="40"/>
      <c r="AP469" s="40"/>
      <c r="AQ469" s="40"/>
      <c r="AR469" s="40"/>
      <c r="AS469" s="40"/>
      <c r="AT469" s="40"/>
      <c r="AU469" s="40"/>
      <c r="AV469" s="40"/>
      <c r="AW469" s="40"/>
      <c r="AX469" s="40"/>
      <c r="AY469" s="40"/>
      <c r="AZ469" s="40"/>
      <c r="BA469" s="40"/>
      <c r="BB469" s="40"/>
      <c r="BC469" s="40"/>
      <c r="BD469" s="40"/>
      <c r="BE469" s="40"/>
      <c r="BF469" s="40"/>
      <c r="BG469" s="40"/>
      <c r="BH469" s="40"/>
      <c r="BI469" s="40"/>
      <c r="BJ469" s="40"/>
      <c r="BK469" s="40"/>
      <c r="BL469" s="40"/>
      <c r="BM469" s="40"/>
      <c r="BN469" s="40"/>
      <c r="BO469" s="40"/>
      <c r="BP469" s="40"/>
      <c r="BQ469" s="40"/>
      <c r="BR469" s="40"/>
      <c r="BS469" s="40"/>
      <c r="BT469" s="40"/>
      <c r="BU469" s="40"/>
      <c r="BV469" s="40"/>
      <c r="BW469" s="40"/>
      <c r="BX469" s="40"/>
      <c r="BY469" s="40"/>
      <c r="BZ469" s="40"/>
      <c r="CA469" s="40"/>
      <c r="CB469" s="40"/>
      <c r="CC469" s="40"/>
      <c r="CD469" s="40"/>
      <c r="CE469" s="40"/>
      <c r="CF469" s="40"/>
      <c r="CG469" s="40"/>
      <c r="CH469" s="40"/>
      <c r="CI469" s="40"/>
      <c r="CJ469" s="40"/>
      <c r="CK469" s="40"/>
      <c r="CL469" s="40"/>
    </row>
    <row r="470" spans="1:90" x14ac:dyDescent="0.25">
      <c r="A470" s="40"/>
      <c r="B470" s="40"/>
      <c r="C470" s="40"/>
      <c r="D470" s="40"/>
      <c r="E470" s="40"/>
      <c r="F470" s="40"/>
      <c r="G470" s="40"/>
      <c r="H470" s="40"/>
      <c r="I470" s="40"/>
      <c r="J470" s="40"/>
      <c r="K470" s="40"/>
      <c r="L470" s="40"/>
      <c r="M470" s="40"/>
      <c r="N470" s="40"/>
      <c r="O470" s="40"/>
      <c r="P470" s="40"/>
      <c r="Q470" s="40"/>
      <c r="R470" s="40"/>
      <c r="S470" s="40"/>
      <c r="T470" s="40"/>
      <c r="U470" s="40"/>
      <c r="V470" s="40"/>
      <c r="W470" s="40"/>
      <c r="X470" s="40"/>
      <c r="Y470" s="40"/>
      <c r="Z470" s="40"/>
      <c r="AA470" s="40"/>
      <c r="AB470" s="40"/>
      <c r="AC470" s="40"/>
      <c r="AD470" s="40"/>
      <c r="AE470" s="40"/>
      <c r="AF470" s="40"/>
      <c r="AG470" s="40"/>
      <c r="AH470" s="40"/>
      <c r="AI470" s="40"/>
      <c r="AJ470" s="40"/>
      <c r="AK470" s="40"/>
      <c r="AL470" s="40"/>
      <c r="AM470" s="40"/>
      <c r="AN470" s="40"/>
      <c r="AO470" s="40"/>
      <c r="AP470" s="40"/>
      <c r="AQ470" s="40"/>
      <c r="AR470" s="40"/>
      <c r="AS470" s="40"/>
      <c r="AT470" s="40"/>
      <c r="AU470" s="40"/>
      <c r="AV470" s="40"/>
      <c r="AW470" s="40"/>
      <c r="AX470" s="40"/>
      <c r="AY470" s="40"/>
      <c r="AZ470" s="40"/>
      <c r="BA470" s="40"/>
      <c r="BB470" s="40"/>
      <c r="BC470" s="40"/>
      <c r="BD470" s="40"/>
      <c r="BE470" s="40"/>
      <c r="BF470" s="40"/>
      <c r="BG470" s="40"/>
      <c r="BH470" s="40"/>
      <c r="BI470" s="40"/>
      <c r="BJ470" s="40"/>
      <c r="BK470" s="40"/>
      <c r="BL470" s="40"/>
      <c r="BM470" s="40"/>
      <c r="BN470" s="40"/>
      <c r="BO470" s="40"/>
      <c r="BP470" s="40"/>
      <c r="BQ470" s="40"/>
      <c r="BR470" s="40"/>
      <c r="BS470" s="40"/>
      <c r="BT470" s="40"/>
      <c r="BU470" s="40"/>
      <c r="BV470" s="40"/>
      <c r="BW470" s="40"/>
      <c r="BX470" s="40"/>
      <c r="BY470" s="40"/>
      <c r="BZ470" s="40"/>
      <c r="CA470" s="40"/>
      <c r="CB470" s="40"/>
      <c r="CC470" s="40"/>
      <c r="CD470" s="40"/>
      <c r="CE470" s="40"/>
      <c r="CF470" s="40"/>
      <c r="CG470" s="40"/>
      <c r="CH470" s="40"/>
      <c r="CI470" s="40"/>
      <c r="CJ470" s="40"/>
      <c r="CK470" s="40"/>
      <c r="CL470" s="40"/>
    </row>
    <row r="471" spans="1:90" x14ac:dyDescent="0.25">
      <c r="A471" s="40"/>
      <c r="B471" s="40"/>
      <c r="C471" s="40"/>
      <c r="D471" s="40"/>
      <c r="E471" s="40"/>
      <c r="F471" s="40"/>
      <c r="G471" s="40"/>
      <c r="H471" s="40"/>
      <c r="I471" s="40"/>
      <c r="J471" s="40"/>
      <c r="K471" s="40"/>
      <c r="L471" s="40"/>
      <c r="M471" s="40"/>
      <c r="N471" s="40"/>
      <c r="O471" s="40"/>
      <c r="P471" s="40"/>
      <c r="Q471" s="40"/>
      <c r="R471" s="40"/>
      <c r="S471" s="40"/>
      <c r="T471" s="40"/>
      <c r="U471" s="40"/>
      <c r="V471" s="40"/>
      <c r="W471" s="40"/>
      <c r="X471" s="40"/>
      <c r="Y471" s="40"/>
      <c r="Z471" s="40"/>
      <c r="AA471" s="40"/>
      <c r="AB471" s="40"/>
      <c r="AC471" s="40"/>
      <c r="AD471" s="40"/>
      <c r="AE471" s="40"/>
      <c r="AF471" s="40"/>
      <c r="AG471" s="40"/>
      <c r="AH471" s="40"/>
      <c r="AI471" s="40"/>
      <c r="AJ471" s="40"/>
      <c r="AK471" s="40"/>
      <c r="AL471" s="40"/>
      <c r="AM471" s="40"/>
      <c r="AN471" s="40"/>
      <c r="AO471" s="40"/>
      <c r="AP471" s="40"/>
      <c r="AQ471" s="40"/>
      <c r="AR471" s="40"/>
      <c r="AS471" s="40"/>
      <c r="AT471" s="40"/>
      <c r="AU471" s="40"/>
      <c r="AV471" s="40"/>
      <c r="AW471" s="40"/>
      <c r="AX471" s="40"/>
      <c r="AY471" s="40"/>
      <c r="AZ471" s="40"/>
      <c r="BA471" s="40"/>
      <c r="BB471" s="40"/>
      <c r="BC471" s="40"/>
      <c r="BD471" s="40"/>
      <c r="BE471" s="40"/>
      <c r="BF471" s="40"/>
      <c r="BG471" s="40"/>
      <c r="BH471" s="40"/>
      <c r="BI471" s="40"/>
      <c r="BJ471" s="40"/>
      <c r="BK471" s="40"/>
      <c r="BL471" s="40"/>
      <c r="BM471" s="40"/>
      <c r="BN471" s="40"/>
      <c r="BO471" s="40"/>
      <c r="BP471" s="40"/>
      <c r="BQ471" s="40"/>
      <c r="BR471" s="40"/>
      <c r="BS471" s="40"/>
      <c r="BT471" s="40"/>
      <c r="BU471" s="40"/>
      <c r="BV471" s="40"/>
      <c r="BW471" s="40"/>
      <c r="BX471" s="40"/>
      <c r="BY471" s="40"/>
      <c r="BZ471" s="40"/>
      <c r="CA471" s="40"/>
      <c r="CB471" s="40"/>
      <c r="CC471" s="40"/>
      <c r="CD471" s="40"/>
      <c r="CE471" s="40"/>
      <c r="CF471" s="40"/>
      <c r="CG471" s="40"/>
      <c r="CH471" s="40"/>
      <c r="CI471" s="40"/>
      <c r="CJ471" s="40"/>
      <c r="CK471" s="40"/>
      <c r="CL471" s="40"/>
    </row>
    <row r="472" spans="1:90" x14ac:dyDescent="0.25">
      <c r="A472" s="40"/>
      <c r="B472" s="40"/>
      <c r="C472" s="40"/>
      <c r="D472" s="40"/>
      <c r="E472" s="40"/>
      <c r="F472" s="40"/>
      <c r="G472" s="40"/>
      <c r="H472" s="40"/>
      <c r="I472" s="40"/>
      <c r="J472" s="40"/>
      <c r="K472" s="40"/>
      <c r="L472" s="40"/>
      <c r="M472" s="40"/>
      <c r="N472" s="40"/>
      <c r="O472" s="40"/>
      <c r="P472" s="40"/>
      <c r="Q472" s="40"/>
      <c r="R472" s="40"/>
      <c r="S472" s="40"/>
      <c r="T472" s="40"/>
      <c r="U472" s="40"/>
      <c r="V472" s="40"/>
      <c r="W472" s="40"/>
      <c r="X472" s="40"/>
      <c r="Y472" s="40"/>
      <c r="Z472" s="40"/>
      <c r="AA472" s="40"/>
      <c r="AB472" s="40"/>
      <c r="AC472" s="40"/>
      <c r="AD472" s="40"/>
      <c r="AE472" s="40"/>
      <c r="AF472" s="40"/>
      <c r="AG472" s="40"/>
      <c r="AH472" s="40"/>
      <c r="AI472" s="40"/>
      <c r="AJ472" s="40"/>
      <c r="AK472" s="40"/>
      <c r="AL472" s="40"/>
      <c r="AM472" s="40"/>
      <c r="AN472" s="40"/>
      <c r="AO472" s="40"/>
      <c r="AP472" s="40"/>
      <c r="AQ472" s="40"/>
      <c r="AR472" s="40"/>
      <c r="AS472" s="40"/>
      <c r="AT472" s="40"/>
      <c r="AU472" s="40"/>
      <c r="AV472" s="40"/>
      <c r="AW472" s="40"/>
      <c r="AX472" s="40"/>
      <c r="AY472" s="40"/>
      <c r="AZ472" s="40"/>
      <c r="BA472" s="40"/>
      <c r="BB472" s="40"/>
      <c r="BC472" s="40"/>
      <c r="BD472" s="40"/>
      <c r="BE472" s="40"/>
      <c r="BF472" s="40"/>
      <c r="BG472" s="40"/>
      <c r="BH472" s="40"/>
      <c r="BI472" s="40"/>
      <c r="BJ472" s="40"/>
      <c r="BK472" s="40"/>
      <c r="BL472" s="40"/>
      <c r="BM472" s="40"/>
      <c r="BN472" s="40"/>
      <c r="BO472" s="40"/>
      <c r="BP472" s="40"/>
      <c r="BQ472" s="40"/>
      <c r="BR472" s="40"/>
      <c r="BS472" s="40"/>
      <c r="BT472" s="40"/>
      <c r="BU472" s="40"/>
      <c r="BV472" s="40"/>
      <c r="BW472" s="40"/>
      <c r="BX472" s="40"/>
      <c r="BY472" s="40"/>
      <c r="BZ472" s="40"/>
      <c r="CA472" s="40"/>
      <c r="CB472" s="40"/>
      <c r="CC472" s="40"/>
      <c r="CD472" s="40"/>
      <c r="CE472" s="40"/>
      <c r="CF472" s="40"/>
      <c r="CG472" s="40"/>
      <c r="CH472" s="40"/>
      <c r="CI472" s="40"/>
      <c r="CJ472" s="40"/>
      <c r="CK472" s="40"/>
      <c r="CL472" s="40"/>
    </row>
    <row r="473" spans="1:90" x14ac:dyDescent="0.25">
      <c r="A473" s="40"/>
      <c r="B473" s="40"/>
      <c r="C473" s="40"/>
      <c r="D473" s="40"/>
      <c r="E473" s="40"/>
      <c r="F473" s="40"/>
      <c r="G473" s="40"/>
      <c r="H473" s="40"/>
      <c r="I473" s="40"/>
      <c r="J473" s="40"/>
      <c r="K473" s="40"/>
      <c r="L473" s="40"/>
      <c r="M473" s="40"/>
      <c r="N473" s="40"/>
      <c r="O473" s="40"/>
      <c r="P473" s="40"/>
      <c r="Q473" s="40"/>
      <c r="R473" s="40"/>
      <c r="S473" s="40"/>
      <c r="T473" s="40"/>
      <c r="U473" s="40"/>
      <c r="V473" s="40"/>
      <c r="W473" s="40"/>
      <c r="X473" s="40"/>
      <c r="Y473" s="40"/>
      <c r="Z473" s="40"/>
      <c r="AA473" s="40"/>
      <c r="AB473" s="40"/>
      <c r="AC473" s="40"/>
      <c r="AD473" s="40"/>
      <c r="AE473" s="40"/>
      <c r="AF473" s="40"/>
      <c r="AG473" s="40"/>
      <c r="AH473" s="40"/>
      <c r="AI473" s="40"/>
      <c r="AJ473" s="40"/>
      <c r="AK473" s="40"/>
      <c r="AL473" s="40"/>
      <c r="AM473" s="40"/>
      <c r="AN473" s="40"/>
      <c r="AO473" s="40"/>
      <c r="AP473" s="40"/>
      <c r="AQ473" s="40"/>
      <c r="AR473" s="40"/>
      <c r="AS473" s="40"/>
      <c r="AT473" s="40"/>
      <c r="AU473" s="40"/>
      <c r="AV473" s="40"/>
      <c r="AW473" s="40"/>
      <c r="AX473" s="40"/>
      <c r="AY473" s="40"/>
      <c r="AZ473" s="40"/>
      <c r="BA473" s="40"/>
      <c r="BB473" s="40"/>
      <c r="BC473" s="40"/>
      <c r="BD473" s="40"/>
      <c r="BE473" s="40"/>
      <c r="BF473" s="40"/>
      <c r="BG473" s="40"/>
      <c r="BH473" s="40"/>
      <c r="BI473" s="40"/>
      <c r="BJ473" s="40"/>
      <c r="BK473" s="40"/>
      <c r="BL473" s="40"/>
      <c r="BM473" s="40"/>
      <c r="BN473" s="40"/>
      <c r="BO473" s="40"/>
      <c r="BP473" s="40"/>
      <c r="BQ473" s="40"/>
      <c r="BR473" s="40"/>
      <c r="BS473" s="40"/>
      <c r="BT473" s="40"/>
      <c r="BU473" s="40"/>
      <c r="BV473" s="40"/>
      <c r="BW473" s="40"/>
      <c r="BX473" s="40"/>
      <c r="BY473" s="40"/>
      <c r="BZ473" s="40"/>
      <c r="CA473" s="40"/>
      <c r="CB473" s="40"/>
      <c r="CC473" s="40"/>
      <c r="CD473" s="40"/>
      <c r="CE473" s="40"/>
      <c r="CF473" s="40"/>
      <c r="CG473" s="40"/>
      <c r="CH473" s="40"/>
      <c r="CI473" s="40"/>
      <c r="CJ473" s="40"/>
      <c r="CK473" s="40"/>
      <c r="CL473" s="40"/>
    </row>
    <row r="474" spans="1:90" x14ac:dyDescent="0.25">
      <c r="A474" s="40"/>
      <c r="B474" s="40"/>
      <c r="C474" s="40"/>
      <c r="D474" s="40"/>
      <c r="E474" s="40"/>
      <c r="F474" s="40"/>
      <c r="G474" s="40"/>
      <c r="H474" s="40"/>
      <c r="I474" s="40"/>
      <c r="J474" s="40"/>
      <c r="K474" s="40"/>
      <c r="L474" s="40"/>
      <c r="M474" s="40"/>
      <c r="N474" s="40"/>
      <c r="O474" s="40"/>
      <c r="P474" s="40"/>
      <c r="Q474" s="40"/>
      <c r="R474" s="40"/>
      <c r="S474" s="40"/>
      <c r="T474" s="40"/>
      <c r="U474" s="40"/>
      <c r="V474" s="40"/>
      <c r="W474" s="40"/>
      <c r="X474" s="40"/>
      <c r="Y474" s="40"/>
      <c r="Z474" s="40"/>
      <c r="AA474" s="40"/>
      <c r="AB474" s="40"/>
      <c r="AC474" s="40"/>
      <c r="AD474" s="40"/>
      <c r="AE474" s="40"/>
      <c r="AF474" s="40"/>
      <c r="AG474" s="40"/>
      <c r="AH474" s="40"/>
      <c r="AI474" s="40"/>
      <c r="AJ474" s="40"/>
      <c r="AK474" s="40"/>
      <c r="AL474" s="40"/>
      <c r="AM474" s="40"/>
      <c r="AN474" s="40"/>
      <c r="AO474" s="40"/>
      <c r="AP474" s="40"/>
      <c r="AQ474" s="40"/>
      <c r="AR474" s="40"/>
      <c r="AS474" s="40"/>
      <c r="AT474" s="40"/>
      <c r="AU474" s="40"/>
      <c r="AV474" s="40"/>
      <c r="AW474" s="40"/>
      <c r="AX474" s="40"/>
      <c r="AY474" s="40"/>
      <c r="AZ474" s="40"/>
      <c r="BA474" s="40"/>
      <c r="BB474" s="40"/>
      <c r="BC474" s="40"/>
      <c r="BD474" s="40"/>
      <c r="BE474" s="40"/>
      <c r="BF474" s="40"/>
      <c r="BG474" s="40"/>
      <c r="BH474" s="40"/>
      <c r="BI474" s="40"/>
      <c r="BJ474" s="40"/>
      <c r="BK474" s="40"/>
      <c r="BL474" s="40"/>
      <c r="BM474" s="40"/>
      <c r="BN474" s="40"/>
      <c r="BO474" s="40"/>
      <c r="BP474" s="40"/>
      <c r="BQ474" s="40"/>
      <c r="BR474" s="40"/>
      <c r="BS474" s="40"/>
      <c r="BT474" s="40"/>
      <c r="BU474" s="40"/>
      <c r="BV474" s="40"/>
      <c r="BW474" s="40"/>
      <c r="BX474" s="40"/>
      <c r="BY474" s="40"/>
      <c r="BZ474" s="40"/>
      <c r="CA474" s="40"/>
      <c r="CB474" s="40"/>
      <c r="CC474" s="40"/>
      <c r="CD474" s="40"/>
      <c r="CE474" s="40"/>
      <c r="CF474" s="40"/>
      <c r="CG474" s="40"/>
      <c r="CH474" s="40"/>
      <c r="CI474" s="40"/>
      <c r="CJ474" s="40"/>
      <c r="CK474" s="40"/>
      <c r="CL474" s="40"/>
    </row>
    <row r="475" spans="1:90" x14ac:dyDescent="0.25">
      <c r="A475" s="40"/>
      <c r="B475" s="40"/>
      <c r="C475" s="40"/>
      <c r="D475" s="40"/>
      <c r="E475" s="40"/>
      <c r="F475" s="40"/>
      <c r="G475" s="40"/>
      <c r="H475" s="40"/>
      <c r="I475" s="40"/>
      <c r="J475" s="40"/>
      <c r="K475" s="40"/>
      <c r="L475" s="40"/>
      <c r="M475" s="40"/>
      <c r="N475" s="40"/>
      <c r="O475" s="40"/>
      <c r="P475" s="40"/>
      <c r="Q475" s="40"/>
      <c r="R475" s="40"/>
      <c r="S475" s="40"/>
      <c r="T475" s="40"/>
      <c r="U475" s="40"/>
      <c r="V475" s="40"/>
      <c r="W475" s="40"/>
      <c r="X475" s="40"/>
      <c r="Y475" s="40"/>
      <c r="Z475" s="40"/>
      <c r="AA475" s="40"/>
      <c r="AB475" s="40"/>
      <c r="AC475" s="40"/>
      <c r="AD475" s="40"/>
      <c r="AE475" s="40"/>
      <c r="AF475" s="40"/>
      <c r="AG475" s="40"/>
      <c r="AH475" s="40"/>
      <c r="AI475" s="40"/>
      <c r="AJ475" s="40"/>
      <c r="AK475" s="40"/>
      <c r="AL475" s="40"/>
      <c r="AM475" s="40"/>
      <c r="AN475" s="40"/>
      <c r="AO475" s="40"/>
      <c r="AP475" s="40"/>
      <c r="AQ475" s="40"/>
      <c r="AR475" s="40"/>
      <c r="AS475" s="40"/>
      <c r="AT475" s="40"/>
      <c r="AU475" s="40"/>
      <c r="AV475" s="40"/>
      <c r="AW475" s="40"/>
      <c r="AX475" s="40"/>
      <c r="AY475" s="40"/>
      <c r="AZ475" s="40"/>
      <c r="BA475" s="40"/>
      <c r="BB475" s="40"/>
      <c r="BC475" s="40"/>
      <c r="BD475" s="40"/>
      <c r="BE475" s="40"/>
      <c r="BF475" s="40"/>
      <c r="BG475" s="40"/>
      <c r="BH475" s="40"/>
      <c r="BI475" s="40"/>
      <c r="BJ475" s="40"/>
      <c r="BK475" s="40"/>
      <c r="BL475" s="40"/>
      <c r="BM475" s="40"/>
      <c r="BN475" s="40"/>
      <c r="BO475" s="40"/>
      <c r="BP475" s="40"/>
      <c r="BQ475" s="40"/>
      <c r="BR475" s="40"/>
      <c r="BS475" s="40"/>
      <c r="BT475" s="40"/>
      <c r="BU475" s="40"/>
      <c r="BV475" s="40"/>
      <c r="BW475" s="40"/>
      <c r="BX475" s="40"/>
      <c r="BY475" s="40"/>
      <c r="BZ475" s="40"/>
      <c r="CA475" s="40"/>
      <c r="CB475" s="40"/>
      <c r="CC475" s="40"/>
      <c r="CD475" s="40"/>
      <c r="CE475" s="40"/>
      <c r="CF475" s="40"/>
      <c r="CG475" s="40"/>
      <c r="CH475" s="40"/>
      <c r="CI475" s="40"/>
      <c r="CJ475" s="40"/>
      <c r="CK475" s="40"/>
      <c r="CL475" s="40"/>
    </row>
    <row r="476" spans="1:90" x14ac:dyDescent="0.25">
      <c r="A476" s="40"/>
      <c r="B476" s="40"/>
      <c r="C476" s="40"/>
      <c r="D476" s="40"/>
      <c r="E476" s="40"/>
      <c r="F476" s="40"/>
      <c r="G476" s="40"/>
      <c r="H476" s="40"/>
      <c r="I476" s="40"/>
      <c r="J476" s="40"/>
      <c r="K476" s="40"/>
      <c r="L476" s="40"/>
      <c r="M476" s="40"/>
      <c r="N476" s="40"/>
      <c r="O476" s="40"/>
      <c r="P476" s="40"/>
      <c r="Q476" s="40"/>
      <c r="R476" s="40"/>
      <c r="S476" s="40"/>
      <c r="T476" s="40"/>
      <c r="U476" s="40"/>
      <c r="V476" s="40"/>
      <c r="W476" s="40"/>
      <c r="X476" s="40"/>
      <c r="Y476" s="40"/>
      <c r="Z476" s="40"/>
      <c r="AA476" s="40"/>
      <c r="AB476" s="40"/>
      <c r="AC476" s="40"/>
      <c r="AD476" s="40"/>
      <c r="AE476" s="40"/>
      <c r="AF476" s="40"/>
      <c r="AG476" s="40"/>
      <c r="AH476" s="40"/>
      <c r="AI476" s="40"/>
      <c r="AJ476" s="40"/>
      <c r="AK476" s="40"/>
      <c r="AL476" s="40"/>
      <c r="AM476" s="40"/>
      <c r="AN476" s="40"/>
      <c r="AO476" s="40"/>
      <c r="AP476" s="40"/>
      <c r="AQ476" s="40"/>
      <c r="AR476" s="40"/>
      <c r="AS476" s="40"/>
      <c r="AT476" s="40"/>
      <c r="AU476" s="40"/>
      <c r="AV476" s="40"/>
      <c r="AW476" s="40"/>
      <c r="AX476" s="40"/>
      <c r="AY476" s="40"/>
      <c r="AZ476" s="40"/>
      <c r="BA476" s="40"/>
      <c r="BB476" s="40"/>
      <c r="BC476" s="40"/>
      <c r="BD476" s="40"/>
      <c r="BE476" s="40"/>
      <c r="BF476" s="40"/>
      <c r="BG476" s="40"/>
      <c r="BH476" s="40"/>
      <c r="BI476" s="40"/>
      <c r="BJ476" s="40"/>
      <c r="BK476" s="40"/>
      <c r="BL476" s="40"/>
      <c r="BM476" s="40"/>
      <c r="BN476" s="40"/>
      <c r="BO476" s="40"/>
      <c r="BP476" s="40"/>
      <c r="BQ476" s="40"/>
      <c r="BR476" s="40"/>
      <c r="BS476" s="40"/>
      <c r="BT476" s="40"/>
      <c r="BU476" s="40"/>
      <c r="BV476" s="40"/>
      <c r="BW476" s="40"/>
      <c r="BX476" s="40"/>
      <c r="BY476" s="40"/>
      <c r="BZ476" s="40"/>
      <c r="CA476" s="40"/>
      <c r="CB476" s="40"/>
      <c r="CC476" s="40"/>
      <c r="CD476" s="40"/>
      <c r="CE476" s="40"/>
      <c r="CF476" s="40"/>
      <c r="CG476" s="40"/>
      <c r="CH476" s="40"/>
      <c r="CI476" s="40"/>
      <c r="CJ476" s="40"/>
      <c r="CK476" s="40"/>
      <c r="CL476" s="40"/>
    </row>
    <row r="477" spans="1:90" x14ac:dyDescent="0.25">
      <c r="A477" s="40"/>
      <c r="B477" s="40"/>
      <c r="C477" s="40"/>
      <c r="D477" s="40"/>
      <c r="E477" s="40"/>
      <c r="F477" s="40"/>
      <c r="G477" s="40"/>
      <c r="H477" s="40"/>
      <c r="I477" s="40"/>
      <c r="J477" s="40"/>
      <c r="K477" s="40"/>
      <c r="L477" s="40"/>
      <c r="M477" s="40"/>
      <c r="N477" s="40"/>
      <c r="O477" s="40"/>
      <c r="P477" s="40"/>
      <c r="Q477" s="40"/>
      <c r="R477" s="40"/>
      <c r="S477" s="40"/>
      <c r="T477" s="40"/>
      <c r="U477" s="40"/>
      <c r="V477" s="40"/>
      <c r="W477" s="40"/>
      <c r="X477" s="40"/>
      <c r="Y477" s="40"/>
      <c r="Z477" s="40"/>
      <c r="AA477" s="40"/>
      <c r="AB477" s="40"/>
      <c r="AC477" s="40"/>
      <c r="AD477" s="40"/>
      <c r="AE477" s="40"/>
      <c r="AF477" s="40"/>
      <c r="AG477" s="40"/>
      <c r="AH477" s="40"/>
      <c r="AI477" s="40"/>
      <c r="AJ477" s="40"/>
      <c r="AK477" s="40"/>
      <c r="AL477" s="40"/>
      <c r="AM477" s="40"/>
      <c r="AN477" s="40"/>
      <c r="AO477" s="40"/>
      <c r="AP477" s="40"/>
      <c r="AQ477" s="40"/>
      <c r="AR477" s="40"/>
      <c r="AS477" s="40"/>
      <c r="AT477" s="40"/>
      <c r="AU477" s="40"/>
      <c r="AV477" s="40"/>
      <c r="AW477" s="40"/>
      <c r="AX477" s="40"/>
      <c r="AY477" s="40"/>
      <c r="AZ477" s="40"/>
      <c r="BA477" s="40"/>
      <c r="BB477" s="40"/>
      <c r="BC477" s="40"/>
      <c r="BD477" s="40"/>
      <c r="BE477" s="40"/>
      <c r="BF477" s="40"/>
      <c r="BG477" s="40"/>
      <c r="BH477" s="40"/>
      <c r="BI477" s="40"/>
      <c r="BJ477" s="40"/>
      <c r="BK477" s="40"/>
      <c r="BL477" s="40"/>
      <c r="BM477" s="40"/>
      <c r="BN477" s="40"/>
      <c r="BO477" s="40"/>
      <c r="BP477" s="40"/>
      <c r="BQ477" s="40"/>
      <c r="BR477" s="40"/>
      <c r="BS477" s="40"/>
      <c r="BT477" s="40"/>
      <c r="BU477" s="40"/>
      <c r="BV477" s="40"/>
      <c r="BW477" s="40"/>
      <c r="BX477" s="40"/>
      <c r="BY477" s="40"/>
      <c r="BZ477" s="40"/>
      <c r="CA477" s="40"/>
      <c r="CB477" s="40"/>
      <c r="CC477" s="40"/>
      <c r="CD477" s="40"/>
      <c r="CE477" s="40"/>
      <c r="CF477" s="40"/>
      <c r="CG477" s="40"/>
      <c r="CH477" s="40"/>
      <c r="CI477" s="40"/>
      <c r="CJ477" s="40"/>
      <c r="CK477" s="40"/>
      <c r="CL477" s="40"/>
    </row>
    <row r="478" spans="1:90" x14ac:dyDescent="0.25">
      <c r="A478" s="40"/>
      <c r="B478" s="40"/>
      <c r="C478" s="40"/>
      <c r="D478" s="40"/>
      <c r="E478" s="40"/>
      <c r="F478" s="40"/>
      <c r="G478" s="40"/>
      <c r="H478" s="40"/>
      <c r="I478" s="40"/>
      <c r="J478" s="40"/>
      <c r="K478" s="40"/>
      <c r="L478" s="40"/>
      <c r="M478" s="40"/>
      <c r="N478" s="40"/>
      <c r="O478" s="40"/>
      <c r="P478" s="40"/>
      <c r="Q478" s="40"/>
      <c r="R478" s="40"/>
      <c r="S478" s="40"/>
      <c r="T478" s="40"/>
      <c r="U478" s="40"/>
      <c r="V478" s="40"/>
      <c r="W478" s="40"/>
      <c r="X478" s="40"/>
      <c r="Y478" s="40"/>
      <c r="Z478" s="40"/>
      <c r="AA478" s="40"/>
      <c r="AB478" s="40"/>
      <c r="AC478" s="40"/>
      <c r="AD478" s="40"/>
      <c r="AE478" s="40"/>
      <c r="AF478" s="40"/>
      <c r="AG478" s="40"/>
      <c r="AH478" s="40"/>
      <c r="AI478" s="40"/>
      <c r="AJ478" s="40"/>
      <c r="AK478" s="40"/>
      <c r="AL478" s="40"/>
      <c r="AM478" s="40"/>
      <c r="AN478" s="40"/>
      <c r="AO478" s="40"/>
      <c r="AP478" s="40"/>
      <c r="AQ478" s="40"/>
      <c r="AR478" s="40"/>
      <c r="AS478" s="40"/>
      <c r="AT478" s="40"/>
      <c r="AU478" s="40"/>
      <c r="AV478" s="40"/>
      <c r="AW478" s="40"/>
      <c r="AX478" s="40"/>
      <c r="AY478" s="40"/>
      <c r="AZ478" s="40"/>
      <c r="BA478" s="40"/>
      <c r="BB478" s="40"/>
      <c r="BC478" s="40"/>
      <c r="BD478" s="40"/>
      <c r="BE478" s="40"/>
      <c r="BF478" s="40"/>
      <c r="BG478" s="40"/>
      <c r="BH478" s="40"/>
      <c r="BI478" s="40"/>
      <c r="BJ478" s="40"/>
      <c r="BK478" s="40"/>
      <c r="BL478" s="40"/>
      <c r="BM478" s="40"/>
      <c r="BN478" s="40"/>
      <c r="BO478" s="40"/>
      <c r="BP478" s="40"/>
      <c r="BQ478" s="40"/>
      <c r="BR478" s="40"/>
      <c r="BS478" s="40"/>
      <c r="BT478" s="40"/>
      <c r="BU478" s="40"/>
      <c r="BV478" s="40"/>
      <c r="BW478" s="40"/>
      <c r="BX478" s="40"/>
      <c r="BY478" s="40"/>
      <c r="BZ478" s="40"/>
      <c r="CA478" s="40"/>
      <c r="CB478" s="40"/>
      <c r="CC478" s="40"/>
      <c r="CD478" s="40"/>
      <c r="CE478" s="40"/>
      <c r="CF478" s="40"/>
      <c r="CG478" s="40"/>
      <c r="CH478" s="40"/>
      <c r="CI478" s="40"/>
      <c r="CJ478" s="40"/>
      <c r="CK478" s="40"/>
      <c r="CL478" s="40"/>
    </row>
    <row r="479" spans="1:90" x14ac:dyDescent="0.25">
      <c r="A479" s="40"/>
      <c r="B479" s="40"/>
      <c r="C479" s="40"/>
      <c r="D479" s="40"/>
      <c r="E479" s="40"/>
      <c r="F479" s="40"/>
      <c r="G479" s="40"/>
      <c r="H479" s="40"/>
      <c r="I479" s="40"/>
      <c r="J479" s="40"/>
      <c r="K479" s="40"/>
      <c r="L479" s="40"/>
      <c r="M479" s="40"/>
      <c r="N479" s="40"/>
      <c r="O479" s="40"/>
      <c r="P479" s="40"/>
      <c r="Q479" s="40"/>
      <c r="R479" s="40"/>
      <c r="S479" s="40"/>
      <c r="T479" s="40"/>
      <c r="U479" s="40"/>
      <c r="V479" s="40"/>
      <c r="W479" s="40"/>
      <c r="X479" s="40"/>
      <c r="Y479" s="40"/>
      <c r="Z479" s="40"/>
      <c r="AA479" s="40"/>
      <c r="AB479" s="40"/>
      <c r="AC479" s="40"/>
      <c r="AD479" s="40"/>
      <c r="AE479" s="40"/>
      <c r="AF479" s="40"/>
      <c r="AG479" s="40"/>
      <c r="AH479" s="40"/>
      <c r="AI479" s="40"/>
      <c r="AJ479" s="40"/>
      <c r="AK479" s="40"/>
      <c r="AL479" s="40"/>
      <c r="AM479" s="40"/>
      <c r="AN479" s="40"/>
      <c r="AO479" s="40"/>
      <c r="AP479" s="40"/>
      <c r="AQ479" s="40"/>
      <c r="AR479" s="40"/>
      <c r="AS479" s="40"/>
      <c r="AT479" s="40"/>
      <c r="AU479" s="40"/>
      <c r="AV479" s="40"/>
      <c r="AW479" s="40"/>
      <c r="AX479" s="40"/>
      <c r="AY479" s="40"/>
      <c r="AZ479" s="40"/>
      <c r="BA479" s="40"/>
      <c r="BB479" s="40"/>
      <c r="BC479" s="40"/>
      <c r="BD479" s="40"/>
      <c r="BE479" s="40"/>
      <c r="BF479" s="40"/>
      <c r="BG479" s="40"/>
      <c r="BH479" s="40"/>
      <c r="BI479" s="40"/>
      <c r="BJ479" s="40"/>
      <c r="BK479" s="40"/>
      <c r="BL479" s="40"/>
      <c r="BM479" s="40"/>
      <c r="BN479" s="40"/>
      <c r="BO479" s="40"/>
      <c r="BP479" s="40"/>
      <c r="BQ479" s="40"/>
      <c r="BR479" s="40"/>
      <c r="BS479" s="40"/>
      <c r="BT479" s="40"/>
      <c r="BU479" s="40"/>
      <c r="BV479" s="40"/>
      <c r="BW479" s="40"/>
      <c r="BX479" s="40"/>
      <c r="BY479" s="40"/>
      <c r="BZ479" s="40"/>
      <c r="CA479" s="40"/>
      <c r="CB479" s="40"/>
      <c r="CC479" s="40"/>
      <c r="CD479" s="40"/>
      <c r="CE479" s="40"/>
      <c r="CF479" s="40"/>
      <c r="CG479" s="40"/>
      <c r="CH479" s="40"/>
      <c r="CI479" s="40"/>
      <c r="CJ479" s="40"/>
      <c r="CK479" s="40"/>
      <c r="CL479" s="40"/>
    </row>
    <row r="480" spans="1:90" x14ac:dyDescent="0.25">
      <c r="A480" s="40"/>
      <c r="B480" s="40"/>
      <c r="C480" s="40"/>
      <c r="D480" s="40"/>
      <c r="E480" s="40"/>
      <c r="F480" s="40"/>
      <c r="G480" s="40"/>
      <c r="H480" s="40"/>
      <c r="I480" s="40"/>
      <c r="J480" s="40"/>
      <c r="K480" s="40"/>
      <c r="L480" s="40"/>
      <c r="M480" s="40"/>
      <c r="N480" s="40"/>
      <c r="O480" s="40"/>
      <c r="P480" s="40"/>
      <c r="Q480" s="40"/>
      <c r="R480" s="40"/>
      <c r="S480" s="40"/>
      <c r="T480" s="40"/>
      <c r="U480" s="40"/>
      <c r="V480" s="40"/>
      <c r="W480" s="40"/>
      <c r="X480" s="40"/>
      <c r="Y480" s="40"/>
      <c r="Z480" s="40"/>
      <c r="AA480" s="40"/>
      <c r="AB480" s="40"/>
      <c r="AC480" s="40"/>
      <c r="AD480" s="40"/>
      <c r="AE480" s="40"/>
      <c r="AF480" s="40"/>
      <c r="AG480" s="40"/>
      <c r="AH480" s="40"/>
      <c r="AI480" s="40"/>
      <c r="AJ480" s="40"/>
      <c r="AK480" s="40"/>
      <c r="AL480" s="40"/>
      <c r="AM480" s="40"/>
      <c r="AN480" s="40"/>
      <c r="AO480" s="40"/>
      <c r="AP480" s="40"/>
      <c r="AQ480" s="40"/>
      <c r="AR480" s="40"/>
      <c r="AS480" s="40"/>
      <c r="AT480" s="40"/>
      <c r="AU480" s="40"/>
      <c r="AV480" s="40"/>
      <c r="AW480" s="40"/>
      <c r="AX480" s="40"/>
      <c r="AY480" s="40"/>
      <c r="AZ480" s="40"/>
      <c r="BA480" s="40"/>
      <c r="BB480" s="40"/>
      <c r="BC480" s="40"/>
      <c r="BD480" s="40"/>
      <c r="BE480" s="40"/>
      <c r="BF480" s="40"/>
      <c r="BG480" s="40"/>
      <c r="BH480" s="40"/>
      <c r="BI480" s="40"/>
      <c r="BJ480" s="40"/>
      <c r="BK480" s="40"/>
      <c r="BL480" s="40"/>
      <c r="BM480" s="40"/>
      <c r="BN480" s="40"/>
      <c r="BO480" s="40"/>
      <c r="BP480" s="40"/>
      <c r="BQ480" s="40"/>
      <c r="BR480" s="40"/>
      <c r="BS480" s="40"/>
      <c r="BT480" s="40"/>
      <c r="BU480" s="40"/>
      <c r="BV480" s="40"/>
      <c r="BW480" s="40"/>
      <c r="BX480" s="40"/>
      <c r="BY480" s="40"/>
      <c r="BZ480" s="40"/>
      <c r="CA480" s="40"/>
      <c r="CB480" s="40"/>
      <c r="CC480" s="40"/>
      <c r="CD480" s="40"/>
      <c r="CE480" s="40"/>
      <c r="CF480" s="40"/>
      <c r="CG480" s="40"/>
      <c r="CH480" s="40"/>
      <c r="CI480" s="40"/>
      <c r="CJ480" s="40"/>
      <c r="CK480" s="40"/>
      <c r="CL480" s="40"/>
    </row>
    <row r="481" spans="1:90" x14ac:dyDescent="0.25">
      <c r="A481" s="40"/>
      <c r="B481" s="40"/>
      <c r="C481" s="40"/>
      <c r="D481" s="40"/>
      <c r="E481" s="40"/>
      <c r="F481" s="40"/>
      <c r="G481" s="40"/>
      <c r="H481" s="40"/>
      <c r="I481" s="40"/>
      <c r="J481" s="40"/>
      <c r="K481" s="40"/>
      <c r="L481" s="40"/>
      <c r="M481" s="40"/>
      <c r="N481" s="40"/>
      <c r="O481" s="40"/>
      <c r="P481" s="40"/>
      <c r="Q481" s="40"/>
      <c r="R481" s="40"/>
      <c r="S481" s="40"/>
      <c r="T481" s="40"/>
      <c r="U481" s="40"/>
      <c r="V481" s="40"/>
      <c r="W481" s="40"/>
      <c r="X481" s="40"/>
      <c r="Y481" s="40"/>
      <c r="Z481" s="40"/>
      <c r="AA481" s="40"/>
      <c r="AB481" s="40"/>
      <c r="AC481" s="40"/>
      <c r="AD481" s="40"/>
      <c r="AE481" s="40"/>
      <c r="AF481" s="40"/>
      <c r="AG481" s="40"/>
      <c r="AH481" s="40"/>
      <c r="AI481" s="40"/>
      <c r="AJ481" s="40"/>
      <c r="AK481" s="40"/>
      <c r="AL481" s="40"/>
      <c r="AM481" s="40"/>
      <c r="AN481" s="40"/>
      <c r="AO481" s="40"/>
      <c r="AP481" s="40"/>
      <c r="AQ481" s="40"/>
      <c r="AR481" s="40"/>
      <c r="AS481" s="40"/>
      <c r="AT481" s="40"/>
      <c r="AU481" s="40"/>
      <c r="AV481" s="40"/>
      <c r="AW481" s="40"/>
      <c r="AX481" s="40"/>
      <c r="AY481" s="40"/>
      <c r="AZ481" s="40"/>
      <c r="BA481" s="40"/>
      <c r="BB481" s="40"/>
      <c r="BC481" s="40"/>
      <c r="BD481" s="40"/>
      <c r="BE481" s="40"/>
      <c r="BF481" s="40"/>
      <c r="BG481" s="40"/>
      <c r="BH481" s="40"/>
      <c r="BI481" s="40"/>
      <c r="BJ481" s="40"/>
      <c r="BK481" s="40"/>
      <c r="BL481" s="40"/>
      <c r="BM481" s="40"/>
      <c r="BN481" s="40"/>
      <c r="BO481" s="40"/>
      <c r="BP481" s="40"/>
      <c r="BQ481" s="40"/>
      <c r="BR481" s="40"/>
      <c r="BS481" s="40"/>
      <c r="BT481" s="40"/>
      <c r="BU481" s="40"/>
      <c r="BV481" s="40"/>
      <c r="BW481" s="40"/>
      <c r="BX481" s="40"/>
      <c r="BY481" s="40"/>
      <c r="BZ481" s="40"/>
      <c r="CA481" s="40"/>
      <c r="CB481" s="40"/>
      <c r="CC481" s="40"/>
      <c r="CD481" s="40"/>
      <c r="CE481" s="40"/>
      <c r="CF481" s="40"/>
      <c r="CG481" s="40"/>
      <c r="CH481" s="40"/>
      <c r="CI481" s="40"/>
      <c r="CJ481" s="40"/>
      <c r="CK481" s="40"/>
      <c r="CL481" s="40"/>
    </row>
    <row r="482" spans="1:90" x14ac:dyDescent="0.25">
      <c r="A482" s="40"/>
      <c r="B482" s="40"/>
      <c r="C482" s="40"/>
      <c r="D482" s="40"/>
      <c r="E482" s="40"/>
      <c r="F482" s="40"/>
      <c r="G482" s="40"/>
      <c r="H482" s="40"/>
      <c r="I482" s="40"/>
      <c r="J482" s="40"/>
      <c r="K482" s="40"/>
      <c r="L482" s="40"/>
      <c r="M482" s="40"/>
      <c r="N482" s="40"/>
      <c r="O482" s="40"/>
      <c r="P482" s="40"/>
      <c r="Q482" s="40"/>
      <c r="R482" s="40"/>
      <c r="S482" s="40"/>
      <c r="T482" s="40"/>
      <c r="U482" s="40"/>
      <c r="V482" s="40"/>
      <c r="W482" s="40"/>
      <c r="X482" s="40"/>
      <c r="Y482" s="40"/>
      <c r="Z482" s="40"/>
      <c r="AA482" s="40"/>
      <c r="AB482" s="40"/>
      <c r="AC482" s="40"/>
      <c r="AD482" s="40"/>
      <c r="AE482" s="40"/>
      <c r="AF482" s="40"/>
      <c r="AG482" s="40"/>
      <c r="AH482" s="40"/>
      <c r="AI482" s="40"/>
      <c r="AJ482" s="40"/>
      <c r="AK482" s="40"/>
      <c r="AL482" s="40"/>
      <c r="AM482" s="40"/>
      <c r="AN482" s="40"/>
      <c r="AO482" s="40"/>
      <c r="AP482" s="40"/>
      <c r="AQ482" s="40"/>
      <c r="AR482" s="40"/>
      <c r="AS482" s="40"/>
      <c r="AT482" s="40"/>
      <c r="AU482" s="40"/>
      <c r="AV482" s="40"/>
      <c r="AW482" s="40"/>
      <c r="AX482" s="40"/>
      <c r="AY482" s="40"/>
      <c r="AZ482" s="40"/>
      <c r="BA482" s="40"/>
      <c r="BB482" s="40"/>
      <c r="BC482" s="40"/>
      <c r="BD482" s="40"/>
      <c r="BE482" s="40"/>
      <c r="BF482" s="40"/>
      <c r="BG482" s="40"/>
      <c r="BH482" s="40"/>
      <c r="BI482" s="40"/>
      <c r="BJ482" s="40"/>
      <c r="BK482" s="40"/>
      <c r="BL482" s="40"/>
      <c r="BM482" s="40"/>
      <c r="BN482" s="40"/>
      <c r="BO482" s="40"/>
      <c r="BP482" s="40"/>
      <c r="BQ482" s="40"/>
      <c r="BR482" s="40"/>
      <c r="BS482" s="40"/>
      <c r="BT482" s="40"/>
      <c r="BU482" s="40"/>
      <c r="BV482" s="40"/>
      <c r="BW482" s="40"/>
      <c r="BX482" s="40"/>
      <c r="BY482" s="40"/>
      <c r="BZ482" s="40"/>
      <c r="CA482" s="40"/>
      <c r="CB482" s="40"/>
      <c r="CC482" s="40"/>
      <c r="CD482" s="40"/>
      <c r="CE482" s="40"/>
      <c r="CF482" s="40"/>
      <c r="CG482" s="40"/>
      <c r="CH482" s="40"/>
      <c r="CI482" s="40"/>
      <c r="CJ482" s="40"/>
      <c r="CK482" s="40"/>
      <c r="CL482" s="40"/>
    </row>
    <row r="483" spans="1:90" x14ac:dyDescent="0.25">
      <c r="A483" s="40"/>
      <c r="B483" s="40"/>
      <c r="C483" s="40"/>
      <c r="D483" s="40"/>
      <c r="E483" s="40"/>
      <c r="F483" s="40"/>
      <c r="G483" s="40"/>
      <c r="H483" s="40"/>
      <c r="I483" s="40"/>
      <c r="J483" s="40"/>
      <c r="K483" s="40"/>
      <c r="L483" s="40"/>
      <c r="M483" s="40"/>
      <c r="N483" s="40"/>
      <c r="O483" s="40"/>
      <c r="P483" s="40"/>
      <c r="Q483" s="40"/>
      <c r="R483" s="40"/>
      <c r="S483" s="40"/>
      <c r="T483" s="40"/>
      <c r="U483" s="40"/>
      <c r="V483" s="40"/>
      <c r="W483" s="40"/>
      <c r="X483" s="40"/>
      <c r="Y483" s="40"/>
      <c r="Z483" s="40"/>
      <c r="AA483" s="40"/>
      <c r="AB483" s="40"/>
      <c r="AC483" s="40"/>
      <c r="AD483" s="40"/>
      <c r="AE483" s="40"/>
      <c r="AF483" s="40"/>
      <c r="AG483" s="40"/>
      <c r="AH483" s="40"/>
      <c r="AI483" s="40"/>
      <c r="AJ483" s="40"/>
      <c r="AK483" s="40"/>
      <c r="AL483" s="40"/>
      <c r="AM483" s="40"/>
      <c r="AN483" s="40"/>
      <c r="AO483" s="40"/>
      <c r="AP483" s="40"/>
      <c r="AQ483" s="40"/>
      <c r="AR483" s="40"/>
      <c r="AS483" s="40"/>
      <c r="AT483" s="40"/>
      <c r="AU483" s="40"/>
      <c r="AV483" s="40"/>
      <c r="AW483" s="40"/>
      <c r="AX483" s="40"/>
      <c r="AY483" s="40"/>
      <c r="AZ483" s="40"/>
      <c r="BA483" s="40"/>
      <c r="BB483" s="40"/>
      <c r="BC483" s="40"/>
      <c r="BD483" s="40"/>
      <c r="BE483" s="40"/>
      <c r="BF483" s="40"/>
      <c r="BG483" s="40"/>
      <c r="BH483" s="40"/>
      <c r="BI483" s="40"/>
      <c r="BJ483" s="40"/>
      <c r="BK483" s="40"/>
      <c r="BL483" s="40"/>
      <c r="BM483" s="40"/>
      <c r="BN483" s="40"/>
      <c r="BO483" s="40"/>
      <c r="BP483" s="40"/>
      <c r="BQ483" s="40"/>
      <c r="BR483" s="40"/>
      <c r="BS483" s="40"/>
      <c r="BT483" s="40"/>
      <c r="BU483" s="40"/>
      <c r="BV483" s="40"/>
      <c r="BW483" s="40"/>
      <c r="BX483" s="40"/>
      <c r="BY483" s="40"/>
      <c r="BZ483" s="40"/>
      <c r="CA483" s="40"/>
      <c r="CB483" s="40"/>
      <c r="CC483" s="40"/>
      <c r="CD483" s="40"/>
      <c r="CE483" s="40"/>
      <c r="CF483" s="40"/>
      <c r="CG483" s="40"/>
      <c r="CH483" s="40"/>
      <c r="CI483" s="40"/>
      <c r="CJ483" s="40"/>
      <c r="CK483" s="40"/>
      <c r="CL483" s="40"/>
    </row>
    <row r="484" spans="1:90" x14ac:dyDescent="0.25">
      <c r="A484" s="40"/>
      <c r="B484" s="40"/>
      <c r="C484" s="40"/>
      <c r="D484" s="40"/>
      <c r="E484" s="40"/>
      <c r="F484" s="40"/>
      <c r="G484" s="40"/>
      <c r="H484" s="40"/>
      <c r="I484" s="40"/>
      <c r="J484" s="40"/>
      <c r="K484" s="40"/>
      <c r="L484" s="40"/>
      <c r="M484" s="40"/>
      <c r="N484" s="40"/>
      <c r="O484" s="40"/>
      <c r="P484" s="40"/>
      <c r="Q484" s="40"/>
      <c r="R484" s="40"/>
      <c r="S484" s="40"/>
      <c r="T484" s="40"/>
      <c r="U484" s="40"/>
      <c r="V484" s="40"/>
      <c r="W484" s="40"/>
      <c r="X484" s="40"/>
      <c r="Y484" s="40"/>
      <c r="Z484" s="40"/>
      <c r="AA484" s="40"/>
      <c r="AB484" s="40"/>
      <c r="AC484" s="40"/>
      <c r="AD484" s="40"/>
      <c r="AE484" s="40"/>
      <c r="AF484" s="40"/>
      <c r="AG484" s="40"/>
      <c r="AH484" s="40"/>
      <c r="AI484" s="40"/>
      <c r="AJ484" s="40"/>
      <c r="AK484" s="40"/>
      <c r="AL484" s="40"/>
      <c r="AM484" s="40"/>
      <c r="AN484" s="40"/>
      <c r="AO484" s="40"/>
      <c r="AP484" s="40"/>
      <c r="AQ484" s="40"/>
      <c r="AR484" s="40"/>
      <c r="AS484" s="40"/>
      <c r="AT484" s="40"/>
      <c r="AU484" s="40"/>
      <c r="AV484" s="40"/>
      <c r="AW484" s="40"/>
      <c r="AX484" s="40"/>
      <c r="AY484" s="40"/>
      <c r="AZ484" s="40"/>
      <c r="BA484" s="40"/>
      <c r="BB484" s="40"/>
      <c r="BC484" s="40"/>
      <c r="BD484" s="40"/>
      <c r="BE484" s="40"/>
      <c r="BF484" s="40"/>
      <c r="BG484" s="40"/>
      <c r="BH484" s="40"/>
      <c r="BI484" s="40"/>
      <c r="BJ484" s="40"/>
      <c r="BK484" s="40"/>
      <c r="BL484" s="40"/>
      <c r="BM484" s="40"/>
      <c r="BN484" s="40"/>
      <c r="BO484" s="40"/>
      <c r="BP484" s="40"/>
      <c r="BQ484" s="40"/>
      <c r="BR484" s="40"/>
      <c r="BS484" s="40"/>
      <c r="BT484" s="40"/>
      <c r="BU484" s="40"/>
      <c r="BV484" s="40"/>
      <c r="BW484" s="40"/>
      <c r="BX484" s="40"/>
      <c r="BY484" s="40"/>
      <c r="BZ484" s="40"/>
      <c r="CA484" s="40"/>
      <c r="CB484" s="40"/>
      <c r="CC484" s="40"/>
      <c r="CD484" s="40"/>
      <c r="CE484" s="40"/>
      <c r="CF484" s="40"/>
      <c r="CG484" s="40"/>
      <c r="CH484" s="40"/>
      <c r="CI484" s="40"/>
      <c r="CJ484" s="40"/>
      <c r="CK484" s="40"/>
      <c r="CL484" s="40"/>
    </row>
    <row r="485" spans="1:90" x14ac:dyDescent="0.25">
      <c r="A485" s="40"/>
      <c r="B485" s="40"/>
      <c r="C485" s="40"/>
      <c r="D485" s="40"/>
      <c r="E485" s="40"/>
      <c r="F485" s="40"/>
      <c r="G485" s="40"/>
      <c r="H485" s="40"/>
      <c r="I485" s="40"/>
      <c r="J485" s="40"/>
      <c r="K485" s="40"/>
      <c r="L485" s="40"/>
      <c r="M485" s="40"/>
      <c r="N485" s="40"/>
      <c r="O485" s="40"/>
      <c r="P485" s="40"/>
      <c r="Q485" s="40"/>
      <c r="R485" s="40"/>
      <c r="S485" s="40"/>
      <c r="T485" s="40"/>
      <c r="U485" s="40"/>
      <c r="V485" s="40"/>
      <c r="W485" s="40"/>
      <c r="X485" s="40"/>
      <c r="Y485" s="40"/>
      <c r="Z485" s="40"/>
      <c r="AA485" s="40"/>
      <c r="AB485" s="40"/>
      <c r="AC485" s="40"/>
      <c r="AD485" s="40"/>
      <c r="AE485" s="40"/>
      <c r="AF485" s="40"/>
      <c r="AG485" s="40"/>
      <c r="AH485" s="40"/>
      <c r="AI485" s="40"/>
      <c r="AJ485" s="40"/>
      <c r="AK485" s="40"/>
      <c r="AL485" s="40"/>
      <c r="AM485" s="40"/>
      <c r="AN485" s="40"/>
      <c r="AO485" s="40"/>
      <c r="AP485" s="40"/>
      <c r="AQ485" s="40"/>
      <c r="AR485" s="40"/>
      <c r="AS485" s="40"/>
      <c r="AT485" s="40"/>
      <c r="AU485" s="40"/>
      <c r="AV485" s="40"/>
      <c r="AW485" s="40"/>
      <c r="AX485" s="40"/>
      <c r="AY485" s="40"/>
      <c r="AZ485" s="40"/>
      <c r="BA485" s="40"/>
      <c r="BB485" s="40"/>
      <c r="BC485" s="40"/>
      <c r="BD485" s="40"/>
      <c r="BE485" s="40"/>
      <c r="BF485" s="40"/>
      <c r="BG485" s="40"/>
      <c r="BH485" s="40"/>
      <c r="BI485" s="40"/>
      <c r="BJ485" s="40"/>
      <c r="BK485" s="40"/>
      <c r="BL485" s="40"/>
      <c r="BM485" s="40"/>
      <c r="BN485" s="40"/>
      <c r="BO485" s="40"/>
      <c r="BP485" s="40"/>
      <c r="BQ485" s="40"/>
      <c r="BR485" s="40"/>
      <c r="BS485" s="40"/>
      <c r="BT485" s="40"/>
      <c r="BU485" s="40"/>
      <c r="BV485" s="40"/>
      <c r="BW485" s="40"/>
      <c r="BX485" s="40"/>
      <c r="BY485" s="40"/>
      <c r="BZ485" s="40"/>
      <c r="CA485" s="40"/>
      <c r="CB485" s="40"/>
      <c r="CC485" s="40"/>
      <c r="CD485" s="40"/>
      <c r="CE485" s="40"/>
      <c r="CF485" s="40"/>
      <c r="CG485" s="40"/>
      <c r="CH485" s="40"/>
      <c r="CI485" s="40"/>
      <c r="CJ485" s="40"/>
      <c r="CK485" s="40"/>
      <c r="CL485" s="40"/>
    </row>
    <row r="486" spans="1:90" x14ac:dyDescent="0.25">
      <c r="A486" s="40"/>
      <c r="B486" s="40"/>
      <c r="C486" s="40"/>
      <c r="D486" s="40"/>
      <c r="E486" s="40"/>
      <c r="F486" s="40"/>
      <c r="G486" s="40"/>
      <c r="H486" s="40"/>
      <c r="I486" s="40"/>
      <c r="J486" s="40"/>
      <c r="K486" s="40"/>
      <c r="L486" s="40"/>
      <c r="M486" s="40"/>
      <c r="N486" s="40"/>
      <c r="O486" s="40"/>
      <c r="P486" s="40"/>
      <c r="Q486" s="40"/>
      <c r="R486" s="40"/>
      <c r="S486" s="40"/>
      <c r="T486" s="40"/>
      <c r="U486" s="40"/>
      <c r="V486" s="40"/>
      <c r="W486" s="40"/>
      <c r="X486" s="40"/>
      <c r="Y486" s="40"/>
      <c r="Z486" s="40"/>
      <c r="AA486" s="40"/>
      <c r="AB486" s="40"/>
      <c r="AC486" s="40"/>
      <c r="AD486" s="40"/>
      <c r="AE486" s="40"/>
      <c r="AF486" s="40"/>
      <c r="AG486" s="40"/>
      <c r="AH486" s="40"/>
      <c r="AI486" s="40"/>
      <c r="AJ486" s="40"/>
      <c r="AK486" s="40"/>
      <c r="AL486" s="40"/>
      <c r="AM486" s="40"/>
      <c r="AN486" s="40"/>
      <c r="AO486" s="40"/>
      <c r="AP486" s="40"/>
      <c r="AQ486" s="40"/>
      <c r="AR486" s="40"/>
      <c r="AS486" s="40"/>
      <c r="AT486" s="40"/>
      <c r="AU486" s="40"/>
      <c r="AV486" s="40"/>
      <c r="AW486" s="40"/>
      <c r="AX486" s="40"/>
      <c r="AY486" s="40"/>
      <c r="AZ486" s="40"/>
      <c r="BA486" s="40"/>
      <c r="BB486" s="40"/>
      <c r="BC486" s="40"/>
      <c r="BD486" s="40"/>
      <c r="BE486" s="40"/>
      <c r="BF486" s="40"/>
      <c r="BG486" s="40"/>
      <c r="BH486" s="40"/>
      <c r="BI486" s="40"/>
      <c r="BJ486" s="40"/>
      <c r="BK486" s="40"/>
      <c r="BL486" s="40"/>
      <c r="BM486" s="40"/>
      <c r="BN486" s="40"/>
      <c r="BO486" s="40"/>
      <c r="BP486" s="40"/>
      <c r="BQ486" s="40"/>
      <c r="BR486" s="40"/>
      <c r="BS486" s="40"/>
      <c r="BT486" s="40"/>
      <c r="BU486" s="40"/>
      <c r="BV486" s="40"/>
      <c r="BW486" s="40"/>
      <c r="BX486" s="40"/>
      <c r="BY486" s="40"/>
      <c r="BZ486" s="40"/>
      <c r="CA486" s="40"/>
      <c r="CB486" s="40"/>
      <c r="CC486" s="40"/>
      <c r="CD486" s="40"/>
      <c r="CE486" s="40"/>
      <c r="CF486" s="40"/>
      <c r="CG486" s="40"/>
      <c r="CH486" s="40"/>
      <c r="CI486" s="40"/>
      <c r="CJ486" s="40"/>
      <c r="CK486" s="40"/>
      <c r="CL486" s="40"/>
    </row>
    <row r="487" spans="1:90" x14ac:dyDescent="0.25">
      <c r="A487" s="40"/>
      <c r="B487" s="40"/>
      <c r="C487" s="40"/>
      <c r="D487" s="40"/>
      <c r="E487" s="40"/>
      <c r="F487" s="40"/>
      <c r="G487" s="40"/>
      <c r="H487" s="40"/>
      <c r="I487" s="40"/>
      <c r="J487" s="40"/>
      <c r="K487" s="40"/>
      <c r="L487" s="40"/>
      <c r="M487" s="40"/>
      <c r="N487" s="40"/>
      <c r="O487" s="40"/>
      <c r="P487" s="40"/>
      <c r="Q487" s="40"/>
      <c r="R487" s="40"/>
      <c r="S487" s="40"/>
      <c r="T487" s="40"/>
      <c r="U487" s="40"/>
      <c r="V487" s="40"/>
      <c r="W487" s="40"/>
      <c r="X487" s="40"/>
      <c r="Y487" s="40"/>
      <c r="Z487" s="40"/>
      <c r="AA487" s="40"/>
      <c r="AB487" s="40"/>
      <c r="AC487" s="40"/>
      <c r="AD487" s="40"/>
      <c r="AE487" s="40"/>
      <c r="AF487" s="40"/>
      <c r="AG487" s="40"/>
      <c r="AH487" s="40"/>
      <c r="AI487" s="40"/>
      <c r="AJ487" s="40"/>
      <c r="AK487" s="40"/>
      <c r="AL487" s="40"/>
      <c r="AM487" s="40"/>
      <c r="AN487" s="40"/>
      <c r="AO487" s="40"/>
      <c r="AP487" s="40"/>
      <c r="AQ487" s="40"/>
      <c r="AR487" s="40"/>
      <c r="AS487" s="40"/>
      <c r="AT487" s="40"/>
      <c r="AU487" s="40"/>
      <c r="AV487" s="40"/>
      <c r="AW487" s="40"/>
      <c r="AX487" s="40"/>
      <c r="AY487" s="40"/>
      <c r="AZ487" s="40"/>
      <c r="BA487" s="40"/>
      <c r="BB487" s="40"/>
      <c r="BC487" s="40"/>
      <c r="BD487" s="40"/>
      <c r="BE487" s="40"/>
      <c r="BF487" s="40"/>
      <c r="BG487" s="40"/>
      <c r="BH487" s="40"/>
      <c r="BI487" s="40"/>
      <c r="BJ487" s="40"/>
      <c r="BK487" s="40"/>
      <c r="BL487" s="40"/>
      <c r="BM487" s="40"/>
      <c r="BN487" s="40"/>
      <c r="BO487" s="40"/>
      <c r="BP487" s="40"/>
      <c r="BQ487" s="40"/>
      <c r="BR487" s="40"/>
      <c r="BS487" s="40"/>
      <c r="BT487" s="40"/>
      <c r="BU487" s="40"/>
      <c r="BV487" s="40"/>
      <c r="BW487" s="40"/>
      <c r="BX487" s="40"/>
      <c r="BY487" s="40"/>
      <c r="BZ487" s="40"/>
      <c r="CA487" s="40"/>
      <c r="CB487" s="40"/>
      <c r="CC487" s="40"/>
      <c r="CD487" s="40"/>
      <c r="CE487" s="40"/>
      <c r="CF487" s="40"/>
      <c r="CG487" s="40"/>
      <c r="CH487" s="40"/>
      <c r="CI487" s="40"/>
      <c r="CJ487" s="40"/>
      <c r="CK487" s="40"/>
      <c r="CL487" s="40"/>
    </row>
    <row r="488" spans="1:90" x14ac:dyDescent="0.25">
      <c r="A488" s="40"/>
      <c r="B488" s="40"/>
      <c r="C488" s="40"/>
      <c r="D488" s="40"/>
      <c r="E488" s="40"/>
      <c r="F488" s="40"/>
      <c r="G488" s="40"/>
      <c r="H488" s="40"/>
      <c r="I488" s="40"/>
      <c r="J488" s="40"/>
      <c r="K488" s="40"/>
      <c r="L488" s="40"/>
      <c r="M488" s="40"/>
      <c r="N488" s="40"/>
      <c r="O488" s="40"/>
      <c r="P488" s="40"/>
      <c r="Q488" s="40"/>
      <c r="R488" s="40"/>
      <c r="S488" s="40"/>
      <c r="T488" s="40"/>
      <c r="U488" s="40"/>
      <c r="V488" s="40"/>
      <c r="W488" s="40"/>
      <c r="X488" s="40"/>
      <c r="Y488" s="40"/>
      <c r="Z488" s="40"/>
      <c r="AA488" s="40"/>
      <c r="AB488" s="40"/>
      <c r="AC488" s="40"/>
      <c r="AD488" s="40"/>
      <c r="AE488" s="40"/>
      <c r="AF488" s="40"/>
      <c r="AG488" s="40"/>
      <c r="AH488" s="40"/>
      <c r="AI488" s="40"/>
      <c r="AJ488" s="40"/>
      <c r="AK488" s="40"/>
      <c r="AL488" s="40"/>
      <c r="AM488" s="40"/>
      <c r="AN488" s="40"/>
      <c r="AO488" s="40"/>
      <c r="AP488" s="40"/>
      <c r="AQ488" s="40"/>
      <c r="AR488" s="40"/>
      <c r="AS488" s="40"/>
      <c r="AT488" s="40"/>
      <c r="AU488" s="40"/>
      <c r="AV488" s="40"/>
      <c r="AW488" s="40"/>
      <c r="AX488" s="40"/>
      <c r="AY488" s="40"/>
      <c r="AZ488" s="40"/>
      <c r="BA488" s="40"/>
      <c r="BB488" s="40"/>
      <c r="BC488" s="40"/>
      <c r="BD488" s="40"/>
      <c r="BE488" s="40"/>
      <c r="BF488" s="40"/>
      <c r="BG488" s="40"/>
      <c r="BH488" s="40"/>
      <c r="BI488" s="40"/>
      <c r="BJ488" s="40"/>
      <c r="BK488" s="40"/>
      <c r="BL488" s="40"/>
      <c r="BM488" s="40"/>
      <c r="BN488" s="40"/>
      <c r="BO488" s="40"/>
      <c r="BP488" s="40"/>
      <c r="BQ488" s="40"/>
      <c r="BR488" s="40"/>
      <c r="BS488" s="40"/>
      <c r="BT488" s="40"/>
      <c r="BU488" s="40"/>
      <c r="BV488" s="40"/>
      <c r="BW488" s="40"/>
      <c r="BX488" s="40"/>
      <c r="BY488" s="40"/>
      <c r="BZ488" s="40"/>
      <c r="CA488" s="40"/>
      <c r="CB488" s="40"/>
      <c r="CC488" s="40"/>
      <c r="CD488" s="40"/>
      <c r="CE488" s="40"/>
      <c r="CF488" s="40"/>
      <c r="CG488" s="40"/>
      <c r="CH488" s="40"/>
      <c r="CI488" s="40"/>
      <c r="CJ488" s="40"/>
      <c r="CK488" s="40"/>
      <c r="CL488" s="40"/>
    </row>
  </sheetData>
  <mergeCells count="1">
    <mergeCell ref="F7:P16"/>
  </mergeCells>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5544A8-E637-4972-B4C1-3A2B615313FB}">
  <dimension ref="A1:N222"/>
  <sheetViews>
    <sheetView workbookViewId="0"/>
  </sheetViews>
  <sheetFormatPr defaultRowHeight="15" x14ac:dyDescent="0.25"/>
  <cols>
    <col min="1" max="1" width="42.28515625" customWidth="1"/>
    <col min="2" max="2" width="12.140625" customWidth="1"/>
    <col min="3" max="3" width="18.5703125" customWidth="1"/>
    <col min="4" max="8" width="11.140625" customWidth="1"/>
    <col min="9" max="9" width="18.85546875" customWidth="1"/>
    <col min="10" max="10" width="27.42578125" customWidth="1"/>
    <col min="11" max="11" width="24.28515625" style="27" customWidth="1"/>
    <col min="12" max="13" width="24.28515625" style="1" customWidth="1"/>
    <col min="14" max="14" width="35.28515625" style="27" customWidth="1"/>
  </cols>
  <sheetData>
    <row r="1" spans="1:14" x14ac:dyDescent="0.25">
      <c r="A1" s="19"/>
      <c r="B1" s="19"/>
      <c r="C1" s="19"/>
      <c r="D1" s="46" t="s">
        <v>3</v>
      </c>
      <c r="E1" s="46"/>
      <c r="F1" s="46"/>
      <c r="G1" s="46"/>
      <c r="H1" s="46"/>
      <c r="I1" s="19"/>
      <c r="J1" s="19"/>
      <c r="K1" s="25"/>
      <c r="L1" s="20"/>
      <c r="M1" s="20"/>
      <c r="N1" s="25"/>
    </row>
    <row r="2" spans="1:14" ht="30" x14ac:dyDescent="0.25">
      <c r="A2" s="21" t="s">
        <v>4</v>
      </c>
      <c r="B2" s="42" t="s">
        <v>5</v>
      </c>
      <c r="C2" s="19" t="s">
        <v>6</v>
      </c>
      <c r="D2" s="19" t="s">
        <v>7</v>
      </c>
      <c r="E2" s="19" t="s">
        <v>8</v>
      </c>
      <c r="F2" s="19" t="s">
        <v>9</v>
      </c>
      <c r="G2" s="19" t="s">
        <v>10</v>
      </c>
      <c r="H2" s="19" t="s">
        <v>11</v>
      </c>
      <c r="I2" s="19" t="s">
        <v>12</v>
      </c>
      <c r="J2" s="19" t="s">
        <v>13</v>
      </c>
      <c r="K2" s="26" t="s">
        <v>14</v>
      </c>
      <c r="L2" s="22" t="s">
        <v>15</v>
      </c>
      <c r="M2" s="22" t="s">
        <v>16</v>
      </c>
      <c r="N2" s="26" t="s">
        <v>17</v>
      </c>
    </row>
    <row r="3" spans="1:14" ht="16.5" customHeight="1" x14ac:dyDescent="0.25">
      <c r="A3" s="51" t="s">
        <v>18</v>
      </c>
      <c r="B3" s="28">
        <v>3</v>
      </c>
      <c r="C3" s="4" t="s">
        <v>19</v>
      </c>
      <c r="D3" s="18" t="s">
        <v>20</v>
      </c>
      <c r="E3" s="18" t="s">
        <v>20</v>
      </c>
      <c r="F3" s="18" t="s">
        <v>20</v>
      </c>
      <c r="G3" s="18" t="s">
        <v>20</v>
      </c>
      <c r="H3" s="18" t="s">
        <v>20</v>
      </c>
      <c r="I3" s="18" t="s">
        <v>21</v>
      </c>
      <c r="J3" s="18" t="s">
        <v>22</v>
      </c>
      <c r="K3" s="65" t="s">
        <v>22</v>
      </c>
      <c r="L3" s="65" t="s">
        <v>23</v>
      </c>
      <c r="M3" s="69" t="s">
        <v>24</v>
      </c>
      <c r="N3" s="65" t="s">
        <v>25</v>
      </c>
    </row>
    <row r="4" spans="1:14" x14ac:dyDescent="0.25">
      <c r="A4" s="52"/>
      <c r="B4" s="29">
        <v>3</v>
      </c>
      <c r="C4" s="2" t="s">
        <v>26</v>
      </c>
      <c r="D4" s="2" t="s">
        <v>20</v>
      </c>
      <c r="E4" s="2" t="s">
        <v>20</v>
      </c>
      <c r="F4" s="2" t="s">
        <v>20</v>
      </c>
      <c r="G4" s="2" t="s">
        <v>20</v>
      </c>
      <c r="H4" s="2" t="s">
        <v>20</v>
      </c>
      <c r="I4" s="2" t="s">
        <v>21</v>
      </c>
      <c r="J4" s="2" t="s">
        <v>22</v>
      </c>
      <c r="K4" s="65"/>
      <c r="L4" s="65"/>
      <c r="M4" s="70"/>
      <c r="N4" s="65"/>
    </row>
    <row r="5" spans="1:14" x14ac:dyDescent="0.25">
      <c r="A5" s="52"/>
      <c r="B5" s="29">
        <v>3</v>
      </c>
      <c r="C5" s="2" t="s">
        <v>27</v>
      </c>
      <c r="D5" s="2" t="s">
        <v>20</v>
      </c>
      <c r="E5" s="2" t="s">
        <v>20</v>
      </c>
      <c r="F5" s="2" t="s">
        <v>20</v>
      </c>
      <c r="G5" s="2" t="s">
        <v>20</v>
      </c>
      <c r="H5" s="2" t="s">
        <v>20</v>
      </c>
      <c r="I5" s="2" t="s">
        <v>21</v>
      </c>
      <c r="J5" s="2" t="s">
        <v>22</v>
      </c>
      <c r="K5" s="65"/>
      <c r="L5" s="65"/>
      <c r="M5" s="70"/>
      <c r="N5" s="65"/>
    </row>
    <row r="6" spans="1:14" ht="17.25" customHeight="1" x14ac:dyDescent="0.25">
      <c r="A6" s="53"/>
      <c r="B6" s="29">
        <v>3</v>
      </c>
      <c r="C6" s="7" t="s">
        <v>28</v>
      </c>
      <c r="D6" s="7" t="s">
        <v>20</v>
      </c>
      <c r="E6" s="7" t="s">
        <v>20</v>
      </c>
      <c r="F6" s="7" t="s">
        <v>20</v>
      </c>
      <c r="G6" s="7" t="s">
        <v>20</v>
      </c>
      <c r="H6" s="7" t="s">
        <v>20</v>
      </c>
      <c r="I6" s="7" t="s">
        <v>21</v>
      </c>
      <c r="J6" s="7" t="s">
        <v>22</v>
      </c>
      <c r="K6" s="65"/>
      <c r="L6" s="65"/>
      <c r="M6" s="71"/>
      <c r="N6" s="65"/>
    </row>
    <row r="7" spans="1:14" ht="16.5" customHeight="1" x14ac:dyDescent="0.25">
      <c r="A7" s="51" t="s">
        <v>29</v>
      </c>
      <c r="B7" s="2">
        <v>3</v>
      </c>
      <c r="C7" s="4" t="s">
        <v>19</v>
      </c>
      <c r="D7" s="18" t="s">
        <v>30</v>
      </c>
      <c r="E7" s="18" t="s">
        <v>20</v>
      </c>
      <c r="F7" s="18" t="s">
        <v>20</v>
      </c>
      <c r="G7" s="18" t="s">
        <v>20</v>
      </c>
      <c r="H7" s="18" t="s">
        <v>20</v>
      </c>
      <c r="I7" s="18" t="s">
        <v>21</v>
      </c>
      <c r="J7" s="18" t="s">
        <v>22</v>
      </c>
      <c r="K7" s="65" t="s">
        <v>22</v>
      </c>
      <c r="L7" s="65" t="s">
        <v>23</v>
      </c>
      <c r="M7" s="69" t="s">
        <v>24</v>
      </c>
      <c r="N7" s="65" t="s">
        <v>25</v>
      </c>
    </row>
    <row r="8" spans="1:14" x14ac:dyDescent="0.25">
      <c r="A8" s="52"/>
      <c r="B8" s="29">
        <v>3</v>
      </c>
      <c r="C8" s="2" t="s">
        <v>26</v>
      </c>
      <c r="D8" s="2" t="s">
        <v>30</v>
      </c>
      <c r="E8" s="2" t="s">
        <v>30</v>
      </c>
      <c r="F8" s="2" t="s">
        <v>30</v>
      </c>
      <c r="G8" s="2" t="s">
        <v>30</v>
      </c>
      <c r="H8" s="2" t="s">
        <v>20</v>
      </c>
      <c r="I8" s="2" t="s">
        <v>21</v>
      </c>
      <c r="J8" s="2" t="s">
        <v>22</v>
      </c>
      <c r="K8" s="65"/>
      <c r="L8" s="65"/>
      <c r="M8" s="70"/>
      <c r="N8" s="65"/>
    </row>
    <row r="9" spans="1:14" x14ac:dyDescent="0.25">
      <c r="A9" s="52"/>
      <c r="B9" s="29">
        <v>3</v>
      </c>
      <c r="C9" s="2" t="s">
        <v>27</v>
      </c>
      <c r="D9" s="2" t="s">
        <v>30</v>
      </c>
      <c r="E9" s="2" t="s">
        <v>30</v>
      </c>
      <c r="F9" s="2" t="s">
        <v>30</v>
      </c>
      <c r="G9" s="2" t="s">
        <v>30</v>
      </c>
      <c r="H9" s="2" t="s">
        <v>20</v>
      </c>
      <c r="I9" s="2" t="s">
        <v>21</v>
      </c>
      <c r="J9" s="2" t="s">
        <v>22</v>
      </c>
      <c r="K9" s="65"/>
      <c r="L9" s="65"/>
      <c r="M9" s="70"/>
      <c r="N9" s="65"/>
    </row>
    <row r="10" spans="1:14" x14ac:dyDescent="0.25">
      <c r="A10" s="53"/>
      <c r="B10" s="29">
        <v>3</v>
      </c>
      <c r="C10" s="8" t="s">
        <v>28</v>
      </c>
      <c r="D10" s="7" t="s">
        <v>30</v>
      </c>
      <c r="E10" s="32" t="s">
        <v>30</v>
      </c>
      <c r="F10" s="7" t="s">
        <v>30</v>
      </c>
      <c r="G10" s="7" t="s">
        <v>30</v>
      </c>
      <c r="H10" s="7" t="s">
        <v>20</v>
      </c>
      <c r="I10" s="7" t="s">
        <v>21</v>
      </c>
      <c r="J10" s="7" t="s">
        <v>22</v>
      </c>
      <c r="K10" s="65"/>
      <c r="L10" s="65"/>
      <c r="M10" s="71"/>
      <c r="N10" s="65"/>
    </row>
    <row r="11" spans="1:14" ht="16.5" customHeight="1" x14ac:dyDescent="0.25">
      <c r="A11" s="54" t="s">
        <v>31</v>
      </c>
      <c r="B11">
        <v>3</v>
      </c>
      <c r="C11" s="37" t="s">
        <v>19</v>
      </c>
      <c r="D11" s="5" t="s">
        <v>30</v>
      </c>
      <c r="E11" s="5" t="s">
        <v>30</v>
      </c>
      <c r="F11" s="5" t="s">
        <v>30</v>
      </c>
      <c r="G11" s="5" t="s">
        <v>30</v>
      </c>
      <c r="H11" s="5" t="s">
        <v>20</v>
      </c>
      <c r="I11" s="5" t="s">
        <v>32</v>
      </c>
      <c r="J11" s="5" t="s">
        <v>33</v>
      </c>
      <c r="K11" s="66" t="s">
        <v>34</v>
      </c>
      <c r="L11" s="66" t="s">
        <v>23</v>
      </c>
      <c r="M11" s="72" t="s">
        <v>35</v>
      </c>
      <c r="N11" s="66" t="s">
        <v>36</v>
      </c>
    </row>
    <row r="12" spans="1:14" x14ac:dyDescent="0.25">
      <c r="A12" s="24"/>
      <c r="B12" s="6">
        <v>3</v>
      </c>
      <c r="C12" t="s">
        <v>26</v>
      </c>
      <c r="D12" t="s">
        <v>30</v>
      </c>
      <c r="E12" t="s">
        <v>30</v>
      </c>
      <c r="F12" t="s">
        <v>30</v>
      </c>
      <c r="G12" t="s">
        <v>30</v>
      </c>
      <c r="H12" t="s">
        <v>20</v>
      </c>
      <c r="I12" t="s">
        <v>32</v>
      </c>
      <c r="J12" t="s">
        <v>33</v>
      </c>
      <c r="K12" s="66"/>
      <c r="L12" s="66"/>
      <c r="M12" s="73"/>
      <c r="N12" s="66"/>
    </row>
    <row r="13" spans="1:14" x14ac:dyDescent="0.25">
      <c r="A13" s="24"/>
      <c r="B13" s="6">
        <v>3</v>
      </c>
      <c r="C13" t="s">
        <v>27</v>
      </c>
      <c r="D13" t="s">
        <v>30</v>
      </c>
      <c r="E13" t="s">
        <v>30</v>
      </c>
      <c r="F13" t="s">
        <v>30</v>
      </c>
      <c r="G13" t="s">
        <v>30</v>
      </c>
      <c r="H13" t="s">
        <v>20</v>
      </c>
      <c r="I13" t="s">
        <v>32</v>
      </c>
      <c r="J13" t="s">
        <v>33</v>
      </c>
      <c r="K13" s="66"/>
      <c r="L13" s="66"/>
      <c r="M13" s="73"/>
      <c r="N13" s="66"/>
    </row>
    <row r="14" spans="1:14" x14ac:dyDescent="0.25">
      <c r="A14" s="55"/>
      <c r="B14" s="6">
        <v>3</v>
      </c>
      <c r="C14" s="8" t="s">
        <v>28</v>
      </c>
      <c r="D14" s="16" t="s">
        <v>30</v>
      </c>
      <c r="E14" s="16" t="s">
        <v>30</v>
      </c>
      <c r="F14" s="16" t="s">
        <v>30</v>
      </c>
      <c r="G14" s="16" t="s">
        <v>30</v>
      </c>
      <c r="H14" s="16" t="s">
        <v>20</v>
      </c>
      <c r="I14" s="16" t="s">
        <v>32</v>
      </c>
      <c r="J14" s="16" t="s">
        <v>33</v>
      </c>
      <c r="K14" s="66"/>
      <c r="L14" s="66"/>
      <c r="M14" s="74"/>
      <c r="N14" s="66"/>
    </row>
    <row r="15" spans="1:14" ht="16.5" customHeight="1" x14ac:dyDescent="0.25">
      <c r="A15" s="51" t="s">
        <v>37</v>
      </c>
      <c r="B15" s="2">
        <v>3</v>
      </c>
      <c r="C15" s="4" t="s">
        <v>19</v>
      </c>
      <c r="D15" s="18" t="s">
        <v>30</v>
      </c>
      <c r="E15" s="18" t="s">
        <v>20</v>
      </c>
      <c r="F15" s="18" t="s">
        <v>20</v>
      </c>
      <c r="G15" s="18" t="s">
        <v>20</v>
      </c>
      <c r="H15" s="18" t="s">
        <v>20</v>
      </c>
      <c r="I15" s="30" t="s">
        <v>38</v>
      </c>
      <c r="J15" s="18" t="s">
        <v>22</v>
      </c>
      <c r="K15" s="65" t="s">
        <v>22</v>
      </c>
      <c r="L15" s="65" t="s">
        <v>35</v>
      </c>
      <c r="M15" s="69" t="s">
        <v>39</v>
      </c>
      <c r="N15" s="69" t="s">
        <v>40</v>
      </c>
    </row>
    <row r="16" spans="1:14" x14ac:dyDescent="0.25">
      <c r="A16" s="52"/>
      <c r="B16" s="29">
        <v>3</v>
      </c>
      <c r="C16" s="2" t="s">
        <v>26</v>
      </c>
      <c r="D16" s="2" t="s">
        <v>30</v>
      </c>
      <c r="E16" s="2" t="s">
        <v>20</v>
      </c>
      <c r="F16" s="2" t="s">
        <v>20</v>
      </c>
      <c r="G16" s="2" t="s">
        <v>20</v>
      </c>
      <c r="H16" s="2" t="s">
        <v>20</v>
      </c>
      <c r="I16" s="31" t="s">
        <v>38</v>
      </c>
      <c r="J16" s="2" t="s">
        <v>22</v>
      </c>
      <c r="K16" s="65"/>
      <c r="L16" s="65"/>
      <c r="M16" s="70"/>
      <c r="N16" s="70"/>
    </row>
    <row r="17" spans="1:14" x14ac:dyDescent="0.25">
      <c r="A17" s="52"/>
      <c r="B17" s="29">
        <v>3</v>
      </c>
      <c r="C17" s="2" t="s">
        <v>27</v>
      </c>
      <c r="D17" s="2" t="s">
        <v>30</v>
      </c>
      <c r="E17" s="2" t="s">
        <v>20</v>
      </c>
      <c r="F17" s="2" t="s">
        <v>20</v>
      </c>
      <c r="G17" s="2" t="s">
        <v>20</v>
      </c>
      <c r="H17" s="2" t="s">
        <v>20</v>
      </c>
      <c r="I17" s="31" t="s">
        <v>38</v>
      </c>
      <c r="J17" s="2" t="s">
        <v>22</v>
      </c>
      <c r="K17" s="65"/>
      <c r="L17" s="65"/>
      <c r="M17" s="70"/>
      <c r="N17" s="70"/>
    </row>
    <row r="18" spans="1:14" x14ac:dyDescent="0.25">
      <c r="A18" s="53"/>
      <c r="B18" s="29">
        <v>3</v>
      </c>
      <c r="C18" s="7" t="s">
        <v>28</v>
      </c>
      <c r="D18" s="32" t="s">
        <v>30</v>
      </c>
      <c r="E18" s="32" t="s">
        <v>20</v>
      </c>
      <c r="F18" s="32" t="s">
        <v>20</v>
      </c>
      <c r="G18" s="32" t="s">
        <v>20</v>
      </c>
      <c r="H18" s="32" t="s">
        <v>20</v>
      </c>
      <c r="I18" s="32" t="s">
        <v>38</v>
      </c>
      <c r="J18" s="32" t="s">
        <v>22</v>
      </c>
      <c r="K18" s="65"/>
      <c r="L18" s="65"/>
      <c r="M18" s="71"/>
      <c r="N18" s="71"/>
    </row>
    <row r="19" spans="1:14" ht="16.5" customHeight="1" x14ac:dyDescent="0.25">
      <c r="A19" s="51" t="s">
        <v>41</v>
      </c>
      <c r="B19" s="2">
        <v>3</v>
      </c>
      <c r="C19" s="4" t="s">
        <v>19</v>
      </c>
      <c r="D19" s="18" t="s">
        <v>30</v>
      </c>
      <c r="E19" s="18" t="s">
        <v>20</v>
      </c>
      <c r="F19" s="18" t="s">
        <v>20</v>
      </c>
      <c r="G19" s="18" t="s">
        <v>20</v>
      </c>
      <c r="H19" s="18" t="s">
        <v>20</v>
      </c>
      <c r="I19" s="18" t="s">
        <v>32</v>
      </c>
      <c r="J19" s="18" t="s">
        <v>22</v>
      </c>
      <c r="K19" s="65" t="s">
        <v>22</v>
      </c>
      <c r="L19" s="65" t="s">
        <v>35</v>
      </c>
      <c r="M19" s="69" t="s">
        <v>39</v>
      </c>
      <c r="N19" s="65" t="s">
        <v>42</v>
      </c>
    </row>
    <row r="20" spans="1:14" x14ac:dyDescent="0.25">
      <c r="A20" s="52"/>
      <c r="B20" s="29">
        <v>3</v>
      </c>
      <c r="C20" s="2" t="s">
        <v>26</v>
      </c>
      <c r="D20" s="2" t="s">
        <v>30</v>
      </c>
      <c r="E20" s="2" t="s">
        <v>20</v>
      </c>
      <c r="F20" s="2" t="s">
        <v>20</v>
      </c>
      <c r="G20" s="2" t="s">
        <v>20</v>
      </c>
      <c r="H20" s="2" t="s">
        <v>20</v>
      </c>
      <c r="I20" s="2" t="s">
        <v>32</v>
      </c>
      <c r="J20" s="2" t="s">
        <v>22</v>
      </c>
      <c r="K20" s="65"/>
      <c r="L20" s="65"/>
      <c r="M20" s="70"/>
      <c r="N20" s="65"/>
    </row>
    <row r="21" spans="1:14" x14ac:dyDescent="0.25">
      <c r="A21" s="52"/>
      <c r="B21" s="29">
        <v>3</v>
      </c>
      <c r="C21" s="2" t="s">
        <v>27</v>
      </c>
      <c r="D21" s="2" t="s">
        <v>30</v>
      </c>
      <c r="E21" s="2" t="s">
        <v>20</v>
      </c>
      <c r="F21" s="2" t="s">
        <v>20</v>
      </c>
      <c r="G21" s="2" t="s">
        <v>20</v>
      </c>
      <c r="H21" s="2" t="s">
        <v>20</v>
      </c>
      <c r="I21" s="2" t="s">
        <v>32</v>
      </c>
      <c r="J21" s="2" t="s">
        <v>22</v>
      </c>
      <c r="K21" s="65"/>
      <c r="L21" s="65"/>
      <c r="M21" s="70"/>
      <c r="N21" s="65"/>
    </row>
    <row r="22" spans="1:14" x14ac:dyDescent="0.25">
      <c r="A22" s="53"/>
      <c r="B22" s="29">
        <v>3</v>
      </c>
      <c r="C22" s="7" t="s">
        <v>28</v>
      </c>
      <c r="D22" s="7" t="s">
        <v>30</v>
      </c>
      <c r="E22" s="7" t="s">
        <v>20</v>
      </c>
      <c r="F22" s="7" t="s">
        <v>20</v>
      </c>
      <c r="G22" s="7" t="s">
        <v>20</v>
      </c>
      <c r="H22" s="7" t="s">
        <v>20</v>
      </c>
      <c r="I22" s="7" t="s">
        <v>32</v>
      </c>
      <c r="J22" s="7" t="s">
        <v>22</v>
      </c>
      <c r="K22" s="65"/>
      <c r="L22" s="65"/>
      <c r="M22" s="71"/>
      <c r="N22" s="65"/>
    </row>
    <row r="23" spans="1:14" ht="16.5" customHeight="1" x14ac:dyDescent="0.25">
      <c r="A23" s="51" t="s">
        <v>43</v>
      </c>
      <c r="B23" s="2">
        <v>3</v>
      </c>
      <c r="C23" s="4" t="s">
        <v>19</v>
      </c>
      <c r="D23" s="18" t="s">
        <v>30</v>
      </c>
      <c r="E23" s="18" t="s">
        <v>20</v>
      </c>
      <c r="F23" s="18" t="s">
        <v>20</v>
      </c>
      <c r="G23" s="18" t="s">
        <v>20</v>
      </c>
      <c r="H23" s="18" t="s">
        <v>20</v>
      </c>
      <c r="I23" s="18" t="s">
        <v>38</v>
      </c>
      <c r="J23" s="18" t="s">
        <v>22</v>
      </c>
      <c r="K23" s="65" t="s">
        <v>22</v>
      </c>
      <c r="L23" s="65" t="s">
        <v>44</v>
      </c>
      <c r="M23" s="69" t="s">
        <v>39</v>
      </c>
      <c r="N23" s="65" t="s">
        <v>42</v>
      </c>
    </row>
    <row r="24" spans="1:14" x14ac:dyDescent="0.25">
      <c r="A24" s="52"/>
      <c r="B24" s="29">
        <v>3</v>
      </c>
      <c r="C24" s="2" t="s">
        <v>26</v>
      </c>
      <c r="D24" s="2" t="s">
        <v>30</v>
      </c>
      <c r="E24" s="2" t="s">
        <v>20</v>
      </c>
      <c r="F24" s="2" t="s">
        <v>20</v>
      </c>
      <c r="G24" s="2" t="s">
        <v>20</v>
      </c>
      <c r="H24" s="2" t="s">
        <v>20</v>
      </c>
      <c r="I24" s="2" t="s">
        <v>38</v>
      </c>
      <c r="J24" s="2" t="s">
        <v>22</v>
      </c>
      <c r="K24" s="65"/>
      <c r="L24" s="65"/>
      <c r="M24" s="70"/>
      <c r="N24" s="65"/>
    </row>
    <row r="25" spans="1:14" x14ac:dyDescent="0.25">
      <c r="A25" s="52"/>
      <c r="B25" s="29">
        <v>3</v>
      </c>
      <c r="C25" s="2" t="s">
        <v>27</v>
      </c>
      <c r="D25" s="2" t="s">
        <v>30</v>
      </c>
      <c r="E25" s="2" t="s">
        <v>20</v>
      </c>
      <c r="F25" s="2" t="s">
        <v>20</v>
      </c>
      <c r="G25" s="2" t="s">
        <v>20</v>
      </c>
      <c r="H25" s="2" t="s">
        <v>20</v>
      </c>
      <c r="I25" s="2" t="s">
        <v>38</v>
      </c>
      <c r="J25" s="2" t="s">
        <v>22</v>
      </c>
      <c r="K25" s="65"/>
      <c r="L25" s="65"/>
      <c r="M25" s="70"/>
      <c r="N25" s="65"/>
    </row>
    <row r="26" spans="1:14" x14ac:dyDescent="0.25">
      <c r="A26" s="53"/>
      <c r="B26" s="29">
        <v>3</v>
      </c>
      <c r="C26" s="7" t="s">
        <v>28</v>
      </c>
      <c r="D26" s="7" t="s">
        <v>30</v>
      </c>
      <c r="E26" s="7" t="s">
        <v>20</v>
      </c>
      <c r="F26" s="7" t="s">
        <v>20</v>
      </c>
      <c r="G26" s="7" t="s">
        <v>20</v>
      </c>
      <c r="H26" s="7" t="s">
        <v>20</v>
      </c>
      <c r="I26" s="7" t="s">
        <v>32</v>
      </c>
      <c r="J26" s="7" t="s">
        <v>22</v>
      </c>
      <c r="K26" s="65"/>
      <c r="L26" s="65"/>
      <c r="M26" s="71"/>
      <c r="N26" s="65"/>
    </row>
    <row r="27" spans="1:14" ht="16.5" customHeight="1" x14ac:dyDescent="0.25">
      <c r="A27" s="51" t="s">
        <v>45</v>
      </c>
      <c r="B27" s="2">
        <v>3</v>
      </c>
      <c r="C27" s="4" t="s">
        <v>19</v>
      </c>
      <c r="D27" s="18" t="s">
        <v>30</v>
      </c>
      <c r="E27" s="18" t="s">
        <v>20</v>
      </c>
      <c r="F27" s="18" t="s">
        <v>20</v>
      </c>
      <c r="G27" s="18" t="s">
        <v>20</v>
      </c>
      <c r="H27" s="18" t="s">
        <v>20</v>
      </c>
      <c r="I27" s="18" t="s">
        <v>21</v>
      </c>
      <c r="J27" s="18" t="s">
        <v>22</v>
      </c>
      <c r="K27" s="65" t="s">
        <v>22</v>
      </c>
      <c r="L27" s="65" t="s">
        <v>44</v>
      </c>
      <c r="M27" s="69" t="s">
        <v>39</v>
      </c>
      <c r="N27" s="69" t="s">
        <v>46</v>
      </c>
    </row>
    <row r="28" spans="1:14" x14ac:dyDescent="0.25">
      <c r="A28" s="52"/>
      <c r="B28" s="29">
        <v>3</v>
      </c>
      <c r="C28" s="2" t="s">
        <v>26</v>
      </c>
      <c r="D28" s="2" t="s">
        <v>30</v>
      </c>
      <c r="E28" s="2" t="s">
        <v>20</v>
      </c>
      <c r="F28" s="2" t="s">
        <v>20</v>
      </c>
      <c r="G28" s="2" t="s">
        <v>20</v>
      </c>
      <c r="H28" s="2" t="s">
        <v>20</v>
      </c>
      <c r="I28" s="2" t="s">
        <v>21</v>
      </c>
      <c r="J28" s="2" t="s">
        <v>22</v>
      </c>
      <c r="K28" s="65"/>
      <c r="L28" s="65"/>
      <c r="M28" s="70"/>
      <c r="N28" s="70"/>
    </row>
    <row r="29" spans="1:14" x14ac:dyDescent="0.25">
      <c r="A29" s="52"/>
      <c r="B29" s="29">
        <v>3</v>
      </c>
      <c r="C29" s="2" t="s">
        <v>27</v>
      </c>
      <c r="D29" s="2" t="s">
        <v>30</v>
      </c>
      <c r="E29" s="2" t="s">
        <v>20</v>
      </c>
      <c r="F29" s="2" t="s">
        <v>20</v>
      </c>
      <c r="G29" s="2" t="s">
        <v>20</v>
      </c>
      <c r="H29" s="2" t="s">
        <v>20</v>
      </c>
      <c r="I29" s="2" t="s">
        <v>21</v>
      </c>
      <c r="J29" s="2" t="s">
        <v>22</v>
      </c>
      <c r="K29" s="65"/>
      <c r="L29" s="65"/>
      <c r="M29" s="70"/>
      <c r="N29" s="70"/>
    </row>
    <row r="30" spans="1:14" x14ac:dyDescent="0.25">
      <c r="A30" s="53"/>
      <c r="B30" s="29">
        <v>3</v>
      </c>
      <c r="C30" s="7" t="s">
        <v>28</v>
      </c>
      <c r="D30" s="7" t="s">
        <v>30</v>
      </c>
      <c r="E30" s="7" t="s">
        <v>20</v>
      </c>
      <c r="F30" s="7" t="s">
        <v>20</v>
      </c>
      <c r="G30" s="7" t="s">
        <v>20</v>
      </c>
      <c r="H30" s="7" t="s">
        <v>20</v>
      </c>
      <c r="I30" s="7" t="s">
        <v>21</v>
      </c>
      <c r="J30" s="7" t="s">
        <v>22</v>
      </c>
      <c r="K30" s="65"/>
      <c r="L30" s="65"/>
      <c r="M30" s="71"/>
      <c r="N30" s="71"/>
    </row>
    <row r="31" spans="1:14" ht="16.5" customHeight="1" x14ac:dyDescent="0.25">
      <c r="A31" s="51" t="s">
        <v>47</v>
      </c>
      <c r="B31" s="2">
        <v>3</v>
      </c>
      <c r="C31" s="4" t="s">
        <v>19</v>
      </c>
      <c r="D31" s="18" t="s">
        <v>30</v>
      </c>
      <c r="E31" s="30" t="s">
        <v>20</v>
      </c>
      <c r="F31" s="18" t="s">
        <v>20</v>
      </c>
      <c r="G31" s="18" t="s">
        <v>20</v>
      </c>
      <c r="H31" s="18" t="s">
        <v>20</v>
      </c>
      <c r="I31" s="18" t="s">
        <v>21</v>
      </c>
      <c r="J31" s="18" t="s">
        <v>22</v>
      </c>
      <c r="K31" s="65" t="s">
        <v>22</v>
      </c>
      <c r="L31" s="65" t="s">
        <v>48</v>
      </c>
      <c r="M31" s="69" t="s">
        <v>24</v>
      </c>
      <c r="N31" s="69" t="s">
        <v>49</v>
      </c>
    </row>
    <row r="32" spans="1:14" x14ac:dyDescent="0.25">
      <c r="A32" s="52"/>
      <c r="B32" s="29">
        <v>3</v>
      </c>
      <c r="C32" s="2" t="s">
        <v>26</v>
      </c>
      <c r="D32" s="2" t="s">
        <v>30</v>
      </c>
      <c r="E32" s="31" t="s">
        <v>20</v>
      </c>
      <c r="F32" s="2" t="s">
        <v>20</v>
      </c>
      <c r="G32" s="2" t="s">
        <v>20</v>
      </c>
      <c r="H32" s="2" t="s">
        <v>20</v>
      </c>
      <c r="I32" s="2" t="s">
        <v>21</v>
      </c>
      <c r="J32" s="2" t="s">
        <v>22</v>
      </c>
      <c r="K32" s="65"/>
      <c r="L32" s="65"/>
      <c r="M32" s="70"/>
      <c r="N32" s="70"/>
    </row>
    <row r="33" spans="1:14" x14ac:dyDescent="0.25">
      <c r="A33" s="52"/>
      <c r="B33" s="29">
        <v>3</v>
      </c>
      <c r="C33" s="2" t="s">
        <v>27</v>
      </c>
      <c r="D33" s="2" t="s">
        <v>30</v>
      </c>
      <c r="E33" s="31" t="s">
        <v>20</v>
      </c>
      <c r="F33" s="2" t="s">
        <v>20</v>
      </c>
      <c r="G33" s="2" t="s">
        <v>20</v>
      </c>
      <c r="H33" s="2" t="s">
        <v>20</v>
      </c>
      <c r="I33" s="2" t="s">
        <v>21</v>
      </c>
      <c r="J33" s="2" t="s">
        <v>22</v>
      </c>
      <c r="K33" s="65"/>
      <c r="L33" s="65"/>
      <c r="M33" s="70"/>
      <c r="N33" s="70"/>
    </row>
    <row r="34" spans="1:14" x14ac:dyDescent="0.25">
      <c r="A34" s="53"/>
      <c r="B34" s="29">
        <v>3</v>
      </c>
      <c r="C34" s="7" t="s">
        <v>28</v>
      </c>
      <c r="D34" s="7" t="s">
        <v>30</v>
      </c>
      <c r="E34" s="7" t="s">
        <v>20</v>
      </c>
      <c r="F34" s="7" t="s">
        <v>20</v>
      </c>
      <c r="G34" s="7" t="s">
        <v>20</v>
      </c>
      <c r="H34" s="7" t="s">
        <v>20</v>
      </c>
      <c r="I34" s="7" t="s">
        <v>21</v>
      </c>
      <c r="J34" s="7" t="s">
        <v>22</v>
      </c>
      <c r="K34" s="65"/>
      <c r="L34" s="65"/>
      <c r="M34" s="71"/>
      <c r="N34" s="71"/>
    </row>
    <row r="35" spans="1:14" ht="16.5" customHeight="1" x14ac:dyDescent="0.25">
      <c r="A35" s="54" t="s">
        <v>50</v>
      </c>
      <c r="B35">
        <v>3</v>
      </c>
      <c r="C35" s="37" t="s">
        <v>19</v>
      </c>
      <c r="D35" s="5" t="s">
        <v>30</v>
      </c>
      <c r="E35" s="14" t="s">
        <v>20</v>
      </c>
      <c r="F35" s="5" t="s">
        <v>20</v>
      </c>
      <c r="G35" s="5" t="s">
        <v>20</v>
      </c>
      <c r="H35" s="5" t="s">
        <v>20</v>
      </c>
      <c r="I35" s="5" t="s">
        <v>32</v>
      </c>
      <c r="J35" s="5" t="s">
        <v>33</v>
      </c>
      <c r="K35" s="66" t="s">
        <v>34</v>
      </c>
      <c r="L35" s="66" t="s">
        <v>44</v>
      </c>
      <c r="M35" s="72" t="s">
        <v>35</v>
      </c>
      <c r="N35" s="66" t="s">
        <v>51</v>
      </c>
    </row>
    <row r="36" spans="1:14" x14ac:dyDescent="0.25">
      <c r="A36" s="24"/>
      <c r="B36" s="6">
        <v>3</v>
      </c>
      <c r="C36" t="s">
        <v>26</v>
      </c>
      <c r="D36" t="s">
        <v>30</v>
      </c>
      <c r="E36" s="15" t="s">
        <v>20</v>
      </c>
      <c r="F36" t="s">
        <v>20</v>
      </c>
      <c r="G36" t="s">
        <v>20</v>
      </c>
      <c r="H36" t="s">
        <v>20</v>
      </c>
      <c r="I36" t="s">
        <v>32</v>
      </c>
      <c r="J36" t="s">
        <v>33</v>
      </c>
      <c r="K36" s="66"/>
      <c r="L36" s="66"/>
      <c r="M36" s="73"/>
      <c r="N36" s="66"/>
    </row>
    <row r="37" spans="1:14" x14ac:dyDescent="0.25">
      <c r="A37" s="24"/>
      <c r="B37" s="6">
        <v>3</v>
      </c>
      <c r="C37" t="s">
        <v>27</v>
      </c>
      <c r="D37" t="s">
        <v>30</v>
      </c>
      <c r="E37" s="15" t="s">
        <v>20</v>
      </c>
      <c r="F37" t="s">
        <v>20</v>
      </c>
      <c r="G37" t="s">
        <v>20</v>
      </c>
      <c r="H37" t="s">
        <v>20</v>
      </c>
      <c r="I37" t="s">
        <v>32</v>
      </c>
      <c r="J37" t="s">
        <v>33</v>
      </c>
      <c r="K37" s="66"/>
      <c r="L37" s="66"/>
      <c r="M37" s="73"/>
      <c r="N37" s="66"/>
    </row>
    <row r="38" spans="1:14" x14ac:dyDescent="0.25">
      <c r="A38" s="55"/>
      <c r="B38" s="6">
        <v>3</v>
      </c>
      <c r="C38" s="8" t="s">
        <v>28</v>
      </c>
      <c r="D38" s="8" t="s">
        <v>30</v>
      </c>
      <c r="E38" s="16" t="s">
        <v>20</v>
      </c>
      <c r="F38" s="8" t="s">
        <v>20</v>
      </c>
      <c r="G38" s="8" t="s">
        <v>20</v>
      </c>
      <c r="H38" s="8" t="s">
        <v>20</v>
      </c>
      <c r="I38" s="8" t="s">
        <v>32</v>
      </c>
      <c r="J38" s="8" t="s">
        <v>33</v>
      </c>
      <c r="K38" s="66"/>
      <c r="L38" s="66"/>
      <c r="M38" s="74"/>
      <c r="N38" s="66"/>
    </row>
    <row r="39" spans="1:14" ht="16.5" customHeight="1" x14ac:dyDescent="0.25">
      <c r="A39" s="54" t="s">
        <v>52</v>
      </c>
      <c r="B39">
        <v>3</v>
      </c>
      <c r="C39" s="37" t="s">
        <v>19</v>
      </c>
      <c r="D39" s="5" t="s">
        <v>53</v>
      </c>
      <c r="E39" s="5" t="s">
        <v>53</v>
      </c>
      <c r="F39" s="5" t="s">
        <v>53</v>
      </c>
      <c r="G39" s="5" t="s">
        <v>53</v>
      </c>
      <c r="H39" s="15" t="s">
        <v>54</v>
      </c>
      <c r="I39" s="5" t="s">
        <v>55</v>
      </c>
      <c r="J39" s="5" t="s">
        <v>33</v>
      </c>
      <c r="K39" s="66" t="s">
        <v>34</v>
      </c>
      <c r="L39" s="66" t="s">
        <v>35</v>
      </c>
      <c r="M39" s="72" t="s">
        <v>35</v>
      </c>
      <c r="N39" s="66" t="s">
        <v>56</v>
      </c>
    </row>
    <row r="40" spans="1:14" x14ac:dyDescent="0.25">
      <c r="A40" s="24"/>
      <c r="B40" s="6">
        <v>3</v>
      </c>
      <c r="C40" t="s">
        <v>26</v>
      </c>
      <c r="D40" t="s">
        <v>53</v>
      </c>
      <c r="E40" t="s">
        <v>53</v>
      </c>
      <c r="F40" t="s">
        <v>53</v>
      </c>
      <c r="G40" t="s">
        <v>53</v>
      </c>
      <c r="H40" s="15" t="s">
        <v>53</v>
      </c>
      <c r="I40" t="s">
        <v>55</v>
      </c>
      <c r="J40" t="s">
        <v>57</v>
      </c>
      <c r="K40" s="66"/>
      <c r="L40" s="66"/>
      <c r="M40" s="73"/>
      <c r="N40" s="66"/>
    </row>
    <row r="41" spans="1:14" x14ac:dyDescent="0.25">
      <c r="A41" s="24"/>
      <c r="B41" s="6">
        <v>3</v>
      </c>
      <c r="C41" t="s">
        <v>27</v>
      </c>
      <c r="D41" t="s">
        <v>53</v>
      </c>
      <c r="E41" t="s">
        <v>53</v>
      </c>
      <c r="F41" t="s">
        <v>53</v>
      </c>
      <c r="G41" t="s">
        <v>53</v>
      </c>
      <c r="H41" s="15" t="s">
        <v>54</v>
      </c>
      <c r="I41" t="s">
        <v>55</v>
      </c>
      <c r="J41" t="s">
        <v>33</v>
      </c>
      <c r="K41" s="66"/>
      <c r="L41" s="66"/>
      <c r="M41" s="73"/>
      <c r="N41" s="66"/>
    </row>
    <row r="42" spans="1:14" x14ac:dyDescent="0.25">
      <c r="A42" s="55"/>
      <c r="B42" s="6">
        <v>3</v>
      </c>
      <c r="C42" s="8" t="s">
        <v>28</v>
      </c>
      <c r="D42" s="16" t="s">
        <v>53</v>
      </c>
      <c r="E42" s="16" t="s">
        <v>53</v>
      </c>
      <c r="F42" s="16" t="s">
        <v>53</v>
      </c>
      <c r="G42" s="16" t="s">
        <v>53</v>
      </c>
      <c r="H42" s="16" t="s">
        <v>53</v>
      </c>
      <c r="I42" s="16" t="s">
        <v>55</v>
      </c>
      <c r="J42" s="16" t="s">
        <v>57</v>
      </c>
      <c r="K42" s="66"/>
      <c r="L42" s="66"/>
      <c r="M42" s="74"/>
      <c r="N42" s="66"/>
    </row>
    <row r="43" spans="1:14" ht="16.5" customHeight="1" x14ac:dyDescent="0.25">
      <c r="A43" s="51" t="s">
        <v>58</v>
      </c>
      <c r="B43">
        <v>3</v>
      </c>
      <c r="C43" s="4" t="s">
        <v>19</v>
      </c>
      <c r="D43" s="18" t="s">
        <v>30</v>
      </c>
      <c r="E43" s="18" t="s">
        <v>30</v>
      </c>
      <c r="F43" s="18" t="s">
        <v>30</v>
      </c>
      <c r="G43" s="18" t="s">
        <v>30</v>
      </c>
      <c r="H43" s="18" t="s">
        <v>20</v>
      </c>
      <c r="I43" s="18" t="s">
        <v>21</v>
      </c>
      <c r="J43" s="18" t="s">
        <v>22</v>
      </c>
      <c r="K43" s="65" t="s">
        <v>22</v>
      </c>
      <c r="L43" s="65" t="s">
        <v>48</v>
      </c>
      <c r="M43" s="69" t="s">
        <v>39</v>
      </c>
      <c r="N43" s="65" t="s">
        <v>59</v>
      </c>
    </row>
    <row r="44" spans="1:14" x14ac:dyDescent="0.25">
      <c r="A44" s="52"/>
      <c r="B44" s="6">
        <v>3</v>
      </c>
      <c r="C44" s="2" t="s">
        <v>26</v>
      </c>
      <c r="D44" s="2" t="s">
        <v>30</v>
      </c>
      <c r="E44" s="2" t="s">
        <v>30</v>
      </c>
      <c r="F44" s="2" t="s">
        <v>30</v>
      </c>
      <c r="G44" s="2" t="s">
        <v>30</v>
      </c>
      <c r="H44" s="2" t="s">
        <v>20</v>
      </c>
      <c r="I44" s="2" t="s">
        <v>21</v>
      </c>
      <c r="J44" s="2" t="s">
        <v>22</v>
      </c>
      <c r="K44" s="65"/>
      <c r="L44" s="65"/>
      <c r="M44" s="70"/>
      <c r="N44" s="65"/>
    </row>
    <row r="45" spans="1:14" x14ac:dyDescent="0.25">
      <c r="A45" s="52"/>
      <c r="B45" s="6">
        <v>3</v>
      </c>
      <c r="C45" s="2" t="s">
        <v>27</v>
      </c>
      <c r="D45" s="2" t="s">
        <v>30</v>
      </c>
      <c r="E45" s="2" t="s">
        <v>30</v>
      </c>
      <c r="F45" s="2" t="s">
        <v>30</v>
      </c>
      <c r="G45" s="2" t="s">
        <v>30</v>
      </c>
      <c r="H45" s="2" t="s">
        <v>20</v>
      </c>
      <c r="I45" s="2" t="s">
        <v>21</v>
      </c>
      <c r="J45" s="2" t="s">
        <v>22</v>
      </c>
      <c r="K45" s="65"/>
      <c r="L45" s="65"/>
      <c r="M45" s="70"/>
      <c r="N45" s="65"/>
    </row>
    <row r="46" spans="1:14" x14ac:dyDescent="0.25">
      <c r="A46" s="53"/>
      <c r="B46" s="6">
        <v>3</v>
      </c>
      <c r="C46" s="2" t="s">
        <v>28</v>
      </c>
      <c r="D46" s="31" t="s">
        <v>30</v>
      </c>
      <c r="E46" s="31" t="s">
        <v>30</v>
      </c>
      <c r="F46" s="31" t="s">
        <v>30</v>
      </c>
      <c r="G46" s="31" t="s">
        <v>30</v>
      </c>
      <c r="H46" s="31" t="s">
        <v>20</v>
      </c>
      <c r="I46" s="31" t="s">
        <v>21</v>
      </c>
      <c r="J46" s="31" t="s">
        <v>22</v>
      </c>
      <c r="K46" s="65"/>
      <c r="L46" s="65"/>
      <c r="M46" s="71"/>
      <c r="N46" s="65"/>
    </row>
    <row r="47" spans="1:14" ht="16.5" customHeight="1" x14ac:dyDescent="0.25">
      <c r="A47" s="56" t="s">
        <v>60</v>
      </c>
      <c r="B47">
        <v>3</v>
      </c>
      <c r="C47" s="9" t="s">
        <v>19</v>
      </c>
      <c r="D47" s="18" t="s">
        <v>20</v>
      </c>
      <c r="E47" s="18" t="s">
        <v>20</v>
      </c>
      <c r="F47" s="18" t="s">
        <v>20</v>
      </c>
      <c r="G47" s="18" t="s">
        <v>20</v>
      </c>
      <c r="H47" s="18" t="s">
        <v>20</v>
      </c>
      <c r="I47" s="18" t="s">
        <v>21</v>
      </c>
      <c r="J47" s="18" t="s">
        <v>22</v>
      </c>
      <c r="K47" s="65" t="s">
        <v>22</v>
      </c>
      <c r="L47" s="65" t="s">
        <v>48</v>
      </c>
      <c r="M47" s="69" t="s">
        <v>39</v>
      </c>
      <c r="N47" s="65" t="s">
        <v>59</v>
      </c>
    </row>
    <row r="48" spans="1:14" x14ac:dyDescent="0.25">
      <c r="A48" s="57"/>
      <c r="B48" s="10">
        <v>3</v>
      </c>
      <c r="C48" s="2" t="s">
        <v>26</v>
      </c>
      <c r="D48" s="2" t="s">
        <v>30</v>
      </c>
      <c r="E48" s="2" t="s">
        <v>30</v>
      </c>
      <c r="F48" s="2" t="s">
        <v>30</v>
      </c>
      <c r="G48" s="2" t="s">
        <v>30</v>
      </c>
      <c r="H48" s="2" t="s">
        <v>30</v>
      </c>
      <c r="I48" s="2" t="s">
        <v>21</v>
      </c>
      <c r="J48" s="2" t="s">
        <v>22</v>
      </c>
      <c r="K48" s="65"/>
      <c r="L48" s="65"/>
      <c r="M48" s="70"/>
      <c r="N48" s="65"/>
    </row>
    <row r="49" spans="1:14" x14ac:dyDescent="0.25">
      <c r="A49" s="57"/>
      <c r="B49" s="10">
        <v>3</v>
      </c>
      <c r="C49" s="2" t="s">
        <v>27</v>
      </c>
      <c r="D49" s="2" t="s">
        <v>30</v>
      </c>
      <c r="E49" s="2" t="s">
        <v>30</v>
      </c>
      <c r="F49" s="2" t="s">
        <v>30</v>
      </c>
      <c r="G49" s="2" t="s">
        <v>30</v>
      </c>
      <c r="H49" s="2" t="s">
        <v>30</v>
      </c>
      <c r="I49" s="2" t="s">
        <v>21</v>
      </c>
      <c r="J49" s="2" t="s">
        <v>22</v>
      </c>
      <c r="K49" s="65"/>
      <c r="L49" s="65"/>
      <c r="M49" s="70"/>
      <c r="N49" s="65"/>
    </row>
    <row r="50" spans="1:14" x14ac:dyDescent="0.25">
      <c r="A50" s="58"/>
      <c r="B50" s="10">
        <v>3</v>
      </c>
      <c r="C50" s="7" t="s">
        <v>28</v>
      </c>
      <c r="D50" s="32" t="s">
        <v>30</v>
      </c>
      <c r="E50" s="32" t="s">
        <v>30</v>
      </c>
      <c r="F50" s="32" t="s">
        <v>30</v>
      </c>
      <c r="G50" s="32" t="s">
        <v>30</v>
      </c>
      <c r="H50" s="32" t="s">
        <v>30</v>
      </c>
      <c r="I50" s="32" t="s">
        <v>21</v>
      </c>
      <c r="J50" s="32" t="s">
        <v>22</v>
      </c>
      <c r="K50" s="65"/>
      <c r="L50" s="65"/>
      <c r="M50" s="71"/>
      <c r="N50" s="65"/>
    </row>
    <row r="51" spans="1:14" ht="16.5" customHeight="1" x14ac:dyDescent="0.25">
      <c r="A51" s="54" t="s">
        <v>61</v>
      </c>
      <c r="B51">
        <v>3</v>
      </c>
      <c r="C51" s="38" t="s">
        <v>19</v>
      </c>
      <c r="D51" t="s">
        <v>53</v>
      </c>
      <c r="E51" t="s">
        <v>53</v>
      </c>
      <c r="F51" t="s">
        <v>53</v>
      </c>
      <c r="G51" t="s">
        <v>53</v>
      </c>
      <c r="H51" t="s">
        <v>53</v>
      </c>
      <c r="I51" t="s">
        <v>21</v>
      </c>
      <c r="J51" t="s">
        <v>62</v>
      </c>
      <c r="K51" s="66" t="s">
        <v>62</v>
      </c>
      <c r="L51" s="66" t="s">
        <v>48</v>
      </c>
      <c r="M51" s="72" t="s">
        <v>35</v>
      </c>
      <c r="N51" s="66" t="s">
        <v>51</v>
      </c>
    </row>
    <row r="52" spans="1:14" x14ac:dyDescent="0.25">
      <c r="A52" s="24"/>
      <c r="B52" s="6">
        <v>3</v>
      </c>
      <c r="C52" t="s">
        <v>26</v>
      </c>
      <c r="D52" t="s">
        <v>53</v>
      </c>
      <c r="E52" t="s">
        <v>53</v>
      </c>
      <c r="F52" t="s">
        <v>53</v>
      </c>
      <c r="G52" t="s">
        <v>53</v>
      </c>
      <c r="H52" t="s">
        <v>53</v>
      </c>
      <c r="I52" t="s">
        <v>21</v>
      </c>
      <c r="J52" t="s">
        <v>62</v>
      </c>
      <c r="K52" s="66"/>
      <c r="L52" s="66"/>
      <c r="M52" s="73"/>
      <c r="N52" s="66"/>
    </row>
    <row r="53" spans="1:14" x14ac:dyDescent="0.25">
      <c r="A53" s="24"/>
      <c r="B53" s="6">
        <v>3</v>
      </c>
      <c r="C53" t="s">
        <v>27</v>
      </c>
      <c r="D53" t="s">
        <v>53</v>
      </c>
      <c r="E53" t="s">
        <v>53</v>
      </c>
      <c r="F53" t="s">
        <v>53</v>
      </c>
      <c r="G53" t="s">
        <v>53</v>
      </c>
      <c r="H53" t="s">
        <v>53</v>
      </c>
      <c r="I53" t="s">
        <v>21</v>
      </c>
      <c r="J53" t="s">
        <v>62</v>
      </c>
      <c r="K53" s="66"/>
      <c r="L53" s="66"/>
      <c r="M53" s="73"/>
      <c r="N53" s="66"/>
    </row>
    <row r="54" spans="1:14" x14ac:dyDescent="0.25">
      <c r="A54" s="55"/>
      <c r="B54" s="6">
        <v>3</v>
      </c>
      <c r="C54" s="8" t="s">
        <v>28</v>
      </c>
      <c r="D54" s="16" t="s">
        <v>53</v>
      </c>
      <c r="E54" s="16" t="s">
        <v>53</v>
      </c>
      <c r="F54" s="16" t="s">
        <v>53</v>
      </c>
      <c r="G54" s="16" t="s">
        <v>53</v>
      </c>
      <c r="H54" s="16" t="s">
        <v>53</v>
      </c>
      <c r="I54" s="16" t="s">
        <v>21</v>
      </c>
      <c r="J54" s="16" t="s">
        <v>62</v>
      </c>
      <c r="K54" s="66"/>
      <c r="L54" s="66"/>
      <c r="M54" s="74"/>
      <c r="N54" s="66"/>
    </row>
    <row r="55" spans="1:14" ht="16.5" customHeight="1" x14ac:dyDescent="0.25">
      <c r="A55" s="54" t="s">
        <v>63</v>
      </c>
      <c r="B55">
        <v>3</v>
      </c>
      <c r="C55" s="37" t="s">
        <v>19</v>
      </c>
      <c r="D55" s="5" t="s">
        <v>64</v>
      </c>
      <c r="E55" s="5" t="s">
        <v>20</v>
      </c>
      <c r="F55" s="5" t="s">
        <v>20</v>
      </c>
      <c r="G55" s="5" t="s">
        <v>20</v>
      </c>
      <c r="H55" s="5" t="s">
        <v>20</v>
      </c>
      <c r="I55" s="5" t="s">
        <v>21</v>
      </c>
      <c r="J55" s="5" t="s">
        <v>22</v>
      </c>
      <c r="K55" s="66" t="s">
        <v>22</v>
      </c>
      <c r="L55" s="66" t="s">
        <v>48</v>
      </c>
      <c r="M55" s="72" t="s">
        <v>24</v>
      </c>
      <c r="N55" s="66" t="s">
        <v>65</v>
      </c>
    </row>
    <row r="56" spans="1:14" x14ac:dyDescent="0.25">
      <c r="A56" s="24"/>
      <c r="B56" s="6">
        <v>3</v>
      </c>
      <c r="C56" t="s">
        <v>26</v>
      </c>
      <c r="D56" t="s">
        <v>64</v>
      </c>
      <c r="E56" t="s">
        <v>20</v>
      </c>
      <c r="F56" t="s">
        <v>20</v>
      </c>
      <c r="G56" t="s">
        <v>20</v>
      </c>
      <c r="H56" t="s">
        <v>20</v>
      </c>
      <c r="I56" t="s">
        <v>21</v>
      </c>
      <c r="J56" t="s">
        <v>22</v>
      </c>
      <c r="K56" s="66"/>
      <c r="L56" s="66"/>
      <c r="M56" s="73"/>
      <c r="N56" s="66"/>
    </row>
    <row r="57" spans="1:14" x14ac:dyDescent="0.25">
      <c r="A57" s="24"/>
      <c r="B57" s="6">
        <v>3</v>
      </c>
      <c r="C57" t="s">
        <v>27</v>
      </c>
      <c r="D57" t="s">
        <v>64</v>
      </c>
      <c r="E57" t="s">
        <v>20</v>
      </c>
      <c r="F57" t="s">
        <v>20</v>
      </c>
      <c r="G57" t="s">
        <v>20</v>
      </c>
      <c r="H57" t="s">
        <v>20</v>
      </c>
      <c r="I57" t="s">
        <v>21</v>
      </c>
      <c r="J57" t="s">
        <v>22</v>
      </c>
      <c r="K57" s="66"/>
      <c r="L57" s="66"/>
      <c r="M57" s="73"/>
      <c r="N57" s="66"/>
    </row>
    <row r="58" spans="1:14" x14ac:dyDescent="0.25">
      <c r="A58" s="55"/>
      <c r="B58" s="6">
        <v>3</v>
      </c>
      <c r="C58" s="8" t="s">
        <v>28</v>
      </c>
      <c r="D58" s="16" t="s">
        <v>64</v>
      </c>
      <c r="E58" s="16" t="s">
        <v>20</v>
      </c>
      <c r="F58" s="16" t="s">
        <v>20</v>
      </c>
      <c r="G58" s="16" t="s">
        <v>20</v>
      </c>
      <c r="H58" s="16" t="s">
        <v>20</v>
      </c>
      <c r="I58" s="16" t="s">
        <v>21</v>
      </c>
      <c r="J58" s="16" t="s">
        <v>22</v>
      </c>
      <c r="K58" s="66"/>
      <c r="L58" s="66"/>
      <c r="M58" s="74"/>
      <c r="N58" s="66"/>
    </row>
    <row r="59" spans="1:14" ht="16.5" customHeight="1" x14ac:dyDescent="0.25">
      <c r="A59" s="54" t="s">
        <v>66</v>
      </c>
      <c r="B59">
        <v>3</v>
      </c>
      <c r="C59" s="37" t="s">
        <v>19</v>
      </c>
      <c r="D59" s="14" t="s">
        <v>30</v>
      </c>
      <c r="E59" s="14" t="s">
        <v>20</v>
      </c>
      <c r="F59" s="14" t="s">
        <v>20</v>
      </c>
      <c r="G59" s="5" t="s">
        <v>20</v>
      </c>
      <c r="H59" s="5" t="s">
        <v>20</v>
      </c>
      <c r="I59" s="5" t="s">
        <v>32</v>
      </c>
      <c r="J59" s="5" t="s">
        <v>33</v>
      </c>
      <c r="K59" s="66" t="s">
        <v>34</v>
      </c>
      <c r="L59" s="66" t="s">
        <v>48</v>
      </c>
      <c r="M59" s="72" t="s">
        <v>35</v>
      </c>
      <c r="N59" s="66" t="s">
        <v>65</v>
      </c>
    </row>
    <row r="60" spans="1:14" x14ac:dyDescent="0.25">
      <c r="A60" s="24"/>
      <c r="B60" s="6">
        <v>3</v>
      </c>
      <c r="C60" t="s">
        <v>26</v>
      </c>
      <c r="D60" s="15" t="s">
        <v>30</v>
      </c>
      <c r="E60" s="15" t="s">
        <v>20</v>
      </c>
      <c r="F60" s="15" t="s">
        <v>20</v>
      </c>
      <c r="G60" t="s">
        <v>20</v>
      </c>
      <c r="H60" t="s">
        <v>20</v>
      </c>
      <c r="I60" t="s">
        <v>32</v>
      </c>
      <c r="J60" t="s">
        <v>33</v>
      </c>
      <c r="K60" s="66"/>
      <c r="L60" s="66"/>
      <c r="M60" s="73"/>
      <c r="N60" s="66"/>
    </row>
    <row r="61" spans="1:14" x14ac:dyDescent="0.25">
      <c r="A61" s="24"/>
      <c r="B61" s="6">
        <v>3</v>
      </c>
      <c r="C61" t="s">
        <v>27</v>
      </c>
      <c r="D61" s="15" t="s">
        <v>30</v>
      </c>
      <c r="E61" s="15" t="s">
        <v>20</v>
      </c>
      <c r="F61" s="15" t="s">
        <v>20</v>
      </c>
      <c r="G61" t="s">
        <v>20</v>
      </c>
      <c r="H61" t="s">
        <v>20</v>
      </c>
      <c r="I61" t="s">
        <v>32</v>
      </c>
      <c r="J61" t="s">
        <v>33</v>
      </c>
      <c r="K61" s="66"/>
      <c r="L61" s="66"/>
      <c r="M61" s="73"/>
      <c r="N61" s="66"/>
    </row>
    <row r="62" spans="1:14" x14ac:dyDescent="0.25">
      <c r="A62" s="55"/>
      <c r="B62" s="6">
        <v>3</v>
      </c>
      <c r="C62" s="39" t="s">
        <v>67</v>
      </c>
      <c r="D62" s="16" t="s">
        <v>30</v>
      </c>
      <c r="E62" s="16" t="s">
        <v>20</v>
      </c>
      <c r="F62" s="16" t="s">
        <v>20</v>
      </c>
      <c r="G62" s="16" t="s">
        <v>20</v>
      </c>
      <c r="H62" s="16" t="s">
        <v>20</v>
      </c>
      <c r="I62" s="16" t="s">
        <v>32</v>
      </c>
      <c r="J62" s="16" t="s">
        <v>33</v>
      </c>
      <c r="K62" s="66"/>
      <c r="L62" s="66"/>
      <c r="M62" s="74"/>
      <c r="N62" s="66"/>
    </row>
    <row r="63" spans="1:14" ht="16.5" customHeight="1" x14ac:dyDescent="0.25">
      <c r="A63" s="54" t="s">
        <v>68</v>
      </c>
      <c r="B63">
        <v>3</v>
      </c>
      <c r="C63" s="37" t="s">
        <v>19</v>
      </c>
      <c r="D63" s="5" t="s">
        <v>64</v>
      </c>
      <c r="E63" s="5" t="s">
        <v>20</v>
      </c>
      <c r="F63" s="5" t="s">
        <v>20</v>
      </c>
      <c r="G63" s="5" t="s">
        <v>20</v>
      </c>
      <c r="H63" s="5" t="s">
        <v>20</v>
      </c>
      <c r="I63" s="5" t="s">
        <v>21</v>
      </c>
      <c r="J63" s="5" t="s">
        <v>22</v>
      </c>
      <c r="K63" s="66" t="s">
        <v>22</v>
      </c>
      <c r="L63" s="66" t="s">
        <v>48</v>
      </c>
      <c r="M63" s="72" t="s">
        <v>24</v>
      </c>
      <c r="N63" s="66" t="s">
        <v>65</v>
      </c>
    </row>
    <row r="64" spans="1:14" x14ac:dyDescent="0.25">
      <c r="A64" s="24"/>
      <c r="B64" s="6">
        <v>3</v>
      </c>
      <c r="C64" t="s">
        <v>26</v>
      </c>
      <c r="D64" t="s">
        <v>64</v>
      </c>
      <c r="E64" t="s">
        <v>20</v>
      </c>
      <c r="F64" t="s">
        <v>20</v>
      </c>
      <c r="G64" t="s">
        <v>20</v>
      </c>
      <c r="H64" t="s">
        <v>20</v>
      </c>
      <c r="I64" t="s">
        <v>21</v>
      </c>
      <c r="J64" t="s">
        <v>22</v>
      </c>
      <c r="K64" s="66"/>
      <c r="L64" s="66"/>
      <c r="M64" s="73"/>
      <c r="N64" s="66"/>
    </row>
    <row r="65" spans="1:14" x14ac:dyDescent="0.25">
      <c r="A65" s="24"/>
      <c r="B65" s="6">
        <v>3</v>
      </c>
      <c r="C65" t="s">
        <v>27</v>
      </c>
      <c r="D65" t="s">
        <v>64</v>
      </c>
      <c r="E65" t="s">
        <v>20</v>
      </c>
      <c r="F65" t="s">
        <v>20</v>
      </c>
      <c r="G65" t="s">
        <v>20</v>
      </c>
      <c r="H65" t="s">
        <v>20</v>
      </c>
      <c r="I65" t="s">
        <v>21</v>
      </c>
      <c r="J65" t="s">
        <v>22</v>
      </c>
      <c r="K65" s="66"/>
      <c r="L65" s="66"/>
      <c r="M65" s="73"/>
      <c r="N65" s="66"/>
    </row>
    <row r="66" spans="1:14" x14ac:dyDescent="0.25">
      <c r="A66" s="55"/>
      <c r="B66" s="6">
        <v>3</v>
      </c>
      <c r="C66" s="8" t="s">
        <v>28</v>
      </c>
      <c r="D66" s="16" t="s">
        <v>64</v>
      </c>
      <c r="E66" s="16" t="s">
        <v>20</v>
      </c>
      <c r="F66" s="16" t="s">
        <v>20</v>
      </c>
      <c r="G66" s="16" t="s">
        <v>20</v>
      </c>
      <c r="H66" s="16" t="s">
        <v>20</v>
      </c>
      <c r="I66" s="16" t="s">
        <v>21</v>
      </c>
      <c r="J66" s="16" t="s">
        <v>22</v>
      </c>
      <c r="K66" s="66"/>
      <c r="L66" s="66"/>
      <c r="M66" s="74"/>
      <c r="N66" s="66"/>
    </row>
    <row r="67" spans="1:14" ht="16.5" customHeight="1" x14ac:dyDescent="0.25">
      <c r="A67" s="54" t="s">
        <v>69</v>
      </c>
      <c r="B67">
        <v>3</v>
      </c>
      <c r="C67" s="37" t="s">
        <v>19</v>
      </c>
      <c r="D67" s="5" t="s">
        <v>64</v>
      </c>
      <c r="E67" s="5" t="s">
        <v>20</v>
      </c>
      <c r="F67" s="5" t="s">
        <v>20</v>
      </c>
      <c r="G67" s="5" t="s">
        <v>20</v>
      </c>
      <c r="H67" s="5" t="s">
        <v>20</v>
      </c>
      <c r="I67" s="5" t="s">
        <v>21</v>
      </c>
      <c r="J67" s="5" t="s">
        <v>22</v>
      </c>
      <c r="K67" s="66" t="s">
        <v>22</v>
      </c>
      <c r="L67" s="66" t="s">
        <v>35</v>
      </c>
      <c r="M67" s="72" t="s">
        <v>24</v>
      </c>
      <c r="N67" s="66" t="s">
        <v>70</v>
      </c>
    </row>
    <row r="68" spans="1:14" x14ac:dyDescent="0.25">
      <c r="A68" s="24"/>
      <c r="B68" s="6">
        <v>3</v>
      </c>
      <c r="C68" t="s">
        <v>26</v>
      </c>
      <c r="D68" t="s">
        <v>64</v>
      </c>
      <c r="E68" t="s">
        <v>20</v>
      </c>
      <c r="F68" t="s">
        <v>20</v>
      </c>
      <c r="G68" t="s">
        <v>20</v>
      </c>
      <c r="H68" t="s">
        <v>20</v>
      </c>
      <c r="I68" t="s">
        <v>21</v>
      </c>
      <c r="J68" t="s">
        <v>22</v>
      </c>
      <c r="K68" s="66"/>
      <c r="L68" s="66"/>
      <c r="M68" s="73"/>
      <c r="N68" s="66"/>
    </row>
    <row r="69" spans="1:14" x14ac:dyDescent="0.25">
      <c r="A69" s="24"/>
      <c r="B69" s="6">
        <v>3</v>
      </c>
      <c r="C69" t="s">
        <v>27</v>
      </c>
      <c r="D69" t="s">
        <v>64</v>
      </c>
      <c r="E69" t="s">
        <v>20</v>
      </c>
      <c r="F69" t="s">
        <v>20</v>
      </c>
      <c r="G69" t="s">
        <v>20</v>
      </c>
      <c r="H69" t="s">
        <v>20</v>
      </c>
      <c r="I69" t="s">
        <v>21</v>
      </c>
      <c r="J69" t="s">
        <v>22</v>
      </c>
      <c r="K69" s="66"/>
      <c r="L69" s="66"/>
      <c r="M69" s="73"/>
      <c r="N69" s="66"/>
    </row>
    <row r="70" spans="1:14" x14ac:dyDescent="0.25">
      <c r="A70" s="55"/>
      <c r="B70" s="6">
        <v>3</v>
      </c>
      <c r="C70" s="8" t="s">
        <v>28</v>
      </c>
      <c r="D70" s="16" t="s">
        <v>64</v>
      </c>
      <c r="E70" s="16" t="s">
        <v>20</v>
      </c>
      <c r="F70" s="16" t="s">
        <v>20</v>
      </c>
      <c r="G70" s="16" t="s">
        <v>20</v>
      </c>
      <c r="H70" s="16" t="s">
        <v>20</v>
      </c>
      <c r="I70" s="16" t="s">
        <v>21</v>
      </c>
      <c r="J70" s="16" t="s">
        <v>22</v>
      </c>
      <c r="K70" s="66"/>
      <c r="L70" s="66"/>
      <c r="M70" s="74"/>
      <c r="N70" s="66"/>
    </row>
    <row r="71" spans="1:14" ht="16.5" customHeight="1" x14ac:dyDescent="0.25">
      <c r="A71" s="54" t="s">
        <v>71</v>
      </c>
      <c r="B71">
        <v>3</v>
      </c>
      <c r="C71" s="37" t="s">
        <v>19</v>
      </c>
      <c r="D71" s="14" t="s">
        <v>30</v>
      </c>
      <c r="E71" s="14" t="s">
        <v>20</v>
      </c>
      <c r="F71" s="14" t="s">
        <v>20</v>
      </c>
      <c r="G71" s="14" t="s">
        <v>20</v>
      </c>
      <c r="H71" s="14" t="s">
        <v>20</v>
      </c>
      <c r="I71" s="14" t="s">
        <v>38</v>
      </c>
      <c r="J71" s="14" t="s">
        <v>33</v>
      </c>
      <c r="K71" s="66" t="s">
        <v>34</v>
      </c>
      <c r="L71" s="66" t="s">
        <v>35</v>
      </c>
      <c r="M71" s="72" t="s">
        <v>35</v>
      </c>
      <c r="N71" s="66" t="s">
        <v>56</v>
      </c>
    </row>
    <row r="72" spans="1:14" x14ac:dyDescent="0.25">
      <c r="A72" s="24"/>
      <c r="B72" s="6">
        <v>3</v>
      </c>
      <c r="C72" t="s">
        <v>26</v>
      </c>
      <c r="D72" s="15" t="s">
        <v>30</v>
      </c>
      <c r="E72" s="15" t="s">
        <v>20</v>
      </c>
      <c r="F72" s="15" t="s">
        <v>20</v>
      </c>
      <c r="G72" s="15" t="s">
        <v>20</v>
      </c>
      <c r="H72" s="15" t="s">
        <v>20</v>
      </c>
      <c r="I72" s="15" t="s">
        <v>38</v>
      </c>
      <c r="J72" s="15" t="s">
        <v>33</v>
      </c>
      <c r="K72" s="66"/>
      <c r="L72" s="66"/>
      <c r="M72" s="73"/>
      <c r="N72" s="66"/>
    </row>
    <row r="73" spans="1:14" x14ac:dyDescent="0.25">
      <c r="A73" s="24"/>
      <c r="B73" s="6">
        <v>3</v>
      </c>
      <c r="C73" t="s">
        <v>27</v>
      </c>
      <c r="D73" s="15" t="s">
        <v>30</v>
      </c>
      <c r="E73" s="15" t="s">
        <v>20</v>
      </c>
      <c r="F73" s="15" t="s">
        <v>20</v>
      </c>
      <c r="G73" s="15" t="s">
        <v>20</v>
      </c>
      <c r="H73" s="15" t="s">
        <v>20</v>
      </c>
      <c r="I73" s="15" t="s">
        <v>21</v>
      </c>
      <c r="J73" s="15" t="s">
        <v>33</v>
      </c>
      <c r="K73" s="66"/>
      <c r="L73" s="66"/>
      <c r="M73" s="73"/>
      <c r="N73" s="66"/>
    </row>
    <row r="74" spans="1:14" x14ac:dyDescent="0.25">
      <c r="A74" s="55"/>
      <c r="B74" s="6">
        <v>3</v>
      </c>
      <c r="C74" s="8" t="s">
        <v>28</v>
      </c>
      <c r="D74" s="16" t="s">
        <v>30</v>
      </c>
      <c r="E74" s="16" t="s">
        <v>20</v>
      </c>
      <c r="F74" s="16" t="s">
        <v>20</v>
      </c>
      <c r="G74" s="16" t="s">
        <v>20</v>
      </c>
      <c r="H74" s="16" t="s">
        <v>20</v>
      </c>
      <c r="I74" s="16" t="s">
        <v>32</v>
      </c>
      <c r="J74" s="16" t="s">
        <v>33</v>
      </c>
      <c r="K74" s="66"/>
      <c r="L74" s="66"/>
      <c r="M74" s="74"/>
      <c r="N74" s="66"/>
    </row>
    <row r="75" spans="1:14" ht="16.5" customHeight="1" x14ac:dyDescent="0.25">
      <c r="A75" s="51" t="s">
        <v>72</v>
      </c>
      <c r="B75" s="2">
        <v>4</v>
      </c>
      <c r="C75" s="4" t="s">
        <v>19</v>
      </c>
      <c r="D75" s="18" t="s">
        <v>20</v>
      </c>
      <c r="E75" s="18" t="s">
        <v>20</v>
      </c>
      <c r="F75" s="18" t="s">
        <v>20</v>
      </c>
      <c r="G75" s="18" t="s">
        <v>20</v>
      </c>
      <c r="H75" s="18" t="s">
        <v>20</v>
      </c>
      <c r="I75" s="18" t="s">
        <v>21</v>
      </c>
      <c r="J75" s="18" t="s">
        <v>22</v>
      </c>
      <c r="K75" s="65" t="s">
        <v>22</v>
      </c>
      <c r="L75" s="65" t="s">
        <v>44</v>
      </c>
      <c r="M75" s="69" t="s">
        <v>24</v>
      </c>
      <c r="N75" s="65" t="s">
        <v>73</v>
      </c>
    </row>
    <row r="76" spans="1:14" x14ac:dyDescent="0.25">
      <c r="A76" s="52"/>
      <c r="B76" s="29">
        <v>4</v>
      </c>
      <c r="C76" s="2" t="s">
        <v>26</v>
      </c>
      <c r="D76" s="2" t="s">
        <v>20</v>
      </c>
      <c r="E76" s="2" t="s">
        <v>20</v>
      </c>
      <c r="F76" s="2" t="s">
        <v>20</v>
      </c>
      <c r="G76" s="2" t="s">
        <v>20</v>
      </c>
      <c r="H76" s="2" t="s">
        <v>20</v>
      </c>
      <c r="I76" s="2" t="s">
        <v>21</v>
      </c>
      <c r="J76" s="2" t="s">
        <v>22</v>
      </c>
      <c r="K76" s="65"/>
      <c r="L76" s="65"/>
      <c r="M76" s="70"/>
      <c r="N76" s="65"/>
    </row>
    <row r="77" spans="1:14" x14ac:dyDescent="0.25">
      <c r="A77" s="52"/>
      <c r="B77" s="29">
        <v>4</v>
      </c>
      <c r="C77" s="2" t="s">
        <v>27</v>
      </c>
      <c r="D77" s="2" t="s">
        <v>20</v>
      </c>
      <c r="E77" s="2" t="s">
        <v>20</v>
      </c>
      <c r="F77" s="2" t="s">
        <v>20</v>
      </c>
      <c r="G77" s="2" t="s">
        <v>20</v>
      </c>
      <c r="H77" s="2" t="s">
        <v>20</v>
      </c>
      <c r="I77" s="2" t="s">
        <v>21</v>
      </c>
      <c r="J77" s="2" t="s">
        <v>22</v>
      </c>
      <c r="K77" s="65"/>
      <c r="L77" s="65"/>
      <c r="M77" s="70"/>
      <c r="N77" s="65"/>
    </row>
    <row r="78" spans="1:14" x14ac:dyDescent="0.25">
      <c r="A78" s="53"/>
      <c r="B78" s="2">
        <v>4</v>
      </c>
      <c r="C78" s="7" t="s">
        <v>28</v>
      </c>
      <c r="D78" s="7" t="s">
        <v>20</v>
      </c>
      <c r="E78" s="7" t="s">
        <v>20</v>
      </c>
      <c r="F78" s="7" t="s">
        <v>20</v>
      </c>
      <c r="G78" s="7" t="s">
        <v>20</v>
      </c>
      <c r="H78" s="7" t="s">
        <v>20</v>
      </c>
      <c r="I78" s="32" t="s">
        <v>21</v>
      </c>
      <c r="J78" s="32" t="s">
        <v>22</v>
      </c>
      <c r="K78" s="65"/>
      <c r="L78" s="65"/>
      <c r="M78" s="71"/>
      <c r="N78" s="65"/>
    </row>
    <row r="79" spans="1:14" ht="16.5" customHeight="1" x14ac:dyDescent="0.25">
      <c r="A79" s="54" t="s">
        <v>74</v>
      </c>
      <c r="B79" s="6">
        <v>4</v>
      </c>
      <c r="C79" s="38" t="s">
        <v>19</v>
      </c>
      <c r="D79" s="5" t="s">
        <v>20</v>
      </c>
      <c r="E79" s="5" t="s">
        <v>20</v>
      </c>
      <c r="F79" s="5" t="s">
        <v>20</v>
      </c>
      <c r="G79" s="5" t="s">
        <v>20</v>
      </c>
      <c r="H79" s="5" t="s">
        <v>20</v>
      </c>
      <c r="I79" s="5" t="s">
        <v>21</v>
      </c>
      <c r="J79" s="5" t="s">
        <v>22</v>
      </c>
      <c r="K79" s="66" t="s">
        <v>22</v>
      </c>
      <c r="L79" s="66" t="s">
        <v>35</v>
      </c>
      <c r="M79" s="72" t="s">
        <v>24</v>
      </c>
      <c r="N79" s="66" t="s">
        <v>75</v>
      </c>
    </row>
    <row r="80" spans="1:14" x14ac:dyDescent="0.25">
      <c r="A80" s="24"/>
      <c r="B80" s="6">
        <v>4</v>
      </c>
      <c r="C80" t="s">
        <v>26</v>
      </c>
      <c r="D80" t="s">
        <v>20</v>
      </c>
      <c r="E80" t="s">
        <v>20</v>
      </c>
      <c r="F80" t="s">
        <v>20</v>
      </c>
      <c r="G80" t="s">
        <v>20</v>
      </c>
      <c r="H80" t="s">
        <v>20</v>
      </c>
      <c r="I80" t="s">
        <v>21</v>
      </c>
      <c r="J80" t="s">
        <v>22</v>
      </c>
      <c r="K80" s="66"/>
      <c r="L80" s="66"/>
      <c r="M80" s="73"/>
      <c r="N80" s="66"/>
    </row>
    <row r="81" spans="1:14" x14ac:dyDescent="0.25">
      <c r="A81" s="24"/>
      <c r="B81">
        <v>4</v>
      </c>
      <c r="C81" t="s">
        <v>27</v>
      </c>
      <c r="D81" t="s">
        <v>20</v>
      </c>
      <c r="E81" t="s">
        <v>20</v>
      </c>
      <c r="F81" t="s">
        <v>20</v>
      </c>
      <c r="G81" t="s">
        <v>20</v>
      </c>
      <c r="H81" t="s">
        <v>20</v>
      </c>
      <c r="I81" t="s">
        <v>21</v>
      </c>
      <c r="J81" t="s">
        <v>22</v>
      </c>
      <c r="K81" s="66"/>
      <c r="L81" s="66"/>
      <c r="M81" s="73"/>
      <c r="N81" s="66"/>
    </row>
    <row r="82" spans="1:14" x14ac:dyDescent="0.25">
      <c r="A82" s="55"/>
      <c r="B82" s="6">
        <v>4</v>
      </c>
      <c r="C82" t="s">
        <v>28</v>
      </c>
      <c r="D82" t="s">
        <v>20</v>
      </c>
      <c r="E82" t="s">
        <v>20</v>
      </c>
      <c r="F82" t="s">
        <v>20</v>
      </c>
      <c r="G82" t="s">
        <v>20</v>
      </c>
      <c r="H82" t="s">
        <v>20</v>
      </c>
      <c r="I82" t="s">
        <v>21</v>
      </c>
      <c r="J82" t="s">
        <v>22</v>
      </c>
      <c r="K82" s="66"/>
      <c r="L82" s="66"/>
      <c r="M82" s="74"/>
      <c r="N82" s="66"/>
    </row>
    <row r="83" spans="1:14" ht="16.5" customHeight="1" x14ac:dyDescent="0.25">
      <c r="A83" s="54" t="s">
        <v>76</v>
      </c>
      <c r="B83" s="6">
        <v>4</v>
      </c>
      <c r="C83" s="37" t="s">
        <v>19</v>
      </c>
      <c r="D83" s="14" t="s">
        <v>30</v>
      </c>
      <c r="E83" s="5" t="s">
        <v>30</v>
      </c>
      <c r="F83" s="5" t="s">
        <v>30</v>
      </c>
      <c r="G83" s="5" t="s">
        <v>30</v>
      </c>
      <c r="H83" s="5" t="s">
        <v>30</v>
      </c>
      <c r="I83" s="5" t="s">
        <v>21</v>
      </c>
      <c r="J83" s="5" t="s">
        <v>33</v>
      </c>
      <c r="K83" s="66" t="s">
        <v>34</v>
      </c>
      <c r="L83" s="66" t="s">
        <v>35</v>
      </c>
      <c r="M83" s="72" t="s">
        <v>24</v>
      </c>
      <c r="N83" s="66" t="s">
        <v>77</v>
      </c>
    </row>
    <row r="84" spans="1:14" x14ac:dyDescent="0.25">
      <c r="A84" s="24"/>
      <c r="B84">
        <v>4</v>
      </c>
      <c r="C84" t="s">
        <v>26</v>
      </c>
      <c r="D84" t="s">
        <v>30</v>
      </c>
      <c r="E84" t="s">
        <v>30</v>
      </c>
      <c r="F84" t="s">
        <v>30</v>
      </c>
      <c r="G84" t="s">
        <v>30</v>
      </c>
      <c r="H84" t="s">
        <v>30</v>
      </c>
      <c r="I84" t="s">
        <v>21</v>
      </c>
      <c r="J84" t="s">
        <v>33</v>
      </c>
      <c r="K84" s="66"/>
      <c r="L84" s="66"/>
      <c r="M84" s="73"/>
      <c r="N84" s="66"/>
    </row>
    <row r="85" spans="1:14" x14ac:dyDescent="0.25">
      <c r="A85" s="24"/>
      <c r="B85" s="6">
        <v>4</v>
      </c>
      <c r="C85" t="s">
        <v>27</v>
      </c>
      <c r="D85" t="s">
        <v>30</v>
      </c>
      <c r="E85" t="s">
        <v>30</v>
      </c>
      <c r="F85" t="s">
        <v>30</v>
      </c>
      <c r="G85" t="s">
        <v>30</v>
      </c>
      <c r="H85" t="s">
        <v>30</v>
      </c>
      <c r="I85" t="s">
        <v>21</v>
      </c>
      <c r="J85" t="s">
        <v>33</v>
      </c>
      <c r="K85" s="66"/>
      <c r="L85" s="66"/>
      <c r="M85" s="73"/>
      <c r="N85" s="66"/>
    </row>
    <row r="86" spans="1:14" x14ac:dyDescent="0.25">
      <c r="A86" s="55"/>
      <c r="B86" s="6">
        <v>4</v>
      </c>
      <c r="C86" s="8" t="s">
        <v>28</v>
      </c>
      <c r="D86" s="8" t="s">
        <v>30</v>
      </c>
      <c r="E86" s="8" t="s">
        <v>30</v>
      </c>
      <c r="F86" s="8" t="s">
        <v>30</v>
      </c>
      <c r="G86" s="8" t="s">
        <v>30</v>
      </c>
      <c r="H86" s="8" t="s">
        <v>30</v>
      </c>
      <c r="I86" s="8" t="s">
        <v>21</v>
      </c>
      <c r="J86" s="8" t="s">
        <v>33</v>
      </c>
      <c r="K86" s="66"/>
      <c r="L86" s="66"/>
      <c r="M86" s="74"/>
      <c r="N86" s="66"/>
    </row>
    <row r="87" spans="1:14" ht="16.5" customHeight="1" x14ac:dyDescent="0.25">
      <c r="A87" s="54" t="s">
        <v>78</v>
      </c>
      <c r="B87">
        <v>4</v>
      </c>
      <c r="C87" s="38" t="s">
        <v>19</v>
      </c>
      <c r="D87" s="5" t="s">
        <v>30</v>
      </c>
      <c r="E87" s="5" t="s">
        <v>30</v>
      </c>
      <c r="F87" s="5" t="s">
        <v>30</v>
      </c>
      <c r="G87" s="5" t="s">
        <v>30</v>
      </c>
      <c r="H87" s="5" t="s">
        <v>30</v>
      </c>
      <c r="I87" s="5" t="s">
        <v>21</v>
      </c>
      <c r="J87" s="5" t="s">
        <v>33</v>
      </c>
      <c r="K87" s="66" t="s">
        <v>34</v>
      </c>
      <c r="L87" s="66" t="s">
        <v>35</v>
      </c>
      <c r="M87" s="72" t="s">
        <v>35</v>
      </c>
      <c r="N87" s="66" t="s">
        <v>75</v>
      </c>
    </row>
    <row r="88" spans="1:14" x14ac:dyDescent="0.25">
      <c r="A88" s="24"/>
      <c r="B88" s="6">
        <v>4</v>
      </c>
      <c r="C88" t="s">
        <v>26</v>
      </c>
      <c r="D88" t="s">
        <v>30</v>
      </c>
      <c r="E88" t="s">
        <v>30</v>
      </c>
      <c r="F88" t="s">
        <v>30</v>
      </c>
      <c r="G88" t="s">
        <v>30</v>
      </c>
      <c r="H88" t="s">
        <v>30</v>
      </c>
      <c r="I88" t="s">
        <v>21</v>
      </c>
      <c r="J88" t="s">
        <v>33</v>
      </c>
      <c r="K88" s="66"/>
      <c r="L88" s="66"/>
      <c r="M88" s="73"/>
      <c r="N88" s="66"/>
    </row>
    <row r="89" spans="1:14" x14ac:dyDescent="0.25">
      <c r="A89" s="24"/>
      <c r="B89" s="6">
        <v>4</v>
      </c>
      <c r="C89" t="s">
        <v>27</v>
      </c>
      <c r="D89" t="s">
        <v>30</v>
      </c>
      <c r="E89" t="s">
        <v>30</v>
      </c>
      <c r="F89" t="s">
        <v>30</v>
      </c>
      <c r="G89" t="s">
        <v>30</v>
      </c>
      <c r="H89" t="s">
        <v>30</v>
      </c>
      <c r="I89" t="s">
        <v>21</v>
      </c>
      <c r="J89" t="s">
        <v>33</v>
      </c>
      <c r="K89" s="66"/>
      <c r="L89" s="66"/>
      <c r="M89" s="73"/>
      <c r="N89" s="66"/>
    </row>
    <row r="90" spans="1:14" x14ac:dyDescent="0.25">
      <c r="A90" s="55"/>
      <c r="B90">
        <v>4</v>
      </c>
      <c r="C90" s="8" t="s">
        <v>28</v>
      </c>
      <c r="D90" s="16" t="s">
        <v>30</v>
      </c>
      <c r="E90" s="16" t="s">
        <v>30</v>
      </c>
      <c r="F90" s="16" t="s">
        <v>30</v>
      </c>
      <c r="G90" s="16" t="s">
        <v>30</v>
      </c>
      <c r="H90" s="16" t="s">
        <v>30</v>
      </c>
      <c r="I90" s="16" t="s">
        <v>21</v>
      </c>
      <c r="J90" s="16" t="s">
        <v>33</v>
      </c>
      <c r="K90" s="66"/>
      <c r="L90" s="66"/>
      <c r="M90" s="74"/>
      <c r="N90" s="66"/>
    </row>
    <row r="91" spans="1:14" ht="16.5" customHeight="1" x14ac:dyDescent="0.25">
      <c r="A91" s="54" t="s">
        <v>79</v>
      </c>
      <c r="B91" s="6">
        <v>4</v>
      </c>
      <c r="C91" s="37" t="s">
        <v>19</v>
      </c>
      <c r="D91" s="5" t="s">
        <v>30</v>
      </c>
      <c r="E91" s="5" t="s">
        <v>30</v>
      </c>
      <c r="F91" s="5" t="s">
        <v>30</v>
      </c>
      <c r="G91" s="5" t="s">
        <v>30</v>
      </c>
      <c r="H91" s="5" t="s">
        <v>30</v>
      </c>
      <c r="I91" s="5" t="s">
        <v>21</v>
      </c>
      <c r="J91" s="5" t="s">
        <v>22</v>
      </c>
      <c r="K91" s="66" t="s">
        <v>22</v>
      </c>
      <c r="L91" s="66" t="s">
        <v>48</v>
      </c>
      <c r="M91" s="72" t="s">
        <v>80</v>
      </c>
      <c r="N91" s="66" t="s">
        <v>81</v>
      </c>
    </row>
    <row r="92" spans="1:14" x14ac:dyDescent="0.25">
      <c r="A92" s="24"/>
      <c r="B92" s="6">
        <v>4</v>
      </c>
      <c r="C92" t="s">
        <v>26</v>
      </c>
      <c r="D92" t="s">
        <v>30</v>
      </c>
      <c r="E92" t="s">
        <v>30</v>
      </c>
      <c r="F92" t="s">
        <v>30</v>
      </c>
      <c r="G92" t="s">
        <v>30</v>
      </c>
      <c r="H92" t="s">
        <v>30</v>
      </c>
      <c r="I92" t="s">
        <v>21</v>
      </c>
      <c r="J92" t="s">
        <v>22</v>
      </c>
      <c r="K92" s="66"/>
      <c r="L92" s="66"/>
      <c r="M92" s="73"/>
      <c r="N92" s="66"/>
    </row>
    <row r="93" spans="1:14" x14ac:dyDescent="0.25">
      <c r="A93" s="24"/>
      <c r="B93">
        <v>4</v>
      </c>
      <c r="C93" t="s">
        <v>27</v>
      </c>
      <c r="D93" t="s">
        <v>30</v>
      </c>
      <c r="E93" t="s">
        <v>30</v>
      </c>
      <c r="F93" t="s">
        <v>30</v>
      </c>
      <c r="G93" t="s">
        <v>30</v>
      </c>
      <c r="H93" t="s">
        <v>30</v>
      </c>
      <c r="I93" t="s">
        <v>21</v>
      </c>
      <c r="J93" t="s">
        <v>22</v>
      </c>
      <c r="K93" s="66"/>
      <c r="L93" s="66"/>
      <c r="M93" s="73"/>
      <c r="N93" s="66"/>
    </row>
    <row r="94" spans="1:14" x14ac:dyDescent="0.25">
      <c r="A94" s="55"/>
      <c r="B94" s="6">
        <v>4</v>
      </c>
      <c r="C94" s="8" t="s">
        <v>28</v>
      </c>
      <c r="D94" s="8" t="s">
        <v>30</v>
      </c>
      <c r="E94" s="8" t="s">
        <v>30</v>
      </c>
      <c r="F94" s="8" t="s">
        <v>30</v>
      </c>
      <c r="G94" s="8" t="s">
        <v>30</v>
      </c>
      <c r="H94" s="8" t="s">
        <v>30</v>
      </c>
      <c r="I94" s="8" t="s">
        <v>21</v>
      </c>
      <c r="J94" s="8" t="s">
        <v>22</v>
      </c>
      <c r="K94" s="66"/>
      <c r="L94" s="66"/>
      <c r="M94" s="74"/>
      <c r="N94" s="66"/>
    </row>
    <row r="95" spans="1:14" ht="16.5" customHeight="1" x14ac:dyDescent="0.25">
      <c r="A95" s="54" t="s">
        <v>82</v>
      </c>
      <c r="B95" s="6">
        <v>4</v>
      </c>
      <c r="C95" s="37" t="s">
        <v>19</v>
      </c>
      <c r="D95" t="s">
        <v>53</v>
      </c>
      <c r="E95" t="s">
        <v>30</v>
      </c>
      <c r="F95" t="s">
        <v>30</v>
      </c>
      <c r="G95" t="s">
        <v>30</v>
      </c>
      <c r="H95" t="s">
        <v>30</v>
      </c>
      <c r="I95" s="5" t="s">
        <v>21</v>
      </c>
      <c r="J95" t="s">
        <v>33</v>
      </c>
      <c r="K95" s="66" t="s">
        <v>34</v>
      </c>
      <c r="L95" s="66" t="s">
        <v>35</v>
      </c>
      <c r="M95" s="72" t="s">
        <v>35</v>
      </c>
      <c r="N95" s="66" t="s">
        <v>83</v>
      </c>
    </row>
    <row r="96" spans="1:14" x14ac:dyDescent="0.25">
      <c r="A96" s="24"/>
      <c r="B96">
        <v>4</v>
      </c>
      <c r="C96" t="s">
        <v>26</v>
      </c>
      <c r="D96" t="s">
        <v>53</v>
      </c>
      <c r="E96" t="s">
        <v>30</v>
      </c>
      <c r="F96" t="s">
        <v>30</v>
      </c>
      <c r="G96" t="s">
        <v>30</v>
      </c>
      <c r="H96" t="s">
        <v>30</v>
      </c>
      <c r="I96" t="s">
        <v>21</v>
      </c>
      <c r="J96" t="s">
        <v>33</v>
      </c>
      <c r="K96" s="66"/>
      <c r="L96" s="66"/>
      <c r="M96" s="73"/>
      <c r="N96" s="66"/>
    </row>
    <row r="97" spans="1:14" x14ac:dyDescent="0.25">
      <c r="A97" s="24"/>
      <c r="B97" s="6">
        <v>4</v>
      </c>
      <c r="C97" t="s">
        <v>27</v>
      </c>
      <c r="D97" t="s">
        <v>53</v>
      </c>
      <c r="E97" t="s">
        <v>30</v>
      </c>
      <c r="F97" t="s">
        <v>30</v>
      </c>
      <c r="G97" t="s">
        <v>30</v>
      </c>
      <c r="H97" t="s">
        <v>30</v>
      </c>
      <c r="I97" t="s">
        <v>21</v>
      </c>
      <c r="J97" t="s">
        <v>33</v>
      </c>
      <c r="K97" s="66"/>
      <c r="L97" s="66"/>
      <c r="M97" s="73"/>
      <c r="N97" s="66"/>
    </row>
    <row r="98" spans="1:14" x14ac:dyDescent="0.25">
      <c r="A98" s="55"/>
      <c r="B98" s="6">
        <v>4</v>
      </c>
      <c r="C98" s="8" t="s">
        <v>28</v>
      </c>
      <c r="D98" s="8" t="s">
        <v>53</v>
      </c>
      <c r="E98" s="8" t="s">
        <v>53</v>
      </c>
      <c r="F98" s="8" t="s">
        <v>53</v>
      </c>
      <c r="G98" s="8" t="s">
        <v>53</v>
      </c>
      <c r="H98" s="8" t="s">
        <v>53</v>
      </c>
      <c r="I98" s="8" t="s">
        <v>21</v>
      </c>
      <c r="J98" s="8" t="s">
        <v>57</v>
      </c>
      <c r="K98" s="66"/>
      <c r="L98" s="66"/>
      <c r="M98" s="74"/>
      <c r="N98" s="66"/>
    </row>
    <row r="99" spans="1:14" ht="16.5" customHeight="1" x14ac:dyDescent="0.25">
      <c r="A99" s="54" t="s">
        <v>84</v>
      </c>
      <c r="B99">
        <v>4</v>
      </c>
      <c r="C99" s="37" t="s">
        <v>19</v>
      </c>
      <c r="D99" t="s">
        <v>53</v>
      </c>
      <c r="E99" t="s">
        <v>30</v>
      </c>
      <c r="F99" t="s">
        <v>30</v>
      </c>
      <c r="G99" t="s">
        <v>30</v>
      </c>
      <c r="H99" t="s">
        <v>30</v>
      </c>
      <c r="I99" s="5" t="s">
        <v>21</v>
      </c>
      <c r="J99" s="5" t="s">
        <v>33</v>
      </c>
      <c r="K99" s="66" t="s">
        <v>34</v>
      </c>
      <c r="L99" s="66" t="s">
        <v>35</v>
      </c>
      <c r="M99" s="72" t="s">
        <v>35</v>
      </c>
      <c r="N99" s="66" t="s">
        <v>56</v>
      </c>
    </row>
    <row r="100" spans="1:14" x14ac:dyDescent="0.25">
      <c r="A100" s="24"/>
      <c r="B100" s="6">
        <v>4</v>
      </c>
      <c r="C100" t="s">
        <v>26</v>
      </c>
      <c r="D100" t="s">
        <v>53</v>
      </c>
      <c r="E100" t="s">
        <v>30</v>
      </c>
      <c r="F100" t="s">
        <v>30</v>
      </c>
      <c r="G100" t="s">
        <v>30</v>
      </c>
      <c r="H100" t="s">
        <v>30</v>
      </c>
      <c r="I100" t="s">
        <v>21</v>
      </c>
      <c r="J100" t="s">
        <v>33</v>
      </c>
      <c r="K100" s="66"/>
      <c r="L100" s="66"/>
      <c r="M100" s="73"/>
      <c r="N100" s="66"/>
    </row>
    <row r="101" spans="1:14" x14ac:dyDescent="0.25">
      <c r="A101" s="24"/>
      <c r="B101" s="6">
        <v>4</v>
      </c>
      <c r="C101" t="s">
        <v>27</v>
      </c>
      <c r="D101" t="s">
        <v>53</v>
      </c>
      <c r="E101" t="s">
        <v>30</v>
      </c>
      <c r="F101" t="s">
        <v>30</v>
      </c>
      <c r="G101" t="s">
        <v>30</v>
      </c>
      <c r="H101" t="s">
        <v>30</v>
      </c>
      <c r="I101" t="s">
        <v>21</v>
      </c>
      <c r="J101" t="s">
        <v>33</v>
      </c>
      <c r="K101" s="66"/>
      <c r="L101" s="66"/>
      <c r="M101" s="73"/>
      <c r="N101" s="66"/>
    </row>
    <row r="102" spans="1:14" x14ac:dyDescent="0.25">
      <c r="A102" s="55"/>
      <c r="B102">
        <v>4</v>
      </c>
      <c r="C102" t="s">
        <v>28</v>
      </c>
      <c r="D102" t="s">
        <v>53</v>
      </c>
      <c r="E102" t="s">
        <v>30</v>
      </c>
      <c r="F102" t="s">
        <v>30</v>
      </c>
      <c r="G102" t="s">
        <v>30</v>
      </c>
      <c r="H102" t="s">
        <v>30</v>
      </c>
      <c r="I102" t="s">
        <v>21</v>
      </c>
      <c r="J102" t="s">
        <v>33</v>
      </c>
      <c r="K102" s="66"/>
      <c r="L102" s="66"/>
      <c r="M102" s="74"/>
      <c r="N102" s="66"/>
    </row>
    <row r="103" spans="1:14" ht="16.5" customHeight="1" x14ac:dyDescent="0.25">
      <c r="A103" s="54" t="s">
        <v>85</v>
      </c>
      <c r="B103" s="6">
        <v>4</v>
      </c>
      <c r="C103" s="37" t="s">
        <v>19</v>
      </c>
      <c r="D103" s="14" t="s">
        <v>30</v>
      </c>
      <c r="E103" s="5" t="s">
        <v>20</v>
      </c>
      <c r="F103" s="5" t="s">
        <v>20</v>
      </c>
      <c r="G103" s="5" t="s">
        <v>20</v>
      </c>
      <c r="H103" s="5" t="s">
        <v>20</v>
      </c>
      <c r="I103" s="5" t="s">
        <v>21</v>
      </c>
      <c r="J103" s="5" t="s">
        <v>22</v>
      </c>
      <c r="K103" s="66" t="s">
        <v>22</v>
      </c>
      <c r="L103" s="66" t="s">
        <v>86</v>
      </c>
      <c r="M103" s="72" t="s">
        <v>80</v>
      </c>
      <c r="N103" s="66" t="s">
        <v>87</v>
      </c>
    </row>
    <row r="104" spans="1:14" x14ac:dyDescent="0.25">
      <c r="A104" s="24"/>
      <c r="B104" s="6">
        <v>4</v>
      </c>
      <c r="C104" t="s">
        <v>26</v>
      </c>
      <c r="D104" t="s">
        <v>53</v>
      </c>
      <c r="E104" t="s">
        <v>30</v>
      </c>
      <c r="F104" t="s">
        <v>30</v>
      </c>
      <c r="G104" t="s">
        <v>30</v>
      </c>
      <c r="H104" t="s">
        <v>30</v>
      </c>
      <c r="I104" t="s">
        <v>55</v>
      </c>
      <c r="J104" t="s">
        <v>62</v>
      </c>
      <c r="K104" s="66"/>
      <c r="L104" s="66"/>
      <c r="M104" s="73"/>
      <c r="N104" s="66"/>
    </row>
    <row r="105" spans="1:14" x14ac:dyDescent="0.25">
      <c r="A105" s="24"/>
      <c r="B105">
        <v>4</v>
      </c>
      <c r="C105" t="s">
        <v>27</v>
      </c>
      <c r="D105" t="s">
        <v>53</v>
      </c>
      <c r="E105" t="s">
        <v>30</v>
      </c>
      <c r="F105" t="s">
        <v>30</v>
      </c>
      <c r="G105" t="s">
        <v>30</v>
      </c>
      <c r="H105" t="s">
        <v>30</v>
      </c>
      <c r="I105" t="s">
        <v>55</v>
      </c>
      <c r="J105" t="s">
        <v>62</v>
      </c>
      <c r="K105" s="66"/>
      <c r="L105" s="66"/>
      <c r="M105" s="73"/>
      <c r="N105" s="66"/>
    </row>
    <row r="106" spans="1:14" x14ac:dyDescent="0.25">
      <c r="A106" s="55"/>
      <c r="B106" s="6">
        <v>4</v>
      </c>
      <c r="C106" s="8" t="s">
        <v>28</v>
      </c>
      <c r="D106" s="16" t="s">
        <v>53</v>
      </c>
      <c r="E106" s="16" t="s">
        <v>53</v>
      </c>
      <c r="F106" s="16" t="s">
        <v>53</v>
      </c>
      <c r="G106" s="16" t="s">
        <v>30</v>
      </c>
      <c r="H106" s="16" t="s">
        <v>30</v>
      </c>
      <c r="I106" s="16" t="s">
        <v>55</v>
      </c>
      <c r="J106" s="16" t="s">
        <v>62</v>
      </c>
      <c r="K106" s="66"/>
      <c r="L106" s="66"/>
      <c r="M106" s="74"/>
      <c r="N106" s="66"/>
    </row>
    <row r="107" spans="1:14" ht="16.5" customHeight="1" x14ac:dyDescent="0.25">
      <c r="A107" s="51" t="s">
        <v>88</v>
      </c>
      <c r="B107" s="29">
        <v>4</v>
      </c>
      <c r="C107" s="11" t="s">
        <v>19</v>
      </c>
      <c r="D107" s="2" t="s">
        <v>53</v>
      </c>
      <c r="E107" s="2" t="s">
        <v>30</v>
      </c>
      <c r="F107" s="2" t="s">
        <v>30</v>
      </c>
      <c r="G107" s="2" t="s">
        <v>30</v>
      </c>
      <c r="H107" s="2" t="s">
        <v>20</v>
      </c>
      <c r="I107" s="18" t="s">
        <v>21</v>
      </c>
      <c r="J107" s="2" t="s">
        <v>33</v>
      </c>
      <c r="K107" s="65" t="s">
        <v>34</v>
      </c>
      <c r="L107" s="65" t="s">
        <v>86</v>
      </c>
      <c r="M107" s="69" t="s">
        <v>24</v>
      </c>
      <c r="N107" s="65" t="s">
        <v>89</v>
      </c>
    </row>
    <row r="108" spans="1:14" x14ac:dyDescent="0.25">
      <c r="A108" s="52"/>
      <c r="B108" s="2">
        <v>4</v>
      </c>
      <c r="C108" s="2" t="s">
        <v>26</v>
      </c>
      <c r="D108" s="2" t="s">
        <v>53</v>
      </c>
      <c r="E108" s="2" t="s">
        <v>53</v>
      </c>
      <c r="F108" s="2" t="s">
        <v>53</v>
      </c>
      <c r="G108" s="2" t="s">
        <v>53</v>
      </c>
      <c r="H108" s="2" t="s">
        <v>53</v>
      </c>
      <c r="I108" s="2" t="s">
        <v>55</v>
      </c>
      <c r="J108" s="2" t="s">
        <v>57</v>
      </c>
      <c r="K108" s="65"/>
      <c r="L108" s="65"/>
      <c r="M108" s="70"/>
      <c r="N108" s="65"/>
    </row>
    <row r="109" spans="1:14" x14ac:dyDescent="0.25">
      <c r="A109" s="52"/>
      <c r="B109" s="29">
        <v>4</v>
      </c>
      <c r="C109" s="2" t="s">
        <v>27</v>
      </c>
      <c r="D109" s="2" t="s">
        <v>53</v>
      </c>
      <c r="E109" s="2" t="s">
        <v>53</v>
      </c>
      <c r="F109" s="2" t="s">
        <v>53</v>
      </c>
      <c r="G109" s="2" t="s">
        <v>53</v>
      </c>
      <c r="H109" s="2" t="s">
        <v>53</v>
      </c>
      <c r="I109" s="2" t="s">
        <v>55</v>
      </c>
      <c r="J109" s="2" t="s">
        <v>57</v>
      </c>
      <c r="K109" s="65"/>
      <c r="L109" s="65"/>
      <c r="M109" s="70"/>
      <c r="N109" s="65"/>
    </row>
    <row r="110" spans="1:14" x14ac:dyDescent="0.25">
      <c r="A110" s="53"/>
      <c r="B110" s="29">
        <v>4</v>
      </c>
      <c r="C110" s="7" t="s">
        <v>28</v>
      </c>
      <c r="D110" s="7" t="s">
        <v>53</v>
      </c>
      <c r="E110" s="7" t="s">
        <v>53</v>
      </c>
      <c r="F110" s="7" t="s">
        <v>53</v>
      </c>
      <c r="G110" s="7" t="s">
        <v>53</v>
      </c>
      <c r="H110" s="7" t="s">
        <v>53</v>
      </c>
      <c r="I110" s="7" t="s">
        <v>55</v>
      </c>
      <c r="J110" s="7" t="s">
        <v>57</v>
      </c>
      <c r="K110" s="65"/>
      <c r="L110" s="65"/>
      <c r="M110" s="71"/>
      <c r="N110" s="65"/>
    </row>
    <row r="111" spans="1:14" ht="16.5" customHeight="1" x14ac:dyDescent="0.25">
      <c r="A111" s="51" t="s">
        <v>90</v>
      </c>
      <c r="B111" s="2">
        <v>4</v>
      </c>
      <c r="C111" s="4" t="s">
        <v>19</v>
      </c>
      <c r="D111" s="18" t="s">
        <v>20</v>
      </c>
      <c r="E111" s="18" t="s">
        <v>20</v>
      </c>
      <c r="F111" s="18" t="s">
        <v>20</v>
      </c>
      <c r="G111" s="18" t="s">
        <v>20</v>
      </c>
      <c r="H111" s="18" t="s">
        <v>20</v>
      </c>
      <c r="I111" s="18" t="s">
        <v>21</v>
      </c>
      <c r="J111" s="2" t="s">
        <v>33</v>
      </c>
      <c r="K111" s="65" t="s">
        <v>34</v>
      </c>
      <c r="L111" s="65" t="s">
        <v>91</v>
      </c>
      <c r="M111" s="69" t="s">
        <v>24</v>
      </c>
      <c r="N111" s="65" t="s">
        <v>89</v>
      </c>
    </row>
    <row r="112" spans="1:14" x14ac:dyDescent="0.25">
      <c r="A112" s="52"/>
      <c r="B112" s="29">
        <v>4</v>
      </c>
      <c r="C112" s="2" t="s">
        <v>26</v>
      </c>
      <c r="D112" s="2" t="s">
        <v>20</v>
      </c>
      <c r="E112" s="2" t="s">
        <v>20</v>
      </c>
      <c r="F112" s="2" t="s">
        <v>20</v>
      </c>
      <c r="G112" s="2" t="s">
        <v>20</v>
      </c>
      <c r="H112" s="2" t="s">
        <v>20</v>
      </c>
      <c r="I112" s="2" t="s">
        <v>21</v>
      </c>
      <c r="J112" s="2" t="s">
        <v>33</v>
      </c>
      <c r="K112" s="65"/>
      <c r="L112" s="65"/>
      <c r="M112" s="70"/>
      <c r="N112" s="65"/>
    </row>
    <row r="113" spans="1:14" x14ac:dyDescent="0.25">
      <c r="A113" s="52"/>
      <c r="B113" s="29">
        <v>4</v>
      </c>
      <c r="C113" s="2" t="s">
        <v>27</v>
      </c>
      <c r="D113" s="2" t="s">
        <v>20</v>
      </c>
      <c r="E113" s="2" t="s">
        <v>20</v>
      </c>
      <c r="F113" s="2" t="s">
        <v>20</v>
      </c>
      <c r="G113" s="2" t="s">
        <v>20</v>
      </c>
      <c r="H113" s="2" t="s">
        <v>20</v>
      </c>
      <c r="I113" s="2" t="s">
        <v>21</v>
      </c>
      <c r="J113" s="2" t="s">
        <v>33</v>
      </c>
      <c r="K113" s="65"/>
      <c r="L113" s="65"/>
      <c r="M113" s="70"/>
      <c r="N113" s="65"/>
    </row>
    <row r="114" spans="1:14" x14ac:dyDescent="0.25">
      <c r="A114" s="53"/>
      <c r="B114" s="2">
        <v>4</v>
      </c>
      <c r="C114" s="7" t="s">
        <v>28</v>
      </c>
      <c r="D114" s="7" t="s">
        <v>20</v>
      </c>
      <c r="E114" s="7" t="s">
        <v>20</v>
      </c>
      <c r="F114" s="7" t="s">
        <v>20</v>
      </c>
      <c r="G114" s="7" t="s">
        <v>20</v>
      </c>
      <c r="H114" s="7" t="s">
        <v>20</v>
      </c>
      <c r="I114" s="7" t="s">
        <v>21</v>
      </c>
      <c r="J114" s="7" t="s">
        <v>33</v>
      </c>
      <c r="K114" s="65"/>
      <c r="L114" s="65"/>
      <c r="M114" s="71"/>
      <c r="N114" s="65"/>
    </row>
    <row r="115" spans="1:14" ht="16.5" customHeight="1" x14ac:dyDescent="0.25">
      <c r="A115" s="51" t="s">
        <v>92</v>
      </c>
      <c r="B115" s="29">
        <v>4</v>
      </c>
      <c r="C115" s="4" t="s">
        <v>19</v>
      </c>
      <c r="D115" s="18" t="s">
        <v>53</v>
      </c>
      <c r="E115" s="18" t="s">
        <v>30</v>
      </c>
      <c r="F115" s="18" t="s">
        <v>30</v>
      </c>
      <c r="G115" s="18" t="s">
        <v>30</v>
      </c>
      <c r="H115" s="18" t="s">
        <v>30</v>
      </c>
      <c r="I115" s="18" t="s">
        <v>55</v>
      </c>
      <c r="J115" s="18" t="s">
        <v>62</v>
      </c>
      <c r="K115" s="65" t="s">
        <v>62</v>
      </c>
      <c r="L115" s="65" t="s">
        <v>86</v>
      </c>
      <c r="M115" s="69" t="s">
        <v>24</v>
      </c>
      <c r="N115" s="65" t="s">
        <v>89</v>
      </c>
    </row>
    <row r="116" spans="1:14" x14ac:dyDescent="0.25">
      <c r="A116" s="52"/>
      <c r="B116" s="29">
        <v>4</v>
      </c>
      <c r="C116" s="2" t="s">
        <v>26</v>
      </c>
      <c r="D116" s="2" t="s">
        <v>53</v>
      </c>
      <c r="E116" s="2" t="s">
        <v>30</v>
      </c>
      <c r="F116" s="2" t="s">
        <v>30</v>
      </c>
      <c r="G116" s="2" t="s">
        <v>30</v>
      </c>
      <c r="H116" s="2" t="s">
        <v>30</v>
      </c>
      <c r="I116" s="2" t="s">
        <v>55</v>
      </c>
      <c r="J116" s="2" t="s">
        <v>62</v>
      </c>
      <c r="K116" s="65"/>
      <c r="L116" s="65"/>
      <c r="M116" s="70"/>
      <c r="N116" s="65"/>
    </row>
    <row r="117" spans="1:14" x14ac:dyDescent="0.25">
      <c r="A117" s="52"/>
      <c r="B117" s="2">
        <v>4</v>
      </c>
      <c r="C117" s="2" t="s">
        <v>27</v>
      </c>
      <c r="D117" s="2" t="s">
        <v>53</v>
      </c>
      <c r="E117" s="2" t="s">
        <v>30</v>
      </c>
      <c r="F117" s="2" t="s">
        <v>30</v>
      </c>
      <c r="G117" s="2" t="s">
        <v>30</v>
      </c>
      <c r="H117" s="2" t="s">
        <v>30</v>
      </c>
      <c r="I117" s="2" t="s">
        <v>55</v>
      </c>
      <c r="J117" s="2" t="s">
        <v>62</v>
      </c>
      <c r="K117" s="65"/>
      <c r="L117" s="65"/>
      <c r="M117" s="70"/>
      <c r="N117" s="65"/>
    </row>
    <row r="118" spans="1:14" x14ac:dyDescent="0.25">
      <c r="A118" s="53"/>
      <c r="B118" s="29">
        <v>4</v>
      </c>
      <c r="C118" s="7" t="s">
        <v>28</v>
      </c>
      <c r="D118" s="7" t="s">
        <v>53</v>
      </c>
      <c r="E118" s="7" t="s">
        <v>30</v>
      </c>
      <c r="F118" s="7" t="s">
        <v>30</v>
      </c>
      <c r="G118" s="7" t="s">
        <v>30</v>
      </c>
      <c r="H118" s="7" t="s">
        <v>30</v>
      </c>
      <c r="I118" s="7" t="s">
        <v>55</v>
      </c>
      <c r="J118" s="35" t="s">
        <v>62</v>
      </c>
      <c r="K118" s="65"/>
      <c r="L118" s="65"/>
      <c r="M118" s="71"/>
      <c r="N118" s="65"/>
    </row>
    <row r="119" spans="1:14" ht="16.5" customHeight="1" x14ac:dyDescent="0.25">
      <c r="A119" s="54" t="s">
        <v>93</v>
      </c>
      <c r="B119" s="6">
        <v>4</v>
      </c>
      <c r="C119" s="38" t="s">
        <v>19</v>
      </c>
      <c r="D119" t="s">
        <v>30</v>
      </c>
      <c r="E119" t="s">
        <v>20</v>
      </c>
      <c r="F119" t="s">
        <v>20</v>
      </c>
      <c r="G119" t="s">
        <v>20</v>
      </c>
      <c r="H119" t="s">
        <v>20</v>
      </c>
      <c r="I119" s="5" t="s">
        <v>21</v>
      </c>
      <c r="J119" t="s">
        <v>22</v>
      </c>
      <c r="K119" s="66" t="s">
        <v>22</v>
      </c>
      <c r="L119" s="66" t="s">
        <v>48</v>
      </c>
      <c r="M119" s="72" t="s">
        <v>80</v>
      </c>
      <c r="N119" s="66" t="s">
        <v>56</v>
      </c>
    </row>
    <row r="120" spans="1:14" x14ac:dyDescent="0.25">
      <c r="A120" s="24"/>
      <c r="B120">
        <v>4</v>
      </c>
      <c r="C120" t="s">
        <v>26</v>
      </c>
      <c r="D120" t="s">
        <v>30</v>
      </c>
      <c r="E120" t="s">
        <v>20</v>
      </c>
      <c r="F120" t="s">
        <v>20</v>
      </c>
      <c r="G120" t="s">
        <v>20</v>
      </c>
      <c r="H120" t="s">
        <v>20</v>
      </c>
      <c r="I120" t="s">
        <v>21</v>
      </c>
      <c r="J120" t="s">
        <v>22</v>
      </c>
      <c r="K120" s="66"/>
      <c r="L120" s="66"/>
      <c r="M120" s="73"/>
      <c r="N120" s="66"/>
    </row>
    <row r="121" spans="1:14" x14ac:dyDescent="0.25">
      <c r="A121" s="24"/>
      <c r="B121" s="6">
        <v>4</v>
      </c>
      <c r="C121" t="s">
        <v>27</v>
      </c>
      <c r="D121" t="s">
        <v>30</v>
      </c>
      <c r="E121" t="s">
        <v>20</v>
      </c>
      <c r="F121" t="s">
        <v>20</v>
      </c>
      <c r="G121" t="s">
        <v>20</v>
      </c>
      <c r="H121" t="s">
        <v>20</v>
      </c>
      <c r="I121" t="s">
        <v>21</v>
      </c>
      <c r="J121" t="s">
        <v>22</v>
      </c>
      <c r="K121" s="66"/>
      <c r="L121" s="66"/>
      <c r="M121" s="73"/>
      <c r="N121" s="66"/>
    </row>
    <row r="122" spans="1:14" x14ac:dyDescent="0.25">
      <c r="A122" s="55"/>
      <c r="B122" s="6">
        <v>4</v>
      </c>
      <c r="C122" s="8" t="s">
        <v>28</v>
      </c>
      <c r="D122" t="s">
        <v>30</v>
      </c>
      <c r="E122" t="s">
        <v>20</v>
      </c>
      <c r="F122" t="s">
        <v>20</v>
      </c>
      <c r="G122" t="s">
        <v>20</v>
      </c>
      <c r="H122" t="s">
        <v>20</v>
      </c>
      <c r="I122" s="8" t="s">
        <v>21</v>
      </c>
      <c r="J122" s="8" t="s">
        <v>22</v>
      </c>
      <c r="K122" s="66"/>
      <c r="L122" s="66"/>
      <c r="M122" s="74"/>
      <c r="N122" s="66"/>
    </row>
    <row r="123" spans="1:14" ht="16.5" customHeight="1" x14ac:dyDescent="0.25">
      <c r="A123" s="54" t="s">
        <v>94</v>
      </c>
      <c r="B123">
        <v>4</v>
      </c>
      <c r="C123" s="37" t="s">
        <v>19</v>
      </c>
      <c r="D123" s="5" t="s">
        <v>53</v>
      </c>
      <c r="E123" s="5" t="s">
        <v>30</v>
      </c>
      <c r="F123" s="5" t="s">
        <v>30</v>
      </c>
      <c r="G123" s="5" t="s">
        <v>30</v>
      </c>
      <c r="H123" s="5" t="s">
        <v>30</v>
      </c>
      <c r="I123" t="s">
        <v>32</v>
      </c>
      <c r="J123" t="s">
        <v>33</v>
      </c>
      <c r="K123" s="66" t="s">
        <v>34</v>
      </c>
      <c r="L123" s="66" t="s">
        <v>95</v>
      </c>
      <c r="M123" s="72" t="s">
        <v>39</v>
      </c>
      <c r="N123" s="66" t="s">
        <v>56</v>
      </c>
    </row>
    <row r="124" spans="1:14" x14ac:dyDescent="0.25">
      <c r="A124" s="24"/>
      <c r="B124" s="6">
        <v>4</v>
      </c>
      <c r="C124" t="s">
        <v>26</v>
      </c>
      <c r="D124" t="s">
        <v>53</v>
      </c>
      <c r="E124" t="s">
        <v>30</v>
      </c>
      <c r="F124" t="s">
        <v>30</v>
      </c>
      <c r="G124" t="s">
        <v>30</v>
      </c>
      <c r="H124" t="s">
        <v>30</v>
      </c>
      <c r="I124" t="s">
        <v>32</v>
      </c>
      <c r="J124" t="s">
        <v>33</v>
      </c>
      <c r="K124" s="66"/>
      <c r="L124" s="66"/>
      <c r="M124" s="73"/>
      <c r="N124" s="66"/>
    </row>
    <row r="125" spans="1:14" x14ac:dyDescent="0.25">
      <c r="A125" s="24"/>
      <c r="B125" s="6">
        <v>4</v>
      </c>
      <c r="C125" t="s">
        <v>27</v>
      </c>
      <c r="D125" t="s">
        <v>53</v>
      </c>
      <c r="E125" t="s">
        <v>30</v>
      </c>
      <c r="F125" t="s">
        <v>30</v>
      </c>
      <c r="G125" t="s">
        <v>30</v>
      </c>
      <c r="H125" t="s">
        <v>30</v>
      </c>
      <c r="I125" t="s">
        <v>32</v>
      </c>
      <c r="J125" t="s">
        <v>33</v>
      </c>
      <c r="K125" s="66"/>
      <c r="L125" s="66"/>
      <c r="M125" s="73"/>
      <c r="N125" s="66"/>
    </row>
    <row r="126" spans="1:14" x14ac:dyDescent="0.25">
      <c r="A126" s="55"/>
      <c r="B126">
        <v>4</v>
      </c>
      <c r="C126" s="8" t="s">
        <v>28</v>
      </c>
      <c r="D126" s="8" t="s">
        <v>53</v>
      </c>
      <c r="E126" s="8" t="s">
        <v>30</v>
      </c>
      <c r="F126" s="8" t="s">
        <v>30</v>
      </c>
      <c r="G126" s="8" t="s">
        <v>30</v>
      </c>
      <c r="H126" s="8" t="s">
        <v>30</v>
      </c>
      <c r="I126" s="8" t="s">
        <v>32</v>
      </c>
      <c r="J126" s="8" t="s">
        <v>33</v>
      </c>
      <c r="K126" s="66"/>
      <c r="L126" s="66"/>
      <c r="M126" s="74"/>
      <c r="N126" s="66"/>
    </row>
    <row r="127" spans="1:14" ht="16.5" customHeight="1" x14ac:dyDescent="0.25">
      <c r="A127" s="59" t="s">
        <v>96</v>
      </c>
      <c r="B127" s="2">
        <v>5</v>
      </c>
      <c r="C127" s="4" t="s">
        <v>19</v>
      </c>
      <c r="D127" s="30" t="s">
        <v>20</v>
      </c>
      <c r="E127" s="30" t="s">
        <v>20</v>
      </c>
      <c r="F127" s="30" t="s">
        <v>20</v>
      </c>
      <c r="G127" s="30" t="s">
        <v>20</v>
      </c>
      <c r="H127" s="30" t="s">
        <v>20</v>
      </c>
      <c r="I127" s="30" t="s">
        <v>21</v>
      </c>
      <c r="J127" s="30" t="s">
        <v>22</v>
      </c>
      <c r="K127" s="67" t="s">
        <v>22</v>
      </c>
      <c r="L127" s="67" t="s">
        <v>95</v>
      </c>
      <c r="M127" s="75" t="s">
        <v>24</v>
      </c>
      <c r="N127" s="67" t="s">
        <v>97</v>
      </c>
    </row>
    <row r="128" spans="1:14" x14ac:dyDescent="0.25">
      <c r="A128" s="60"/>
      <c r="B128" s="2">
        <v>5</v>
      </c>
      <c r="C128" s="2" t="s">
        <v>26</v>
      </c>
      <c r="D128" s="31" t="s">
        <v>20</v>
      </c>
      <c r="E128" s="31" t="s">
        <v>20</v>
      </c>
      <c r="F128" s="31" t="s">
        <v>20</v>
      </c>
      <c r="G128" s="31" t="s">
        <v>20</v>
      </c>
      <c r="H128" s="31" t="s">
        <v>20</v>
      </c>
      <c r="I128" s="31" t="s">
        <v>32</v>
      </c>
      <c r="J128" s="31" t="s">
        <v>22</v>
      </c>
      <c r="K128" s="67"/>
      <c r="L128" s="67"/>
      <c r="M128" s="76"/>
      <c r="N128" s="67"/>
    </row>
    <row r="129" spans="1:14" x14ac:dyDescent="0.25">
      <c r="A129" s="60"/>
      <c r="B129" s="2">
        <v>5</v>
      </c>
      <c r="C129" s="2" t="s">
        <v>27</v>
      </c>
      <c r="D129" s="31" t="s">
        <v>20</v>
      </c>
      <c r="E129" s="31" t="s">
        <v>20</v>
      </c>
      <c r="F129" s="31" t="s">
        <v>20</v>
      </c>
      <c r="G129" s="31" t="s">
        <v>20</v>
      </c>
      <c r="H129" s="31" t="s">
        <v>20</v>
      </c>
      <c r="I129" s="31" t="s">
        <v>21</v>
      </c>
      <c r="J129" s="31" t="s">
        <v>22</v>
      </c>
      <c r="K129" s="67"/>
      <c r="L129" s="67"/>
      <c r="M129" s="76"/>
      <c r="N129" s="67"/>
    </row>
    <row r="130" spans="1:14" x14ac:dyDescent="0.25">
      <c r="A130" s="61"/>
      <c r="B130" s="2">
        <v>5</v>
      </c>
      <c r="C130" s="7" t="s">
        <v>28</v>
      </c>
      <c r="D130" s="7" t="s">
        <v>20</v>
      </c>
      <c r="E130" s="7" t="s">
        <v>20</v>
      </c>
      <c r="F130" s="7" t="s">
        <v>20</v>
      </c>
      <c r="G130" s="7" t="s">
        <v>20</v>
      </c>
      <c r="H130" s="7" t="s">
        <v>20</v>
      </c>
      <c r="I130" s="7" t="s">
        <v>32</v>
      </c>
      <c r="J130" s="7" t="s">
        <v>22</v>
      </c>
      <c r="K130" s="67"/>
      <c r="L130" s="67"/>
      <c r="M130" s="77"/>
      <c r="N130" s="67"/>
    </row>
    <row r="131" spans="1:14" ht="16.5" customHeight="1" x14ac:dyDescent="0.25">
      <c r="A131" s="48" t="s">
        <v>98</v>
      </c>
      <c r="B131">
        <v>5</v>
      </c>
      <c r="C131" s="37" t="s">
        <v>19</v>
      </c>
      <c r="D131" s="14" t="s">
        <v>53</v>
      </c>
      <c r="E131" s="14" t="s">
        <v>53</v>
      </c>
      <c r="F131" s="14" t="s">
        <v>53</v>
      </c>
      <c r="G131" s="14" t="s">
        <v>30</v>
      </c>
      <c r="H131" s="14" t="s">
        <v>30</v>
      </c>
      <c r="I131" s="14" t="s">
        <v>21</v>
      </c>
      <c r="J131" s="14" t="s">
        <v>33</v>
      </c>
      <c r="K131" s="68" t="s">
        <v>34</v>
      </c>
      <c r="L131" s="68" t="s">
        <v>35</v>
      </c>
      <c r="M131" s="78" t="s">
        <v>35</v>
      </c>
      <c r="N131" s="68" t="s">
        <v>51</v>
      </c>
    </row>
    <row r="132" spans="1:14" x14ac:dyDescent="0.25">
      <c r="A132" s="49"/>
      <c r="B132">
        <v>5</v>
      </c>
      <c r="C132" t="s">
        <v>26</v>
      </c>
      <c r="D132" s="15" t="s">
        <v>53</v>
      </c>
      <c r="E132" s="15" t="s">
        <v>53</v>
      </c>
      <c r="F132" s="15" t="s">
        <v>53</v>
      </c>
      <c r="G132" s="15" t="s">
        <v>53</v>
      </c>
      <c r="H132" s="15" t="s">
        <v>30</v>
      </c>
      <c r="I132" s="15" t="s">
        <v>21</v>
      </c>
      <c r="J132" s="15" t="s">
        <v>33</v>
      </c>
      <c r="K132" s="68"/>
      <c r="L132" s="68"/>
      <c r="M132" s="79"/>
      <c r="N132" s="68"/>
    </row>
    <row r="133" spans="1:14" x14ac:dyDescent="0.25">
      <c r="A133" s="49"/>
      <c r="B133">
        <v>5</v>
      </c>
      <c r="C133" t="s">
        <v>27</v>
      </c>
      <c r="D133" s="15" t="s">
        <v>53</v>
      </c>
      <c r="E133" s="15" t="s">
        <v>53</v>
      </c>
      <c r="F133" s="15" t="s">
        <v>53</v>
      </c>
      <c r="G133" s="15" t="s">
        <v>30</v>
      </c>
      <c r="H133" s="15" t="s">
        <v>30</v>
      </c>
      <c r="I133" s="15" t="s">
        <v>21</v>
      </c>
      <c r="J133" s="15" t="s">
        <v>33</v>
      </c>
      <c r="K133" s="68"/>
      <c r="L133" s="68"/>
      <c r="M133" s="79"/>
      <c r="N133" s="68"/>
    </row>
    <row r="134" spans="1:14" x14ac:dyDescent="0.25">
      <c r="A134" s="50"/>
      <c r="B134">
        <v>5</v>
      </c>
      <c r="C134" s="8" t="s">
        <v>28</v>
      </c>
      <c r="D134" s="8" t="s">
        <v>53</v>
      </c>
      <c r="E134" s="8" t="s">
        <v>53</v>
      </c>
      <c r="F134" s="8" t="s">
        <v>53</v>
      </c>
      <c r="G134" s="8" t="s">
        <v>53</v>
      </c>
      <c r="H134" s="8" t="s">
        <v>30</v>
      </c>
      <c r="I134" s="8" t="s">
        <v>21</v>
      </c>
      <c r="J134" s="8" t="s">
        <v>33</v>
      </c>
      <c r="K134" s="68"/>
      <c r="L134" s="68"/>
      <c r="M134" s="80"/>
      <c r="N134" s="68"/>
    </row>
    <row r="135" spans="1:14" ht="16.5" customHeight="1" x14ac:dyDescent="0.25">
      <c r="A135" s="48" t="s">
        <v>99</v>
      </c>
      <c r="B135">
        <v>5</v>
      </c>
      <c r="C135" s="37" t="s">
        <v>19</v>
      </c>
      <c r="D135" s="14" t="s">
        <v>20</v>
      </c>
      <c r="E135" s="14" t="s">
        <v>20</v>
      </c>
      <c r="F135" s="14" t="s">
        <v>20</v>
      </c>
      <c r="G135" s="14" t="s">
        <v>20</v>
      </c>
      <c r="H135" s="14" t="s">
        <v>20</v>
      </c>
      <c r="I135" s="14" t="s">
        <v>21</v>
      </c>
      <c r="J135" s="14" t="s">
        <v>22</v>
      </c>
      <c r="K135" s="68" t="s">
        <v>22</v>
      </c>
      <c r="L135" s="68" t="s">
        <v>48</v>
      </c>
      <c r="M135" s="78" t="s">
        <v>24</v>
      </c>
      <c r="N135" s="66" t="s">
        <v>75</v>
      </c>
    </row>
    <row r="136" spans="1:14" x14ac:dyDescent="0.25">
      <c r="A136" s="49"/>
      <c r="B136">
        <v>5</v>
      </c>
      <c r="C136" t="s">
        <v>26</v>
      </c>
      <c r="D136" s="15" t="s">
        <v>20</v>
      </c>
      <c r="E136" s="15" t="s">
        <v>20</v>
      </c>
      <c r="F136" s="15" t="s">
        <v>20</v>
      </c>
      <c r="G136" s="15" t="s">
        <v>20</v>
      </c>
      <c r="H136" s="15" t="s">
        <v>20</v>
      </c>
      <c r="I136" s="15" t="s">
        <v>21</v>
      </c>
      <c r="J136" s="15" t="s">
        <v>22</v>
      </c>
      <c r="K136" s="68"/>
      <c r="L136" s="68"/>
      <c r="M136" s="79"/>
      <c r="N136" s="66"/>
    </row>
    <row r="137" spans="1:14" x14ac:dyDescent="0.25">
      <c r="A137" s="49"/>
      <c r="B137">
        <v>5</v>
      </c>
      <c r="C137" t="s">
        <v>27</v>
      </c>
      <c r="D137" s="15" t="s">
        <v>20</v>
      </c>
      <c r="E137" s="15" t="s">
        <v>20</v>
      </c>
      <c r="F137" s="15" t="s">
        <v>20</v>
      </c>
      <c r="G137" s="15" t="s">
        <v>20</v>
      </c>
      <c r="H137" s="15" t="s">
        <v>20</v>
      </c>
      <c r="I137" s="15" t="s">
        <v>21</v>
      </c>
      <c r="J137" s="15" t="s">
        <v>22</v>
      </c>
      <c r="K137" s="68"/>
      <c r="L137" s="68"/>
      <c r="M137" s="79"/>
      <c r="N137" s="66"/>
    </row>
    <row r="138" spans="1:14" x14ac:dyDescent="0.25">
      <c r="A138" s="50"/>
      <c r="B138">
        <v>5</v>
      </c>
      <c r="C138" s="8" t="s">
        <v>28</v>
      </c>
      <c r="D138" s="8" t="s">
        <v>20</v>
      </c>
      <c r="E138" s="8" t="s">
        <v>20</v>
      </c>
      <c r="F138" s="8" t="s">
        <v>20</v>
      </c>
      <c r="G138" s="8" t="s">
        <v>20</v>
      </c>
      <c r="H138" s="8" t="s">
        <v>20</v>
      </c>
      <c r="I138" s="8" t="s">
        <v>21</v>
      </c>
      <c r="J138" s="8" t="s">
        <v>22</v>
      </c>
      <c r="K138" s="68"/>
      <c r="L138" s="68"/>
      <c r="M138" s="80"/>
      <c r="N138" s="66"/>
    </row>
    <row r="139" spans="1:14" ht="16.5" customHeight="1" x14ac:dyDescent="0.25">
      <c r="A139" s="48" t="s">
        <v>100</v>
      </c>
      <c r="B139">
        <v>5</v>
      </c>
      <c r="C139" s="37" t="s">
        <v>19</v>
      </c>
      <c r="D139" s="14" t="s">
        <v>53</v>
      </c>
      <c r="E139" s="14" t="s">
        <v>30</v>
      </c>
      <c r="F139" s="14" t="s">
        <v>30</v>
      </c>
      <c r="G139" s="14" t="s">
        <v>20</v>
      </c>
      <c r="H139" s="14" t="s">
        <v>20</v>
      </c>
      <c r="I139" s="14" t="s">
        <v>21</v>
      </c>
      <c r="J139" s="14" t="s">
        <v>22</v>
      </c>
      <c r="K139" s="68" t="s">
        <v>22</v>
      </c>
      <c r="L139" s="68" t="s">
        <v>48</v>
      </c>
      <c r="M139" s="78" t="s">
        <v>24</v>
      </c>
      <c r="N139" s="66" t="s">
        <v>101</v>
      </c>
    </row>
    <row r="140" spans="1:14" x14ac:dyDescent="0.25">
      <c r="A140" s="49"/>
      <c r="B140">
        <v>5</v>
      </c>
      <c r="C140" t="s">
        <v>26</v>
      </c>
      <c r="D140" s="15" t="s">
        <v>53</v>
      </c>
      <c r="E140" s="15" t="s">
        <v>30</v>
      </c>
      <c r="F140" s="15" t="s">
        <v>30</v>
      </c>
      <c r="G140" s="15" t="s">
        <v>30</v>
      </c>
      <c r="H140" s="15" t="s">
        <v>30</v>
      </c>
      <c r="I140" s="15" t="s">
        <v>21</v>
      </c>
      <c r="J140" s="15" t="s">
        <v>22</v>
      </c>
      <c r="K140" s="68"/>
      <c r="L140" s="68"/>
      <c r="M140" s="79"/>
      <c r="N140" s="66"/>
    </row>
    <row r="141" spans="1:14" x14ac:dyDescent="0.25">
      <c r="A141" s="49"/>
      <c r="B141">
        <v>5</v>
      </c>
      <c r="C141" t="s">
        <v>27</v>
      </c>
      <c r="D141" s="15" t="s">
        <v>53</v>
      </c>
      <c r="E141" s="15" t="s">
        <v>30</v>
      </c>
      <c r="F141" s="15" t="s">
        <v>30</v>
      </c>
      <c r="G141" s="15" t="s">
        <v>20</v>
      </c>
      <c r="H141" s="15" t="s">
        <v>20</v>
      </c>
      <c r="I141" s="15" t="s">
        <v>21</v>
      </c>
      <c r="J141" s="15" t="s">
        <v>22</v>
      </c>
      <c r="K141" s="68"/>
      <c r="L141" s="68"/>
      <c r="M141" s="79"/>
      <c r="N141" s="66"/>
    </row>
    <row r="142" spans="1:14" x14ac:dyDescent="0.25">
      <c r="A142" s="50"/>
      <c r="B142">
        <v>5</v>
      </c>
      <c r="C142" s="8" t="s">
        <v>28</v>
      </c>
      <c r="D142" s="8" t="s">
        <v>53</v>
      </c>
      <c r="E142" s="8" t="s">
        <v>30</v>
      </c>
      <c r="F142" s="8" t="s">
        <v>30</v>
      </c>
      <c r="G142" s="8" t="s">
        <v>30</v>
      </c>
      <c r="H142" s="8" t="s">
        <v>30</v>
      </c>
      <c r="I142" s="8" t="s">
        <v>21</v>
      </c>
      <c r="J142" s="8" t="s">
        <v>33</v>
      </c>
      <c r="K142" s="68"/>
      <c r="L142" s="68"/>
      <c r="M142" s="80"/>
      <c r="N142" s="66"/>
    </row>
    <row r="143" spans="1:14" ht="16.5" customHeight="1" x14ac:dyDescent="0.25">
      <c r="A143" s="48" t="s">
        <v>102</v>
      </c>
      <c r="B143">
        <v>5</v>
      </c>
      <c r="C143" s="37" t="s">
        <v>19</v>
      </c>
      <c r="D143" s="14" t="s">
        <v>30</v>
      </c>
      <c r="E143" s="14" t="s">
        <v>30</v>
      </c>
      <c r="F143" s="14" t="s">
        <v>30</v>
      </c>
      <c r="G143" s="14" t="s">
        <v>20</v>
      </c>
      <c r="H143" s="14" t="s">
        <v>20</v>
      </c>
      <c r="I143" s="14" t="s">
        <v>21</v>
      </c>
      <c r="J143" s="14" t="s">
        <v>33</v>
      </c>
      <c r="K143" s="68" t="s">
        <v>34</v>
      </c>
      <c r="L143" s="68" t="s">
        <v>35</v>
      </c>
      <c r="M143" s="78" t="s">
        <v>24</v>
      </c>
      <c r="N143" s="68" t="s">
        <v>103</v>
      </c>
    </row>
    <row r="144" spans="1:14" x14ac:dyDescent="0.25">
      <c r="A144" s="49"/>
      <c r="B144">
        <v>5</v>
      </c>
      <c r="C144" t="s">
        <v>26</v>
      </c>
      <c r="D144" s="15" t="s">
        <v>30</v>
      </c>
      <c r="E144" s="15" t="s">
        <v>30</v>
      </c>
      <c r="F144" s="15" t="s">
        <v>30</v>
      </c>
      <c r="G144" s="15" t="s">
        <v>30</v>
      </c>
      <c r="H144" s="15" t="s">
        <v>30</v>
      </c>
      <c r="I144" s="15" t="s">
        <v>21</v>
      </c>
      <c r="J144" s="15" t="s">
        <v>33</v>
      </c>
      <c r="K144" s="68"/>
      <c r="L144" s="68"/>
      <c r="M144" s="79"/>
      <c r="N144" s="68"/>
    </row>
    <row r="145" spans="1:14" x14ac:dyDescent="0.25">
      <c r="A145" s="49"/>
      <c r="B145">
        <v>5</v>
      </c>
      <c r="C145" t="s">
        <v>27</v>
      </c>
      <c r="D145" s="15" t="s">
        <v>30</v>
      </c>
      <c r="E145" s="15" t="s">
        <v>30</v>
      </c>
      <c r="F145" s="15" t="s">
        <v>30</v>
      </c>
      <c r="G145" s="15" t="s">
        <v>30</v>
      </c>
      <c r="H145" s="15" t="s">
        <v>30</v>
      </c>
      <c r="I145" s="15" t="s">
        <v>21</v>
      </c>
      <c r="J145" s="15" t="s">
        <v>33</v>
      </c>
      <c r="K145" s="68"/>
      <c r="L145" s="68"/>
      <c r="M145" s="79"/>
      <c r="N145" s="68"/>
    </row>
    <row r="146" spans="1:14" x14ac:dyDescent="0.25">
      <c r="A146" s="50"/>
      <c r="B146">
        <v>5</v>
      </c>
      <c r="C146" s="8" t="s">
        <v>28</v>
      </c>
      <c r="D146" s="16" t="s">
        <v>30</v>
      </c>
      <c r="E146" s="16" t="s">
        <v>30</v>
      </c>
      <c r="F146" s="16" t="s">
        <v>30</v>
      </c>
      <c r="G146" s="16" t="s">
        <v>30</v>
      </c>
      <c r="H146" s="16" t="s">
        <v>30</v>
      </c>
      <c r="I146" s="16" t="s">
        <v>21</v>
      </c>
      <c r="J146" s="16" t="s">
        <v>33</v>
      </c>
      <c r="K146" s="68"/>
      <c r="L146" s="68"/>
      <c r="M146" s="80"/>
      <c r="N146" s="68"/>
    </row>
    <row r="147" spans="1:14" ht="16.5" customHeight="1" x14ac:dyDescent="0.25">
      <c r="A147" s="62" t="s">
        <v>104</v>
      </c>
      <c r="B147" s="2">
        <v>5</v>
      </c>
      <c r="C147" s="4" t="s">
        <v>19</v>
      </c>
      <c r="D147" s="30" t="s">
        <v>53</v>
      </c>
      <c r="E147" s="30" t="s">
        <v>20</v>
      </c>
      <c r="F147" s="30" t="s">
        <v>20</v>
      </c>
      <c r="G147" s="30" t="s">
        <v>20</v>
      </c>
      <c r="H147" s="30" t="s">
        <v>20</v>
      </c>
      <c r="I147" s="30" t="s">
        <v>32</v>
      </c>
      <c r="J147" s="30" t="s">
        <v>22</v>
      </c>
      <c r="K147" s="67" t="s">
        <v>22</v>
      </c>
      <c r="L147" s="67" t="s">
        <v>35</v>
      </c>
      <c r="M147" s="75" t="s">
        <v>35</v>
      </c>
      <c r="N147" s="67" t="s">
        <v>89</v>
      </c>
    </row>
    <row r="148" spans="1:14" x14ac:dyDescent="0.25">
      <c r="A148" s="63"/>
      <c r="B148" s="2">
        <v>5</v>
      </c>
      <c r="C148" s="2" t="s">
        <v>26</v>
      </c>
      <c r="D148" s="31" t="s">
        <v>53</v>
      </c>
      <c r="E148" s="31" t="s">
        <v>20</v>
      </c>
      <c r="F148" s="31" t="s">
        <v>20</v>
      </c>
      <c r="G148" s="31" t="s">
        <v>20</v>
      </c>
      <c r="H148" s="31" t="s">
        <v>20</v>
      </c>
      <c r="I148" s="31" t="s">
        <v>32</v>
      </c>
      <c r="J148" s="31" t="s">
        <v>22</v>
      </c>
      <c r="K148" s="67"/>
      <c r="L148" s="67"/>
      <c r="M148" s="76"/>
      <c r="N148" s="67"/>
    </row>
    <row r="149" spans="1:14" x14ac:dyDescent="0.25">
      <c r="A149" s="63"/>
      <c r="B149" s="2">
        <v>5</v>
      </c>
      <c r="C149" s="2" t="s">
        <v>27</v>
      </c>
      <c r="D149" s="31" t="s">
        <v>53</v>
      </c>
      <c r="E149" s="31" t="s">
        <v>20</v>
      </c>
      <c r="F149" s="31" t="s">
        <v>20</v>
      </c>
      <c r="G149" s="31" t="s">
        <v>20</v>
      </c>
      <c r="H149" s="31" t="s">
        <v>20</v>
      </c>
      <c r="I149" s="31" t="s">
        <v>32</v>
      </c>
      <c r="J149" s="31" t="s">
        <v>22</v>
      </c>
      <c r="K149" s="67"/>
      <c r="L149" s="67"/>
      <c r="M149" s="76"/>
      <c r="N149" s="67"/>
    </row>
    <row r="150" spans="1:14" x14ac:dyDescent="0.25">
      <c r="A150" s="64"/>
      <c r="B150" s="2">
        <v>5</v>
      </c>
      <c r="C150" s="7" t="s">
        <v>28</v>
      </c>
      <c r="D150" s="32" t="s">
        <v>53</v>
      </c>
      <c r="E150" s="32" t="s">
        <v>20</v>
      </c>
      <c r="F150" s="32" t="s">
        <v>20</v>
      </c>
      <c r="G150" s="32" t="s">
        <v>20</v>
      </c>
      <c r="H150" s="32" t="s">
        <v>20</v>
      </c>
      <c r="I150" s="32" t="s">
        <v>32</v>
      </c>
      <c r="J150" s="32" t="s">
        <v>22</v>
      </c>
      <c r="K150" s="67"/>
      <c r="L150" s="67"/>
      <c r="M150" s="77"/>
      <c r="N150" s="67"/>
    </row>
    <row r="151" spans="1:14" ht="16.5" customHeight="1" x14ac:dyDescent="0.25">
      <c r="A151" s="62" t="s">
        <v>105</v>
      </c>
      <c r="B151" s="2">
        <v>5</v>
      </c>
      <c r="C151" s="4" t="s">
        <v>19</v>
      </c>
      <c r="D151" s="30" t="s">
        <v>30</v>
      </c>
      <c r="E151" s="30" t="s">
        <v>20</v>
      </c>
      <c r="F151" s="30" t="s">
        <v>20</v>
      </c>
      <c r="G151" s="30" t="s">
        <v>20</v>
      </c>
      <c r="H151" s="30" t="s">
        <v>20</v>
      </c>
      <c r="I151" s="31" t="s">
        <v>106</v>
      </c>
      <c r="J151" s="31"/>
      <c r="K151" s="69"/>
      <c r="L151" s="69" t="s">
        <v>35</v>
      </c>
      <c r="M151" s="69" t="s">
        <v>35</v>
      </c>
      <c r="N151" s="69" t="s">
        <v>89</v>
      </c>
    </row>
    <row r="152" spans="1:14" x14ac:dyDescent="0.25">
      <c r="A152" s="63"/>
      <c r="B152" s="2">
        <v>5</v>
      </c>
      <c r="C152" s="2" t="s">
        <v>26</v>
      </c>
      <c r="D152" s="31" t="s">
        <v>53</v>
      </c>
      <c r="E152" s="31" t="s">
        <v>53</v>
      </c>
      <c r="F152" s="31" t="s">
        <v>53</v>
      </c>
      <c r="G152" s="31" t="s">
        <v>53</v>
      </c>
      <c r="H152" s="31" t="s">
        <v>53</v>
      </c>
      <c r="I152" s="31" t="s">
        <v>106</v>
      </c>
      <c r="J152" s="31"/>
      <c r="K152" s="70"/>
      <c r="L152" s="70"/>
      <c r="M152" s="70"/>
      <c r="N152" s="70"/>
    </row>
    <row r="153" spans="1:14" x14ac:dyDescent="0.25">
      <c r="A153" s="63"/>
      <c r="B153" s="2">
        <v>5</v>
      </c>
      <c r="C153" s="2" t="s">
        <v>27</v>
      </c>
      <c r="D153" s="31" t="s">
        <v>53</v>
      </c>
      <c r="E153" s="31" t="s">
        <v>53</v>
      </c>
      <c r="F153" s="31" t="s">
        <v>53</v>
      </c>
      <c r="G153" s="31" t="s">
        <v>53</v>
      </c>
      <c r="H153" s="31" t="s">
        <v>30</v>
      </c>
      <c r="I153" s="31" t="s">
        <v>106</v>
      </c>
      <c r="J153" s="31"/>
      <c r="K153" s="70"/>
      <c r="L153" s="70"/>
      <c r="M153" s="70"/>
      <c r="N153" s="70"/>
    </row>
    <row r="154" spans="1:14" x14ac:dyDescent="0.25">
      <c r="A154" s="64"/>
      <c r="B154" s="2">
        <v>5</v>
      </c>
      <c r="C154" s="7" t="s">
        <v>28</v>
      </c>
      <c r="D154" s="32" t="s">
        <v>53</v>
      </c>
      <c r="E154" s="32" t="s">
        <v>53</v>
      </c>
      <c r="F154" s="32" t="s">
        <v>53</v>
      </c>
      <c r="G154" s="32" t="s">
        <v>53</v>
      </c>
      <c r="H154" s="32" t="s">
        <v>53</v>
      </c>
      <c r="I154" s="31" t="s">
        <v>106</v>
      </c>
      <c r="J154" s="31"/>
      <c r="K154" s="71"/>
      <c r="L154" s="71"/>
      <c r="M154" s="71"/>
      <c r="N154" s="71"/>
    </row>
    <row r="155" spans="1:14" ht="16.5" customHeight="1" x14ac:dyDescent="0.25">
      <c r="A155" s="48" t="s">
        <v>107</v>
      </c>
      <c r="B155">
        <v>5</v>
      </c>
      <c r="C155" s="37" t="s">
        <v>19</v>
      </c>
      <c r="D155" s="14" t="s">
        <v>20</v>
      </c>
      <c r="E155" s="14" t="s">
        <v>30</v>
      </c>
      <c r="F155" s="14" t="s">
        <v>30</v>
      </c>
      <c r="G155" s="14" t="s">
        <v>30</v>
      </c>
      <c r="H155" s="14" t="s">
        <v>30</v>
      </c>
      <c r="I155" s="14" t="s">
        <v>21</v>
      </c>
      <c r="J155" s="14" t="s">
        <v>33</v>
      </c>
      <c r="K155" s="68" t="s">
        <v>34</v>
      </c>
      <c r="L155" s="66" t="s">
        <v>23</v>
      </c>
      <c r="M155" s="72" t="s">
        <v>24</v>
      </c>
      <c r="N155" s="66" t="s">
        <v>56</v>
      </c>
    </row>
    <row r="156" spans="1:14" x14ac:dyDescent="0.25">
      <c r="A156" s="49"/>
      <c r="B156">
        <v>5</v>
      </c>
      <c r="C156" t="s">
        <v>26</v>
      </c>
      <c r="D156" s="15" t="s">
        <v>20</v>
      </c>
      <c r="E156" s="15" t="s">
        <v>30</v>
      </c>
      <c r="F156" s="15" t="s">
        <v>30</v>
      </c>
      <c r="G156" s="15" t="s">
        <v>30</v>
      </c>
      <c r="H156" s="15" t="s">
        <v>30</v>
      </c>
      <c r="I156" s="15" t="s">
        <v>21</v>
      </c>
      <c r="J156" s="15" t="s">
        <v>33</v>
      </c>
      <c r="K156" s="68"/>
      <c r="L156" s="66"/>
      <c r="M156" s="73"/>
      <c r="N156" s="66"/>
    </row>
    <row r="157" spans="1:14" x14ac:dyDescent="0.25">
      <c r="A157" s="49"/>
      <c r="B157">
        <v>5</v>
      </c>
      <c r="C157" t="s">
        <v>27</v>
      </c>
      <c r="D157" s="15" t="s">
        <v>20</v>
      </c>
      <c r="E157" s="15" t="s">
        <v>30</v>
      </c>
      <c r="F157" s="15" t="s">
        <v>30</v>
      </c>
      <c r="G157" s="15" t="s">
        <v>30</v>
      </c>
      <c r="H157" s="15" t="s">
        <v>30</v>
      </c>
      <c r="I157" s="15" t="s">
        <v>21</v>
      </c>
      <c r="J157" s="15" t="s">
        <v>33</v>
      </c>
      <c r="K157" s="68"/>
      <c r="L157" s="66"/>
      <c r="M157" s="73"/>
      <c r="N157" s="66"/>
    </row>
    <row r="158" spans="1:14" x14ac:dyDescent="0.25">
      <c r="A158" s="50"/>
      <c r="B158">
        <v>5</v>
      </c>
      <c r="C158" s="8" t="s">
        <v>28</v>
      </c>
      <c r="D158" s="16" t="s">
        <v>20</v>
      </c>
      <c r="E158" s="16" t="s">
        <v>30</v>
      </c>
      <c r="F158" s="16" t="s">
        <v>30</v>
      </c>
      <c r="G158" s="16" t="s">
        <v>30</v>
      </c>
      <c r="H158" s="16" t="s">
        <v>30</v>
      </c>
      <c r="I158" s="16" t="s">
        <v>21</v>
      </c>
      <c r="J158" s="16" t="s">
        <v>33</v>
      </c>
      <c r="K158" s="68"/>
      <c r="L158" s="66"/>
      <c r="M158" s="74"/>
      <c r="N158" s="66"/>
    </row>
    <row r="159" spans="1:14" ht="16.5" customHeight="1" x14ac:dyDescent="0.25">
      <c r="A159" s="48" t="s">
        <v>108</v>
      </c>
      <c r="B159">
        <v>5</v>
      </c>
      <c r="C159" s="38" t="s">
        <v>19</v>
      </c>
      <c r="D159" s="15" t="s">
        <v>30</v>
      </c>
      <c r="E159" s="15" t="s">
        <v>30</v>
      </c>
      <c r="F159" s="15" t="s">
        <v>30</v>
      </c>
      <c r="G159" s="14" t="s">
        <v>20</v>
      </c>
      <c r="H159" s="14" t="s">
        <v>20</v>
      </c>
      <c r="I159" s="15" t="s">
        <v>21</v>
      </c>
      <c r="J159" s="15" t="s">
        <v>22</v>
      </c>
      <c r="K159" s="68" t="s">
        <v>22</v>
      </c>
      <c r="L159" s="68" t="s">
        <v>95</v>
      </c>
      <c r="M159" s="72" t="s">
        <v>24</v>
      </c>
      <c r="N159" s="68" t="s">
        <v>109</v>
      </c>
    </row>
    <row r="160" spans="1:14" x14ac:dyDescent="0.25">
      <c r="A160" s="49"/>
      <c r="B160">
        <v>5</v>
      </c>
      <c r="C160" t="s">
        <v>26</v>
      </c>
      <c r="D160" s="15" t="s">
        <v>53</v>
      </c>
      <c r="E160" s="15" t="s">
        <v>30</v>
      </c>
      <c r="F160" s="15" t="s">
        <v>30</v>
      </c>
      <c r="G160" s="15" t="s">
        <v>30</v>
      </c>
      <c r="H160" s="15" t="s">
        <v>30</v>
      </c>
      <c r="I160" s="15" t="s">
        <v>21</v>
      </c>
      <c r="J160" s="15" t="s">
        <v>33</v>
      </c>
      <c r="K160" s="68"/>
      <c r="L160" s="68"/>
      <c r="M160" s="73"/>
      <c r="N160" s="68"/>
    </row>
    <row r="161" spans="1:14" x14ac:dyDescent="0.25">
      <c r="A161" s="49"/>
      <c r="B161">
        <v>5</v>
      </c>
      <c r="C161" t="s">
        <v>27</v>
      </c>
      <c r="D161" s="15" t="s">
        <v>30</v>
      </c>
      <c r="E161" s="15" t="s">
        <v>30</v>
      </c>
      <c r="F161" s="15" t="s">
        <v>30</v>
      </c>
      <c r="G161" s="15" t="s">
        <v>20</v>
      </c>
      <c r="H161" s="15" t="s">
        <v>20</v>
      </c>
      <c r="I161" s="15" t="s">
        <v>21</v>
      </c>
      <c r="J161" s="15" t="s">
        <v>33</v>
      </c>
      <c r="K161" s="68"/>
      <c r="L161" s="68"/>
      <c r="M161" s="73"/>
      <c r="N161" s="68"/>
    </row>
    <row r="162" spans="1:14" x14ac:dyDescent="0.25">
      <c r="A162" s="50"/>
      <c r="B162">
        <v>5</v>
      </c>
      <c r="C162" t="s">
        <v>28</v>
      </c>
      <c r="D162" s="16" t="s">
        <v>53</v>
      </c>
      <c r="E162" s="16" t="s">
        <v>30</v>
      </c>
      <c r="F162" s="16" t="s">
        <v>30</v>
      </c>
      <c r="G162" s="16" t="s">
        <v>30</v>
      </c>
      <c r="H162" s="16" t="s">
        <v>30</v>
      </c>
      <c r="I162" s="15" t="s">
        <v>21</v>
      </c>
      <c r="J162" s="15" t="s">
        <v>33</v>
      </c>
      <c r="K162" s="68"/>
      <c r="L162" s="68"/>
      <c r="M162" s="74"/>
      <c r="N162" s="68"/>
    </row>
    <row r="163" spans="1:14" ht="30" x14ac:dyDescent="0.25">
      <c r="A163" s="36" t="s">
        <v>110</v>
      </c>
      <c r="B163">
        <v>5</v>
      </c>
      <c r="C163" s="34" t="s">
        <v>67</v>
      </c>
      <c r="D163" s="33" t="s">
        <v>20</v>
      </c>
      <c r="E163" s="33" t="s">
        <v>20</v>
      </c>
      <c r="F163" s="33" t="s">
        <v>20</v>
      </c>
      <c r="G163" s="33" t="s">
        <v>20</v>
      </c>
      <c r="H163" s="33" t="s">
        <v>20</v>
      </c>
      <c r="I163" s="33" t="s">
        <v>21</v>
      </c>
      <c r="J163" s="33" t="s">
        <v>33</v>
      </c>
      <c r="K163" s="45" t="s">
        <v>34</v>
      </c>
      <c r="L163" s="43" t="s">
        <v>35</v>
      </c>
      <c r="M163" s="43" t="s">
        <v>35</v>
      </c>
      <c r="N163" s="43" t="s">
        <v>111</v>
      </c>
    </row>
    <row r="164" spans="1:14" ht="16.5" customHeight="1" x14ac:dyDescent="0.25">
      <c r="A164" s="48" t="s">
        <v>112</v>
      </c>
      <c r="B164">
        <v>5</v>
      </c>
      <c r="C164" s="37" t="s">
        <v>19</v>
      </c>
      <c r="D164" s="14" t="s">
        <v>30</v>
      </c>
      <c r="E164" s="14" t="s">
        <v>30</v>
      </c>
      <c r="F164" s="14" t="s">
        <v>30</v>
      </c>
      <c r="G164" s="14" t="s">
        <v>30</v>
      </c>
      <c r="H164" s="14" t="s">
        <v>30</v>
      </c>
      <c r="I164" s="14" t="s">
        <v>21</v>
      </c>
      <c r="J164" s="14" t="s">
        <v>33</v>
      </c>
      <c r="K164" s="68" t="s">
        <v>34</v>
      </c>
      <c r="L164" s="66" t="s">
        <v>35</v>
      </c>
      <c r="M164" s="72" t="s">
        <v>35</v>
      </c>
      <c r="N164" s="66" t="s">
        <v>56</v>
      </c>
    </row>
    <row r="165" spans="1:14" x14ac:dyDescent="0.25">
      <c r="A165" s="49"/>
      <c r="B165">
        <v>5</v>
      </c>
      <c r="C165" t="s">
        <v>26</v>
      </c>
      <c r="D165" s="15" t="s">
        <v>30</v>
      </c>
      <c r="E165" s="15" t="s">
        <v>30</v>
      </c>
      <c r="F165" s="15" t="s">
        <v>30</v>
      </c>
      <c r="G165" s="15" t="s">
        <v>30</v>
      </c>
      <c r="H165" s="15" t="s">
        <v>30</v>
      </c>
      <c r="I165" s="15" t="s">
        <v>21</v>
      </c>
      <c r="J165" s="15" t="s">
        <v>33</v>
      </c>
      <c r="K165" s="68"/>
      <c r="L165" s="66"/>
      <c r="M165" s="73"/>
      <c r="N165" s="66"/>
    </row>
    <row r="166" spans="1:14" x14ac:dyDescent="0.25">
      <c r="A166" s="49"/>
      <c r="B166">
        <v>5</v>
      </c>
      <c r="C166" t="s">
        <v>27</v>
      </c>
      <c r="D166" s="15" t="s">
        <v>30</v>
      </c>
      <c r="E166" s="15" t="s">
        <v>30</v>
      </c>
      <c r="F166" s="15" t="s">
        <v>30</v>
      </c>
      <c r="G166" s="15" t="s">
        <v>30</v>
      </c>
      <c r="H166" s="15" t="s">
        <v>30</v>
      </c>
      <c r="I166" s="15" t="s">
        <v>21</v>
      </c>
      <c r="J166" s="15" t="s">
        <v>33</v>
      </c>
      <c r="K166" s="68"/>
      <c r="L166" s="66"/>
      <c r="M166" s="73"/>
      <c r="N166" s="66"/>
    </row>
    <row r="167" spans="1:14" x14ac:dyDescent="0.25">
      <c r="A167" s="50"/>
      <c r="B167">
        <v>5</v>
      </c>
      <c r="C167" s="8" t="s">
        <v>28</v>
      </c>
      <c r="D167" s="16" t="s">
        <v>30</v>
      </c>
      <c r="E167" s="16" t="s">
        <v>30</v>
      </c>
      <c r="F167" s="16" t="s">
        <v>30</v>
      </c>
      <c r="G167" s="16" t="s">
        <v>30</v>
      </c>
      <c r="H167" s="16" t="s">
        <v>30</v>
      </c>
      <c r="I167" s="16" t="s">
        <v>21</v>
      </c>
      <c r="J167" s="16" t="s">
        <v>33</v>
      </c>
      <c r="K167" s="68"/>
      <c r="L167" s="66"/>
      <c r="M167" s="74"/>
      <c r="N167" s="66"/>
    </row>
    <row r="168" spans="1:14" ht="16.5" customHeight="1" x14ac:dyDescent="0.25">
      <c r="A168" s="48" t="s">
        <v>113</v>
      </c>
      <c r="B168">
        <v>5</v>
      </c>
      <c r="C168" s="37" t="s">
        <v>19</v>
      </c>
      <c r="D168" s="14" t="s">
        <v>30</v>
      </c>
      <c r="E168" s="14" t="s">
        <v>20</v>
      </c>
      <c r="F168" s="14" t="s">
        <v>20</v>
      </c>
      <c r="G168" s="14" t="s">
        <v>20</v>
      </c>
      <c r="H168" s="14" t="s">
        <v>20</v>
      </c>
      <c r="I168" s="15" t="s">
        <v>106</v>
      </c>
      <c r="J168" s="15"/>
      <c r="K168" s="66"/>
      <c r="L168" s="66" t="s">
        <v>35</v>
      </c>
      <c r="M168" s="72" t="s">
        <v>35</v>
      </c>
      <c r="N168" s="66" t="s">
        <v>56</v>
      </c>
    </row>
    <row r="169" spans="1:14" x14ac:dyDescent="0.25">
      <c r="A169" s="49"/>
      <c r="B169">
        <v>5</v>
      </c>
      <c r="C169" t="s">
        <v>26</v>
      </c>
      <c r="D169" s="15" t="s">
        <v>53</v>
      </c>
      <c r="E169" s="15" t="s">
        <v>30</v>
      </c>
      <c r="F169" s="15" t="s">
        <v>30</v>
      </c>
      <c r="G169" s="15" t="s">
        <v>30</v>
      </c>
      <c r="H169" s="15" t="s">
        <v>30</v>
      </c>
      <c r="I169" s="15" t="s">
        <v>106</v>
      </c>
      <c r="J169" s="15"/>
      <c r="K169" s="66"/>
      <c r="L169" s="66"/>
      <c r="M169" s="73"/>
      <c r="N169" s="66"/>
    </row>
    <row r="170" spans="1:14" x14ac:dyDescent="0.25">
      <c r="A170" s="49"/>
      <c r="B170">
        <v>5</v>
      </c>
      <c r="C170" t="s">
        <v>27</v>
      </c>
      <c r="D170" s="15" t="s">
        <v>53</v>
      </c>
      <c r="E170" s="15" t="s">
        <v>30</v>
      </c>
      <c r="F170" s="15" t="s">
        <v>30</v>
      </c>
      <c r="G170" s="15" t="s">
        <v>30</v>
      </c>
      <c r="H170" s="15" t="s">
        <v>30</v>
      </c>
      <c r="I170" s="15" t="s">
        <v>106</v>
      </c>
      <c r="J170" s="15"/>
      <c r="K170" s="66"/>
      <c r="L170" s="66"/>
      <c r="M170" s="73"/>
      <c r="N170" s="66"/>
    </row>
    <row r="171" spans="1:14" x14ac:dyDescent="0.25">
      <c r="A171" s="50"/>
      <c r="B171">
        <v>5</v>
      </c>
      <c r="C171" s="8" t="s">
        <v>28</v>
      </c>
      <c r="D171" s="16" t="s">
        <v>53</v>
      </c>
      <c r="E171" s="16" t="s">
        <v>53</v>
      </c>
      <c r="F171" s="16" t="s">
        <v>53</v>
      </c>
      <c r="G171" s="16" t="s">
        <v>30</v>
      </c>
      <c r="H171" s="16" t="s">
        <v>30</v>
      </c>
      <c r="I171" s="15" t="s">
        <v>106</v>
      </c>
      <c r="J171" s="15"/>
      <c r="K171" s="66"/>
      <c r="L171" s="66"/>
      <c r="M171" s="74"/>
      <c r="N171" s="66"/>
    </row>
    <row r="172" spans="1:14" ht="16.5" customHeight="1" x14ac:dyDescent="0.25">
      <c r="A172" s="48" t="s">
        <v>114</v>
      </c>
      <c r="B172">
        <v>5</v>
      </c>
      <c r="C172" s="37" t="s">
        <v>19</v>
      </c>
      <c r="D172" s="14" t="s">
        <v>30</v>
      </c>
      <c r="E172" s="14" t="s">
        <v>30</v>
      </c>
      <c r="F172" s="14" t="s">
        <v>20</v>
      </c>
      <c r="G172" s="14" t="s">
        <v>20</v>
      </c>
      <c r="H172" s="14" t="s">
        <v>20</v>
      </c>
      <c r="I172" s="14" t="s">
        <v>21</v>
      </c>
      <c r="J172" s="14" t="s">
        <v>22</v>
      </c>
      <c r="K172" s="68" t="s">
        <v>22</v>
      </c>
      <c r="L172" s="68" t="s">
        <v>35</v>
      </c>
      <c r="M172" s="78" t="s">
        <v>35</v>
      </c>
      <c r="N172" s="66" t="s">
        <v>56</v>
      </c>
    </row>
    <row r="173" spans="1:14" x14ac:dyDescent="0.25">
      <c r="A173" s="49"/>
      <c r="B173">
        <v>5</v>
      </c>
      <c r="C173" t="s">
        <v>26</v>
      </c>
      <c r="D173" s="15" t="s">
        <v>30</v>
      </c>
      <c r="E173" s="15" t="s">
        <v>20</v>
      </c>
      <c r="F173" s="15" t="s">
        <v>20</v>
      </c>
      <c r="G173" s="15" t="s">
        <v>20</v>
      </c>
      <c r="H173" s="15" t="s">
        <v>20</v>
      </c>
      <c r="I173" s="15" t="s">
        <v>21</v>
      </c>
      <c r="J173" s="15" t="s">
        <v>22</v>
      </c>
      <c r="K173" s="68"/>
      <c r="L173" s="68"/>
      <c r="M173" s="79"/>
      <c r="N173" s="66"/>
    </row>
    <row r="174" spans="1:14" x14ac:dyDescent="0.25">
      <c r="A174" s="49"/>
      <c r="B174">
        <v>5</v>
      </c>
      <c r="C174" t="s">
        <v>27</v>
      </c>
      <c r="D174" s="15" t="s">
        <v>30</v>
      </c>
      <c r="E174" s="15" t="s">
        <v>20</v>
      </c>
      <c r="F174" s="15" t="s">
        <v>20</v>
      </c>
      <c r="G174" s="15" t="s">
        <v>20</v>
      </c>
      <c r="H174" s="15" t="s">
        <v>20</v>
      </c>
      <c r="I174" s="15" t="s">
        <v>21</v>
      </c>
      <c r="J174" s="15" t="s">
        <v>22</v>
      </c>
      <c r="K174" s="68"/>
      <c r="L174" s="68"/>
      <c r="M174" s="79"/>
      <c r="N174" s="66"/>
    </row>
    <row r="175" spans="1:14" x14ac:dyDescent="0.25">
      <c r="A175" s="50"/>
      <c r="B175">
        <v>5</v>
      </c>
      <c r="C175" t="s">
        <v>28</v>
      </c>
      <c r="D175" t="s">
        <v>30</v>
      </c>
      <c r="E175" t="s">
        <v>20</v>
      </c>
      <c r="F175" t="s">
        <v>20</v>
      </c>
      <c r="G175" t="s">
        <v>20</v>
      </c>
      <c r="H175" t="s">
        <v>20</v>
      </c>
      <c r="I175" s="15" t="s">
        <v>21</v>
      </c>
      <c r="J175" s="15" t="s">
        <v>22</v>
      </c>
      <c r="K175" s="68"/>
      <c r="L175" s="68"/>
      <c r="M175" s="80"/>
      <c r="N175" s="66"/>
    </row>
    <row r="176" spans="1:14" ht="16.5" customHeight="1" x14ac:dyDescent="0.25">
      <c r="A176" s="48" t="s">
        <v>115</v>
      </c>
      <c r="B176">
        <v>5</v>
      </c>
      <c r="C176" s="37" t="s">
        <v>19</v>
      </c>
      <c r="D176" s="14" t="s">
        <v>30</v>
      </c>
      <c r="E176" s="14" t="s">
        <v>30</v>
      </c>
      <c r="F176" s="14" t="s">
        <v>30</v>
      </c>
      <c r="G176" s="14" t="s">
        <v>20</v>
      </c>
      <c r="H176" s="14" t="s">
        <v>20</v>
      </c>
      <c r="I176" s="14" t="s">
        <v>21</v>
      </c>
      <c r="J176" s="14" t="s">
        <v>22</v>
      </c>
      <c r="K176" s="68" t="s">
        <v>22</v>
      </c>
      <c r="L176" s="68" t="s">
        <v>48</v>
      </c>
      <c r="M176" s="78" t="s">
        <v>24</v>
      </c>
      <c r="N176" s="68" t="s">
        <v>116</v>
      </c>
    </row>
    <row r="177" spans="1:14" x14ac:dyDescent="0.25">
      <c r="A177" s="49"/>
      <c r="B177">
        <v>5</v>
      </c>
      <c r="C177" t="s">
        <v>26</v>
      </c>
      <c r="D177" s="15" t="s">
        <v>30</v>
      </c>
      <c r="E177" s="15" t="s">
        <v>30</v>
      </c>
      <c r="F177" s="15" t="s">
        <v>30</v>
      </c>
      <c r="G177" s="15" t="s">
        <v>30</v>
      </c>
      <c r="H177" s="15" t="s">
        <v>30</v>
      </c>
      <c r="I177" s="15" t="s">
        <v>21</v>
      </c>
      <c r="J177" s="15" t="s">
        <v>22</v>
      </c>
      <c r="K177" s="68"/>
      <c r="L177" s="68"/>
      <c r="M177" s="79"/>
      <c r="N177" s="68"/>
    </row>
    <row r="178" spans="1:14" x14ac:dyDescent="0.25">
      <c r="A178" s="49"/>
      <c r="B178">
        <v>5</v>
      </c>
      <c r="C178" t="s">
        <v>27</v>
      </c>
      <c r="D178" s="15" t="s">
        <v>30</v>
      </c>
      <c r="E178" s="15" t="s">
        <v>30</v>
      </c>
      <c r="F178" s="15" t="s">
        <v>30</v>
      </c>
      <c r="G178" s="15" t="s">
        <v>20</v>
      </c>
      <c r="H178" s="15" t="s">
        <v>20</v>
      </c>
      <c r="I178" s="15" t="s">
        <v>21</v>
      </c>
      <c r="J178" s="15" t="s">
        <v>22</v>
      </c>
      <c r="K178" s="68"/>
      <c r="L178" s="68"/>
      <c r="M178" s="79"/>
      <c r="N178" s="68"/>
    </row>
    <row r="179" spans="1:14" x14ac:dyDescent="0.25">
      <c r="A179" s="50"/>
      <c r="B179">
        <v>5</v>
      </c>
      <c r="C179" s="8" t="s">
        <v>28</v>
      </c>
      <c r="D179" s="16" t="s">
        <v>30</v>
      </c>
      <c r="E179" s="16" t="s">
        <v>30</v>
      </c>
      <c r="F179" s="16" t="s">
        <v>30</v>
      </c>
      <c r="G179" s="16" t="s">
        <v>30</v>
      </c>
      <c r="H179" s="16" t="s">
        <v>30</v>
      </c>
      <c r="I179" s="16" t="s">
        <v>21</v>
      </c>
      <c r="J179" s="15" t="s">
        <v>22</v>
      </c>
      <c r="K179" s="68"/>
      <c r="L179" s="68"/>
      <c r="M179" s="80"/>
      <c r="N179" s="68"/>
    </row>
    <row r="180" spans="1:14" ht="16.5" customHeight="1" x14ac:dyDescent="0.25">
      <c r="A180" s="48" t="s">
        <v>117</v>
      </c>
      <c r="B180">
        <v>5</v>
      </c>
      <c r="C180" s="37" t="s">
        <v>19</v>
      </c>
      <c r="D180" s="14" t="s">
        <v>30</v>
      </c>
      <c r="E180" s="14" t="s">
        <v>30</v>
      </c>
      <c r="F180" s="14" t="s">
        <v>30</v>
      </c>
      <c r="G180" s="14" t="s">
        <v>20</v>
      </c>
      <c r="H180" s="14" t="s">
        <v>20</v>
      </c>
      <c r="I180" s="14" t="s">
        <v>21</v>
      </c>
      <c r="J180" s="14" t="s">
        <v>22</v>
      </c>
      <c r="K180" s="68" t="s">
        <v>22</v>
      </c>
      <c r="L180" s="68" t="s">
        <v>35</v>
      </c>
      <c r="M180" s="78" t="s">
        <v>35</v>
      </c>
      <c r="N180" s="66" t="s">
        <v>56</v>
      </c>
    </row>
    <row r="181" spans="1:14" x14ac:dyDescent="0.25">
      <c r="A181" s="49"/>
      <c r="B181">
        <v>5</v>
      </c>
      <c r="C181" t="s">
        <v>26</v>
      </c>
      <c r="D181" s="15" t="s">
        <v>30</v>
      </c>
      <c r="E181" s="15" t="s">
        <v>30</v>
      </c>
      <c r="F181" s="15" t="s">
        <v>30</v>
      </c>
      <c r="G181" s="15" t="s">
        <v>30</v>
      </c>
      <c r="H181" s="15" t="s">
        <v>30</v>
      </c>
      <c r="I181" s="15" t="s">
        <v>32</v>
      </c>
      <c r="J181" s="15" t="s">
        <v>22</v>
      </c>
      <c r="K181" s="68"/>
      <c r="L181" s="68"/>
      <c r="M181" s="79"/>
      <c r="N181" s="66"/>
    </row>
    <row r="182" spans="1:14" x14ac:dyDescent="0.25">
      <c r="A182" s="49"/>
      <c r="B182">
        <v>5</v>
      </c>
      <c r="C182" t="s">
        <v>27</v>
      </c>
      <c r="D182" s="15" t="s">
        <v>30</v>
      </c>
      <c r="E182" s="15" t="s">
        <v>30</v>
      </c>
      <c r="F182" s="15" t="s">
        <v>30</v>
      </c>
      <c r="G182" s="15" t="s">
        <v>30</v>
      </c>
      <c r="H182" s="15" t="s">
        <v>30</v>
      </c>
      <c r="I182" s="15" t="s">
        <v>21</v>
      </c>
      <c r="J182" s="15" t="s">
        <v>22</v>
      </c>
      <c r="K182" s="68"/>
      <c r="L182" s="68"/>
      <c r="M182" s="79"/>
      <c r="N182" s="66"/>
    </row>
    <row r="183" spans="1:14" x14ac:dyDescent="0.25">
      <c r="A183" s="50"/>
      <c r="B183">
        <v>5</v>
      </c>
      <c r="C183" s="8" t="s">
        <v>28</v>
      </c>
      <c r="D183" s="8" t="s">
        <v>30</v>
      </c>
      <c r="E183" s="8" t="s">
        <v>30</v>
      </c>
      <c r="F183" s="8" t="s">
        <v>30</v>
      </c>
      <c r="G183" s="8" t="s">
        <v>30</v>
      </c>
      <c r="H183" s="8" t="s">
        <v>30</v>
      </c>
      <c r="I183" s="16" t="s">
        <v>32</v>
      </c>
      <c r="J183" s="16" t="s">
        <v>22</v>
      </c>
      <c r="K183" s="68"/>
      <c r="L183" s="68"/>
      <c r="M183" s="80"/>
      <c r="N183" s="66"/>
    </row>
    <row r="184" spans="1:14" ht="16.5" customHeight="1" x14ac:dyDescent="0.25">
      <c r="A184" s="54" t="s">
        <v>118</v>
      </c>
      <c r="B184">
        <v>6</v>
      </c>
      <c r="C184" s="37" t="s">
        <v>19</v>
      </c>
      <c r="D184" s="14" t="s">
        <v>20</v>
      </c>
      <c r="E184" s="14" t="s">
        <v>20</v>
      </c>
      <c r="F184" s="14" t="s">
        <v>20</v>
      </c>
      <c r="G184" s="14" t="s">
        <v>20</v>
      </c>
      <c r="H184" s="14" t="s">
        <v>20</v>
      </c>
      <c r="I184" s="14" t="s">
        <v>21</v>
      </c>
      <c r="J184" s="14" t="s">
        <v>22</v>
      </c>
      <c r="K184" s="68" t="s">
        <v>22</v>
      </c>
      <c r="L184" s="68" t="s">
        <v>48</v>
      </c>
      <c r="M184" s="78" t="s">
        <v>24</v>
      </c>
      <c r="N184" s="66" t="s">
        <v>75</v>
      </c>
    </row>
    <row r="185" spans="1:14" x14ac:dyDescent="0.25">
      <c r="A185" s="24"/>
      <c r="B185">
        <v>6</v>
      </c>
      <c r="C185" t="s">
        <v>26</v>
      </c>
      <c r="D185" s="15" t="s">
        <v>20</v>
      </c>
      <c r="E185" s="15" t="s">
        <v>20</v>
      </c>
      <c r="F185" s="15" t="s">
        <v>20</v>
      </c>
      <c r="G185" s="15" t="s">
        <v>20</v>
      </c>
      <c r="H185" s="15" t="s">
        <v>20</v>
      </c>
      <c r="I185" s="15" t="s">
        <v>21</v>
      </c>
      <c r="J185" s="15" t="s">
        <v>22</v>
      </c>
      <c r="K185" s="68"/>
      <c r="L185" s="68"/>
      <c r="M185" s="79"/>
      <c r="N185" s="66"/>
    </row>
    <row r="186" spans="1:14" x14ac:dyDescent="0.25">
      <c r="A186" s="24"/>
      <c r="B186">
        <v>6</v>
      </c>
      <c r="C186" t="s">
        <v>27</v>
      </c>
      <c r="D186" s="15" t="s">
        <v>20</v>
      </c>
      <c r="E186" s="15" t="s">
        <v>20</v>
      </c>
      <c r="F186" s="15" t="s">
        <v>20</v>
      </c>
      <c r="G186" s="15" t="s">
        <v>20</v>
      </c>
      <c r="H186" s="15" t="s">
        <v>20</v>
      </c>
      <c r="I186" s="15" t="s">
        <v>21</v>
      </c>
      <c r="J186" s="15" t="s">
        <v>22</v>
      </c>
      <c r="K186" s="68"/>
      <c r="L186" s="68"/>
      <c r="M186" s="79"/>
      <c r="N186" s="66"/>
    </row>
    <row r="187" spans="1:14" x14ac:dyDescent="0.25">
      <c r="A187" s="55"/>
      <c r="B187">
        <v>6</v>
      </c>
      <c r="C187" s="8" t="s">
        <v>28</v>
      </c>
      <c r="D187" s="8" t="s">
        <v>20</v>
      </c>
      <c r="E187" s="8" t="s">
        <v>20</v>
      </c>
      <c r="F187" s="8" t="s">
        <v>20</v>
      </c>
      <c r="G187" s="8" t="s">
        <v>20</v>
      </c>
      <c r="H187" s="8" t="s">
        <v>20</v>
      </c>
      <c r="I187" s="16" t="s">
        <v>21</v>
      </c>
      <c r="J187" s="16" t="s">
        <v>22</v>
      </c>
      <c r="K187" s="68"/>
      <c r="L187" s="68"/>
      <c r="M187" s="80"/>
      <c r="N187" s="66"/>
    </row>
    <row r="188" spans="1:14" ht="16.5" customHeight="1" x14ac:dyDescent="0.25">
      <c r="A188" s="54" t="s">
        <v>119</v>
      </c>
      <c r="B188">
        <v>6</v>
      </c>
      <c r="C188" s="38" t="s">
        <v>19</v>
      </c>
      <c r="D188" s="15" t="s">
        <v>30</v>
      </c>
      <c r="E188" s="15" t="s">
        <v>20</v>
      </c>
      <c r="F188" s="15" t="s">
        <v>20</v>
      </c>
      <c r="G188" s="15" t="s">
        <v>20</v>
      </c>
      <c r="H188" s="15" t="s">
        <v>20</v>
      </c>
      <c r="I188" s="14" t="s">
        <v>21</v>
      </c>
      <c r="J188" s="14" t="s">
        <v>22</v>
      </c>
      <c r="K188" s="68" t="s">
        <v>22</v>
      </c>
      <c r="L188" s="68" t="s">
        <v>48</v>
      </c>
      <c r="M188" s="78" t="s">
        <v>24</v>
      </c>
      <c r="N188" s="66" t="s">
        <v>101</v>
      </c>
    </row>
    <row r="189" spans="1:14" x14ac:dyDescent="0.25">
      <c r="A189" s="24"/>
      <c r="B189">
        <v>6</v>
      </c>
      <c r="C189" t="s">
        <v>26</v>
      </c>
      <c r="D189" s="15" t="s">
        <v>20</v>
      </c>
      <c r="E189" s="15" t="s">
        <v>20</v>
      </c>
      <c r="F189" s="15" t="s">
        <v>20</v>
      </c>
      <c r="G189" s="15" t="s">
        <v>20</v>
      </c>
      <c r="H189" s="15" t="s">
        <v>20</v>
      </c>
      <c r="I189" s="15" t="s">
        <v>21</v>
      </c>
      <c r="J189" s="15" t="s">
        <v>22</v>
      </c>
      <c r="K189" s="68"/>
      <c r="L189" s="68"/>
      <c r="M189" s="79"/>
      <c r="N189" s="66"/>
    </row>
    <row r="190" spans="1:14" x14ac:dyDescent="0.25">
      <c r="A190" s="24"/>
      <c r="B190">
        <v>6</v>
      </c>
      <c r="C190" t="s">
        <v>27</v>
      </c>
      <c r="D190" s="15" t="s">
        <v>20</v>
      </c>
      <c r="E190" s="15" t="s">
        <v>20</v>
      </c>
      <c r="F190" s="15" t="s">
        <v>20</v>
      </c>
      <c r="G190" s="15" t="s">
        <v>20</v>
      </c>
      <c r="H190" s="15" t="s">
        <v>20</v>
      </c>
      <c r="I190" s="15" t="s">
        <v>21</v>
      </c>
      <c r="J190" s="15" t="s">
        <v>22</v>
      </c>
      <c r="K190" s="68"/>
      <c r="L190" s="68"/>
      <c r="M190" s="79"/>
      <c r="N190" s="66"/>
    </row>
    <row r="191" spans="1:14" x14ac:dyDescent="0.25">
      <c r="A191" s="55"/>
      <c r="B191">
        <v>6</v>
      </c>
      <c r="C191" t="s">
        <v>28</v>
      </c>
      <c r="D191" t="s">
        <v>30</v>
      </c>
      <c r="E191" t="s">
        <v>20</v>
      </c>
      <c r="F191" t="s">
        <v>20</v>
      </c>
      <c r="G191" t="s">
        <v>20</v>
      </c>
      <c r="H191" t="s">
        <v>20</v>
      </c>
      <c r="I191" s="15" t="s">
        <v>21</v>
      </c>
      <c r="J191" s="15" t="s">
        <v>22</v>
      </c>
      <c r="K191" s="68"/>
      <c r="L191" s="68"/>
      <c r="M191" s="80"/>
      <c r="N191" s="66"/>
    </row>
    <row r="192" spans="1:14" ht="16.5" customHeight="1" x14ac:dyDescent="0.25">
      <c r="A192" s="54" t="s">
        <v>120</v>
      </c>
      <c r="B192">
        <v>6</v>
      </c>
      <c r="C192" s="37" t="s">
        <v>19</v>
      </c>
      <c r="D192" s="14" t="s">
        <v>53</v>
      </c>
      <c r="E192" s="14" t="s">
        <v>30</v>
      </c>
      <c r="F192" s="14" t="s">
        <v>30</v>
      </c>
      <c r="G192" s="14" t="s">
        <v>30</v>
      </c>
      <c r="H192" s="14" t="s">
        <v>20</v>
      </c>
      <c r="I192" s="14" t="s">
        <v>21</v>
      </c>
      <c r="J192" s="14" t="s">
        <v>33</v>
      </c>
      <c r="K192" s="68" t="s">
        <v>34</v>
      </c>
      <c r="L192" s="68" t="s">
        <v>48</v>
      </c>
      <c r="M192" s="78" t="s">
        <v>80</v>
      </c>
      <c r="N192" s="66" t="s">
        <v>56</v>
      </c>
    </row>
    <row r="193" spans="1:14" x14ac:dyDescent="0.25">
      <c r="A193" s="24"/>
      <c r="B193">
        <v>6</v>
      </c>
      <c r="C193" t="s">
        <v>26</v>
      </c>
      <c r="D193" s="15" t="s">
        <v>53</v>
      </c>
      <c r="E193" s="15" t="s">
        <v>30</v>
      </c>
      <c r="F193" s="15" t="s">
        <v>30</v>
      </c>
      <c r="G193" s="15" t="s">
        <v>30</v>
      </c>
      <c r="H193" s="15" t="s">
        <v>20</v>
      </c>
      <c r="I193" s="15" t="s">
        <v>21</v>
      </c>
      <c r="J193" s="15" t="s">
        <v>33</v>
      </c>
      <c r="K193" s="68"/>
      <c r="L193" s="68"/>
      <c r="M193" s="79"/>
      <c r="N193" s="66"/>
    </row>
    <row r="194" spans="1:14" x14ac:dyDescent="0.25">
      <c r="A194" s="24"/>
      <c r="B194">
        <v>6</v>
      </c>
      <c r="C194" t="s">
        <v>27</v>
      </c>
      <c r="D194" s="15" t="s">
        <v>53</v>
      </c>
      <c r="E194" s="15" t="s">
        <v>30</v>
      </c>
      <c r="F194" s="15" t="s">
        <v>30</v>
      </c>
      <c r="G194" s="15" t="s">
        <v>30</v>
      </c>
      <c r="H194" s="15" t="s">
        <v>20</v>
      </c>
      <c r="I194" s="15" t="s">
        <v>21</v>
      </c>
      <c r="J194" s="15" t="s">
        <v>33</v>
      </c>
      <c r="K194" s="68"/>
      <c r="L194" s="68"/>
      <c r="M194" s="79"/>
      <c r="N194" s="66"/>
    </row>
    <row r="195" spans="1:14" x14ac:dyDescent="0.25">
      <c r="A195" s="55"/>
      <c r="B195">
        <v>6</v>
      </c>
      <c r="C195" s="8" t="s">
        <v>28</v>
      </c>
      <c r="D195" s="8" t="s">
        <v>53</v>
      </c>
      <c r="E195" s="8" t="s">
        <v>30</v>
      </c>
      <c r="F195" s="8" t="s">
        <v>30</v>
      </c>
      <c r="G195" s="8" t="s">
        <v>30</v>
      </c>
      <c r="H195" s="8" t="s">
        <v>20</v>
      </c>
      <c r="I195" s="16" t="s">
        <v>21</v>
      </c>
      <c r="J195" s="16" t="s">
        <v>33</v>
      </c>
      <c r="K195" s="68"/>
      <c r="L195" s="68"/>
      <c r="M195" s="80"/>
      <c r="N195" s="66"/>
    </row>
    <row r="196" spans="1:14" ht="16.5" customHeight="1" x14ac:dyDescent="0.25">
      <c r="A196" s="54" t="s">
        <v>121</v>
      </c>
      <c r="B196">
        <v>6</v>
      </c>
      <c r="C196" s="37" t="s">
        <v>19</v>
      </c>
      <c r="D196" s="14" t="s">
        <v>30</v>
      </c>
      <c r="E196" s="14" t="s">
        <v>30</v>
      </c>
      <c r="F196" s="14" t="s">
        <v>20</v>
      </c>
      <c r="G196" s="14" t="s">
        <v>30</v>
      </c>
      <c r="H196" s="14" t="s">
        <v>20</v>
      </c>
      <c r="I196" s="14" t="s">
        <v>21</v>
      </c>
      <c r="J196" s="14" t="s">
        <v>62</v>
      </c>
      <c r="K196" s="68" t="s">
        <v>62</v>
      </c>
      <c r="L196" s="68" t="s">
        <v>48</v>
      </c>
      <c r="M196" s="78" t="s">
        <v>35</v>
      </c>
      <c r="N196" s="68" t="s">
        <v>122</v>
      </c>
    </row>
    <row r="197" spans="1:14" x14ac:dyDescent="0.25">
      <c r="A197" s="24"/>
      <c r="B197">
        <v>6</v>
      </c>
      <c r="C197" t="s">
        <v>26</v>
      </c>
      <c r="D197" t="s">
        <v>30</v>
      </c>
      <c r="E197" t="s">
        <v>30</v>
      </c>
      <c r="F197" t="s">
        <v>20</v>
      </c>
      <c r="G197" t="s">
        <v>30</v>
      </c>
      <c r="H197" t="s">
        <v>20</v>
      </c>
      <c r="I197" s="15" t="s">
        <v>21</v>
      </c>
      <c r="J197" s="15" t="s">
        <v>62</v>
      </c>
      <c r="K197" s="68"/>
      <c r="L197" s="68"/>
      <c r="M197" s="79"/>
      <c r="N197" s="68"/>
    </row>
    <row r="198" spans="1:14" x14ac:dyDescent="0.25">
      <c r="A198" s="24"/>
      <c r="B198">
        <v>6</v>
      </c>
      <c r="C198" t="s">
        <v>27</v>
      </c>
      <c r="D198" t="s">
        <v>30</v>
      </c>
      <c r="E198" t="s">
        <v>30</v>
      </c>
      <c r="F198" t="s">
        <v>20</v>
      </c>
      <c r="G198" t="s">
        <v>30</v>
      </c>
      <c r="H198" t="s">
        <v>20</v>
      </c>
      <c r="I198" s="15" t="s">
        <v>21</v>
      </c>
      <c r="J198" s="15" t="s">
        <v>62</v>
      </c>
      <c r="K198" s="68"/>
      <c r="L198" s="68"/>
      <c r="M198" s="79"/>
      <c r="N198" s="68"/>
    </row>
    <row r="199" spans="1:14" x14ac:dyDescent="0.25">
      <c r="A199" s="55"/>
      <c r="B199">
        <v>6</v>
      </c>
      <c r="C199" s="8" t="s">
        <v>28</v>
      </c>
      <c r="D199" s="8" t="s">
        <v>30</v>
      </c>
      <c r="E199" s="8" t="s">
        <v>30</v>
      </c>
      <c r="F199" s="8" t="s">
        <v>20</v>
      </c>
      <c r="G199" s="8" t="s">
        <v>30</v>
      </c>
      <c r="H199" s="8" t="s">
        <v>20</v>
      </c>
      <c r="I199" s="16" t="s">
        <v>21</v>
      </c>
      <c r="J199" s="16" t="s">
        <v>62</v>
      </c>
      <c r="K199" s="68"/>
      <c r="L199" s="68"/>
      <c r="M199" s="80"/>
      <c r="N199" s="68"/>
    </row>
    <row r="200" spans="1:14" ht="16.5" customHeight="1" x14ac:dyDescent="0.25">
      <c r="A200" s="51" t="s">
        <v>123</v>
      </c>
      <c r="B200" s="2">
        <v>6</v>
      </c>
      <c r="C200" s="4" t="s">
        <v>19</v>
      </c>
      <c r="D200" s="18" t="s">
        <v>53</v>
      </c>
      <c r="E200" s="18" t="s">
        <v>30</v>
      </c>
      <c r="F200" s="18" t="s">
        <v>30</v>
      </c>
      <c r="G200" s="30" t="s">
        <v>30</v>
      </c>
      <c r="H200" s="30" t="s">
        <v>20</v>
      </c>
      <c r="I200" s="30" t="s">
        <v>21</v>
      </c>
      <c r="J200" s="30" t="s">
        <v>33</v>
      </c>
      <c r="K200" s="67" t="s">
        <v>34</v>
      </c>
      <c r="L200" s="67" t="s">
        <v>95</v>
      </c>
      <c r="M200" s="75" t="s">
        <v>24</v>
      </c>
      <c r="N200" s="67" t="s">
        <v>97</v>
      </c>
    </row>
    <row r="201" spans="1:14" x14ac:dyDescent="0.25">
      <c r="A201" s="52"/>
      <c r="B201" s="2">
        <v>6</v>
      </c>
      <c r="C201" s="2" t="s">
        <v>26</v>
      </c>
      <c r="D201" s="2" t="s">
        <v>53</v>
      </c>
      <c r="E201" s="2" t="s">
        <v>53</v>
      </c>
      <c r="F201" s="2" t="s">
        <v>53</v>
      </c>
      <c r="G201" s="2" t="s">
        <v>30</v>
      </c>
      <c r="H201" s="2" t="s">
        <v>20</v>
      </c>
      <c r="I201" s="31" t="s">
        <v>21</v>
      </c>
      <c r="J201" s="31" t="s">
        <v>33</v>
      </c>
      <c r="K201" s="67"/>
      <c r="L201" s="67"/>
      <c r="M201" s="76"/>
      <c r="N201" s="67"/>
    </row>
    <row r="202" spans="1:14" x14ac:dyDescent="0.25">
      <c r="A202" s="52"/>
      <c r="B202" s="2">
        <v>6</v>
      </c>
      <c r="C202" s="2" t="s">
        <v>27</v>
      </c>
      <c r="D202" s="2" t="s">
        <v>53</v>
      </c>
      <c r="E202" s="2" t="s">
        <v>53</v>
      </c>
      <c r="F202" s="2" t="s">
        <v>53</v>
      </c>
      <c r="G202" s="2" t="s">
        <v>30</v>
      </c>
      <c r="H202" s="2" t="s">
        <v>20</v>
      </c>
      <c r="I202" s="31" t="s">
        <v>21</v>
      </c>
      <c r="J202" s="31" t="s">
        <v>33</v>
      </c>
      <c r="K202" s="67"/>
      <c r="L202" s="67"/>
      <c r="M202" s="76"/>
      <c r="N202" s="67"/>
    </row>
    <row r="203" spans="1:14" x14ac:dyDescent="0.25">
      <c r="A203" s="53"/>
      <c r="B203" s="2">
        <v>6</v>
      </c>
      <c r="C203" s="7" t="s">
        <v>28</v>
      </c>
      <c r="D203" s="7" t="s">
        <v>53</v>
      </c>
      <c r="E203" s="7" t="s">
        <v>53</v>
      </c>
      <c r="F203" s="7" t="s">
        <v>53</v>
      </c>
      <c r="G203" s="7" t="s">
        <v>30</v>
      </c>
      <c r="H203" s="7" t="s">
        <v>20</v>
      </c>
      <c r="I203" s="7" t="s">
        <v>21</v>
      </c>
      <c r="J203" s="7" t="s">
        <v>33</v>
      </c>
      <c r="K203" s="67"/>
      <c r="L203" s="67"/>
      <c r="M203" s="77"/>
      <c r="N203" s="67"/>
    </row>
    <row r="204" spans="1:14" ht="16.5" customHeight="1" x14ac:dyDescent="0.25">
      <c r="A204" s="51" t="s">
        <v>124</v>
      </c>
      <c r="B204" s="2">
        <v>6</v>
      </c>
      <c r="C204" s="4" t="s">
        <v>19</v>
      </c>
      <c r="D204" s="18" t="s">
        <v>30</v>
      </c>
      <c r="E204" s="18" t="s">
        <v>54</v>
      </c>
      <c r="F204" s="18" t="s">
        <v>54</v>
      </c>
      <c r="G204" s="18" t="s">
        <v>54</v>
      </c>
      <c r="H204" s="18" t="s">
        <v>54</v>
      </c>
      <c r="I204" s="30" t="s">
        <v>21</v>
      </c>
      <c r="J204" s="30" t="s">
        <v>22</v>
      </c>
      <c r="K204" s="65" t="s">
        <v>22</v>
      </c>
      <c r="L204" s="65" t="s">
        <v>95</v>
      </c>
      <c r="M204" s="69" t="s">
        <v>24</v>
      </c>
      <c r="N204" s="65" t="s">
        <v>125</v>
      </c>
    </row>
    <row r="205" spans="1:14" x14ac:dyDescent="0.25">
      <c r="A205" s="52"/>
      <c r="B205" s="2">
        <v>6</v>
      </c>
      <c r="C205" s="2" t="s">
        <v>26</v>
      </c>
      <c r="D205" s="2" t="s">
        <v>30</v>
      </c>
      <c r="E205" s="2" t="s">
        <v>54</v>
      </c>
      <c r="F205" s="2" t="s">
        <v>54</v>
      </c>
      <c r="G205" s="2" t="s">
        <v>54</v>
      </c>
      <c r="H205" s="2" t="s">
        <v>54</v>
      </c>
      <c r="I205" s="31" t="s">
        <v>21</v>
      </c>
      <c r="J205" s="31" t="s">
        <v>22</v>
      </c>
      <c r="K205" s="65"/>
      <c r="L205" s="65"/>
      <c r="M205" s="70"/>
      <c r="N205" s="65"/>
    </row>
    <row r="206" spans="1:14" x14ac:dyDescent="0.25">
      <c r="A206" s="52"/>
      <c r="B206" s="2">
        <v>6</v>
      </c>
      <c r="C206" s="2" t="s">
        <v>27</v>
      </c>
      <c r="D206" s="2" t="s">
        <v>30</v>
      </c>
      <c r="E206" s="2" t="s">
        <v>54</v>
      </c>
      <c r="F206" s="2" t="s">
        <v>54</v>
      </c>
      <c r="G206" s="2" t="s">
        <v>54</v>
      </c>
      <c r="H206" s="2" t="s">
        <v>54</v>
      </c>
      <c r="I206" s="31" t="s">
        <v>21</v>
      </c>
      <c r="J206" s="31" t="s">
        <v>22</v>
      </c>
      <c r="K206" s="65"/>
      <c r="L206" s="65"/>
      <c r="M206" s="70"/>
      <c r="N206" s="65"/>
    </row>
    <row r="207" spans="1:14" x14ac:dyDescent="0.25">
      <c r="A207" s="53"/>
      <c r="B207" s="2">
        <v>6</v>
      </c>
      <c r="C207" s="7" t="s">
        <v>28</v>
      </c>
      <c r="D207" s="7" t="s">
        <v>30</v>
      </c>
      <c r="E207" s="7" t="s">
        <v>54</v>
      </c>
      <c r="F207" s="7" t="s">
        <v>54</v>
      </c>
      <c r="G207" s="7" t="s">
        <v>54</v>
      </c>
      <c r="H207" s="7" t="s">
        <v>54</v>
      </c>
      <c r="I207" s="7" t="s">
        <v>21</v>
      </c>
      <c r="J207" s="7" t="s">
        <v>22</v>
      </c>
      <c r="K207" s="65"/>
      <c r="L207" s="65"/>
      <c r="M207" s="71"/>
      <c r="N207" s="65"/>
    </row>
    <row r="208" spans="1:14" ht="16.5" customHeight="1" x14ac:dyDescent="0.25">
      <c r="A208" s="54" t="s">
        <v>126</v>
      </c>
      <c r="B208">
        <v>6</v>
      </c>
      <c r="C208" s="37" t="s">
        <v>19</v>
      </c>
      <c r="D208" s="5" t="s">
        <v>53</v>
      </c>
      <c r="E208" s="5" t="s">
        <v>30</v>
      </c>
      <c r="F208" s="5" t="s">
        <v>30</v>
      </c>
      <c r="G208" s="5" t="s">
        <v>30</v>
      </c>
      <c r="H208" s="5" t="s">
        <v>30</v>
      </c>
      <c r="I208" s="14" t="s">
        <v>21</v>
      </c>
      <c r="J208" s="14" t="s">
        <v>33</v>
      </c>
      <c r="K208" s="66" t="s">
        <v>34</v>
      </c>
      <c r="L208" s="66" t="s">
        <v>95</v>
      </c>
      <c r="M208" s="72" t="s">
        <v>80</v>
      </c>
      <c r="N208" s="68" t="s">
        <v>51</v>
      </c>
    </row>
    <row r="209" spans="1:14" x14ac:dyDescent="0.25">
      <c r="A209" s="24"/>
      <c r="B209">
        <v>6</v>
      </c>
      <c r="C209" t="s">
        <v>26</v>
      </c>
      <c r="D209" t="s">
        <v>53</v>
      </c>
      <c r="E209" t="s">
        <v>30</v>
      </c>
      <c r="F209" t="s">
        <v>30</v>
      </c>
      <c r="G209" t="s">
        <v>30</v>
      </c>
      <c r="H209" t="s">
        <v>30</v>
      </c>
      <c r="I209" s="15" t="s">
        <v>21</v>
      </c>
      <c r="J209" s="15" t="s">
        <v>33</v>
      </c>
      <c r="K209" s="66"/>
      <c r="L209" s="66"/>
      <c r="M209" s="73"/>
      <c r="N209" s="68"/>
    </row>
    <row r="210" spans="1:14" x14ac:dyDescent="0.25">
      <c r="A210" s="24"/>
      <c r="B210">
        <v>6</v>
      </c>
      <c r="C210" t="s">
        <v>27</v>
      </c>
      <c r="D210" t="s">
        <v>53</v>
      </c>
      <c r="E210" t="s">
        <v>30</v>
      </c>
      <c r="F210" t="s">
        <v>30</v>
      </c>
      <c r="G210" t="s">
        <v>30</v>
      </c>
      <c r="H210" t="s">
        <v>30</v>
      </c>
      <c r="I210" s="15" t="s">
        <v>21</v>
      </c>
      <c r="J210" s="15" t="s">
        <v>33</v>
      </c>
      <c r="K210" s="66"/>
      <c r="L210" s="66"/>
      <c r="M210" s="73"/>
      <c r="N210" s="68"/>
    </row>
    <row r="211" spans="1:14" x14ac:dyDescent="0.25">
      <c r="A211" s="55"/>
      <c r="B211">
        <v>6</v>
      </c>
      <c r="C211" s="8" t="s">
        <v>28</v>
      </c>
      <c r="D211" s="8" t="s">
        <v>53</v>
      </c>
      <c r="E211" s="8" t="s">
        <v>30</v>
      </c>
      <c r="F211" s="8" t="s">
        <v>30</v>
      </c>
      <c r="G211" s="8" t="s">
        <v>30</v>
      </c>
      <c r="H211" s="8" t="s">
        <v>30</v>
      </c>
      <c r="I211" s="8" t="s">
        <v>21</v>
      </c>
      <c r="J211" s="8" t="s">
        <v>33</v>
      </c>
      <c r="K211" s="66"/>
      <c r="L211" s="66"/>
      <c r="M211" s="74"/>
      <c r="N211" s="68"/>
    </row>
    <row r="212" spans="1:14" ht="30" x14ac:dyDescent="0.25">
      <c r="A212" s="23" t="s">
        <v>127</v>
      </c>
      <c r="B212">
        <v>7</v>
      </c>
      <c r="C212" s="17" t="s">
        <v>67</v>
      </c>
      <c r="D212" s="17" t="s">
        <v>20</v>
      </c>
      <c r="E212" s="17" t="s">
        <v>20</v>
      </c>
      <c r="F212" s="17" t="s">
        <v>20</v>
      </c>
      <c r="G212" s="17" t="s">
        <v>20</v>
      </c>
      <c r="H212" s="17" t="s">
        <v>20</v>
      </c>
      <c r="I212" s="33" t="s">
        <v>21</v>
      </c>
      <c r="J212" s="33" t="s">
        <v>22</v>
      </c>
      <c r="K212" s="43" t="s">
        <v>22</v>
      </c>
      <c r="L212" s="43" t="s">
        <v>35</v>
      </c>
      <c r="M212" s="43" t="s">
        <v>35</v>
      </c>
      <c r="N212" s="43" t="s">
        <v>111</v>
      </c>
    </row>
    <row r="213" spans="1:14" ht="30" x14ac:dyDescent="0.25">
      <c r="A213" s="3" t="s">
        <v>128</v>
      </c>
      <c r="B213">
        <v>7</v>
      </c>
      <c r="C213" s="13" t="s">
        <v>67</v>
      </c>
      <c r="D213" s="13" t="s">
        <v>53</v>
      </c>
      <c r="E213" s="13" t="s">
        <v>53</v>
      </c>
      <c r="F213" s="13" t="s">
        <v>53</v>
      </c>
      <c r="G213" s="13" t="s">
        <v>53</v>
      </c>
      <c r="H213" s="13" t="s">
        <v>53</v>
      </c>
      <c r="I213" s="12" t="s">
        <v>55</v>
      </c>
      <c r="J213" s="12" t="s">
        <v>57</v>
      </c>
      <c r="K213" s="44" t="s">
        <v>57</v>
      </c>
      <c r="L213" s="44" t="s">
        <v>35</v>
      </c>
      <c r="M213" s="44" t="s">
        <v>35</v>
      </c>
      <c r="N213" s="44" t="s">
        <v>51</v>
      </c>
    </row>
    <row r="214" spans="1:14" ht="30" x14ac:dyDescent="0.25">
      <c r="A214" s="3" t="s">
        <v>129</v>
      </c>
      <c r="B214">
        <v>7</v>
      </c>
      <c r="C214" s="13" t="s">
        <v>67</v>
      </c>
      <c r="D214" s="13" t="s">
        <v>53</v>
      </c>
      <c r="E214" s="13" t="s">
        <v>53</v>
      </c>
      <c r="F214" s="13" t="s">
        <v>53</v>
      </c>
      <c r="G214" s="13" t="s">
        <v>30</v>
      </c>
      <c r="H214" s="13" t="s">
        <v>30</v>
      </c>
      <c r="I214" s="13" t="s">
        <v>21</v>
      </c>
      <c r="J214" s="13" t="s">
        <v>57</v>
      </c>
      <c r="K214" s="44" t="s">
        <v>57</v>
      </c>
      <c r="L214" s="44" t="s">
        <v>35</v>
      </c>
      <c r="M214" s="44" t="s">
        <v>35</v>
      </c>
      <c r="N214" s="44" t="s">
        <v>56</v>
      </c>
    </row>
    <row r="215" spans="1:14" ht="45" x14ac:dyDescent="0.25">
      <c r="A215" s="3" t="s">
        <v>130</v>
      </c>
      <c r="B215">
        <v>7</v>
      </c>
      <c r="C215" s="13" t="s">
        <v>67</v>
      </c>
      <c r="D215" s="13" t="s">
        <v>53</v>
      </c>
      <c r="E215" s="13" t="s">
        <v>30</v>
      </c>
      <c r="F215" s="13" t="s">
        <v>30</v>
      </c>
      <c r="G215" s="13" t="s">
        <v>30</v>
      </c>
      <c r="H215" s="13" t="s">
        <v>20</v>
      </c>
      <c r="I215" s="13" t="s">
        <v>21</v>
      </c>
      <c r="J215" s="13" t="s">
        <v>22</v>
      </c>
      <c r="K215" s="44" t="s">
        <v>22</v>
      </c>
      <c r="L215" s="44" t="s">
        <v>35</v>
      </c>
      <c r="M215" s="44" t="s">
        <v>35</v>
      </c>
      <c r="N215" s="44" t="s">
        <v>131</v>
      </c>
    </row>
    <row r="216" spans="1:14" ht="45" x14ac:dyDescent="0.25">
      <c r="A216" s="24" t="s">
        <v>132</v>
      </c>
      <c r="B216">
        <v>7</v>
      </c>
      <c r="C216" t="s">
        <v>67</v>
      </c>
      <c r="D216" t="s">
        <v>53</v>
      </c>
      <c r="E216" t="s">
        <v>30</v>
      </c>
      <c r="F216" t="s">
        <v>20</v>
      </c>
      <c r="G216" t="s">
        <v>20</v>
      </c>
      <c r="H216" t="s">
        <v>20</v>
      </c>
      <c r="I216" s="5" t="s">
        <v>21</v>
      </c>
      <c r="J216" s="5" t="s">
        <v>22</v>
      </c>
      <c r="K216" s="44" t="s">
        <v>22</v>
      </c>
      <c r="L216" s="44" t="s">
        <v>35</v>
      </c>
      <c r="M216" s="44" t="s">
        <v>35</v>
      </c>
      <c r="N216" s="44" t="s">
        <v>56</v>
      </c>
    </row>
    <row r="217" spans="1:14" ht="45" x14ac:dyDescent="0.25">
      <c r="A217" s="3" t="s">
        <v>133</v>
      </c>
      <c r="B217">
        <v>7</v>
      </c>
      <c r="C217" s="13" t="s">
        <v>67</v>
      </c>
      <c r="D217" s="13" t="s">
        <v>53</v>
      </c>
      <c r="E217" s="13" t="s">
        <v>20</v>
      </c>
      <c r="F217" s="13" t="s">
        <v>20</v>
      </c>
      <c r="G217" s="13" t="s">
        <v>20</v>
      </c>
      <c r="H217" s="13" t="s">
        <v>20</v>
      </c>
      <c r="I217" s="12" t="s">
        <v>55</v>
      </c>
      <c r="J217" s="13" t="s">
        <v>57</v>
      </c>
      <c r="K217" s="44" t="s">
        <v>57</v>
      </c>
      <c r="L217" s="44" t="s">
        <v>35</v>
      </c>
      <c r="M217" s="44" t="s">
        <v>35</v>
      </c>
      <c r="N217" s="44" t="s">
        <v>56</v>
      </c>
    </row>
    <row r="218" spans="1:14" ht="30" x14ac:dyDescent="0.25">
      <c r="A218" s="23" t="s">
        <v>134</v>
      </c>
      <c r="B218" s="2">
        <v>7</v>
      </c>
      <c r="C218" s="17" t="s">
        <v>67</v>
      </c>
      <c r="D218" s="33" t="s">
        <v>30</v>
      </c>
      <c r="E218" s="33" t="s">
        <v>30</v>
      </c>
      <c r="F218" s="33" t="s">
        <v>20</v>
      </c>
      <c r="G218" s="33" t="s">
        <v>30</v>
      </c>
      <c r="H218" s="33" t="s">
        <v>20</v>
      </c>
      <c r="I218" s="33" t="s">
        <v>21</v>
      </c>
      <c r="J218" s="33" t="s">
        <v>22</v>
      </c>
      <c r="K218" s="43" t="s">
        <v>22</v>
      </c>
      <c r="L218" s="43" t="s">
        <v>35</v>
      </c>
      <c r="M218" s="43" t="s">
        <v>35</v>
      </c>
      <c r="N218" s="43" t="s">
        <v>135</v>
      </c>
    </row>
    <row r="219" spans="1:14" ht="30" x14ac:dyDescent="0.25">
      <c r="A219" s="23" t="s">
        <v>136</v>
      </c>
      <c r="B219" s="2">
        <v>7</v>
      </c>
      <c r="C219" s="17" t="s">
        <v>67</v>
      </c>
      <c r="D219" s="33" t="s">
        <v>53</v>
      </c>
      <c r="E219" s="33" t="s">
        <v>30</v>
      </c>
      <c r="F219" s="33" t="s">
        <v>30</v>
      </c>
      <c r="G219" s="33" t="s">
        <v>30</v>
      </c>
      <c r="H219" s="33" t="s">
        <v>20</v>
      </c>
      <c r="I219" s="33" t="s">
        <v>21</v>
      </c>
      <c r="J219" s="33" t="s">
        <v>62</v>
      </c>
      <c r="K219" s="43" t="s">
        <v>62</v>
      </c>
      <c r="L219" s="43" t="s">
        <v>35</v>
      </c>
      <c r="M219" s="43" t="s">
        <v>35</v>
      </c>
      <c r="N219" s="43" t="s">
        <v>135</v>
      </c>
    </row>
    <row r="220" spans="1:14" ht="33" customHeight="1" x14ac:dyDescent="0.25">
      <c r="A220" s="3" t="s">
        <v>137</v>
      </c>
      <c r="B220">
        <v>7</v>
      </c>
      <c r="C220" s="13" t="s">
        <v>67</v>
      </c>
      <c r="D220" s="12" t="s">
        <v>20</v>
      </c>
      <c r="E220" s="12" t="s">
        <v>20</v>
      </c>
      <c r="F220" s="12" t="s">
        <v>20</v>
      </c>
      <c r="G220" s="12" t="s">
        <v>20</v>
      </c>
      <c r="H220" s="12" t="s">
        <v>20</v>
      </c>
      <c r="I220" s="12" t="s">
        <v>21</v>
      </c>
      <c r="J220" s="12" t="s">
        <v>22</v>
      </c>
      <c r="K220" s="44" t="s">
        <v>22</v>
      </c>
      <c r="L220" s="44" t="s">
        <v>35</v>
      </c>
      <c r="M220" s="44" t="s">
        <v>35</v>
      </c>
      <c r="N220" s="44" t="s">
        <v>109</v>
      </c>
    </row>
    <row r="221" spans="1:14" ht="45" x14ac:dyDescent="0.25">
      <c r="A221" s="23" t="s">
        <v>138</v>
      </c>
      <c r="B221" s="2">
        <v>7</v>
      </c>
      <c r="C221" s="18" t="s">
        <v>67</v>
      </c>
      <c r="D221" s="30" t="s">
        <v>20</v>
      </c>
      <c r="E221" s="30" t="s">
        <v>20</v>
      </c>
      <c r="F221" s="30" t="s">
        <v>20</v>
      </c>
      <c r="G221" s="30" t="s">
        <v>20</v>
      </c>
      <c r="H221" s="30" t="s">
        <v>20</v>
      </c>
      <c r="I221" s="30" t="s">
        <v>32</v>
      </c>
      <c r="J221" s="30" t="s">
        <v>22</v>
      </c>
      <c r="K221" s="43" t="s">
        <v>22</v>
      </c>
      <c r="L221" s="43" t="s">
        <v>35</v>
      </c>
      <c r="M221" s="43" t="s">
        <v>35</v>
      </c>
      <c r="N221" s="43" t="s">
        <v>73</v>
      </c>
    </row>
    <row r="222" spans="1:14" ht="60" customHeight="1" x14ac:dyDescent="0.25">
      <c r="A222" s="1"/>
      <c r="L222" s="47" t="s">
        <v>139</v>
      </c>
      <c r="M222" s="47"/>
    </row>
  </sheetData>
  <pageMargins left="0.7" right="0.7" top="0.75" bottom="0.75" header="0.3" footer="0.3"/>
  <pageSetup paperSize="9" orientation="portrait" horizontalDpi="90" verticalDpi="90" r:id="rId1"/>
  <tableParts count="1">
    <tablePart r:id="rId2"/>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4930F5-B3A3-4D36-B6F6-A7F841C5C23F}">
  <dimension ref="B2:G33"/>
  <sheetViews>
    <sheetView tabSelected="1" topLeftCell="A10" workbookViewId="0">
      <selection activeCell="C16" sqref="C16"/>
    </sheetView>
  </sheetViews>
  <sheetFormatPr defaultColWidth="8.7109375" defaultRowHeight="15" x14ac:dyDescent="0.25"/>
  <cols>
    <col min="1" max="1" width="3.42578125" style="40" customWidth="1"/>
    <col min="2" max="2" width="39.42578125" style="40" customWidth="1"/>
    <col min="3" max="3" width="119.42578125" style="40" customWidth="1"/>
    <col min="4" max="16384" width="8.7109375" style="40"/>
  </cols>
  <sheetData>
    <row r="2" spans="2:3" x14ac:dyDescent="0.25">
      <c r="B2" s="171" t="s">
        <v>140</v>
      </c>
      <c r="C2" s="172"/>
    </row>
    <row r="4" spans="2:3" x14ac:dyDescent="0.25">
      <c r="B4" s="40" t="s">
        <v>141</v>
      </c>
    </row>
    <row r="5" spans="2:3" x14ac:dyDescent="0.25">
      <c r="B5" s="40" t="s">
        <v>142</v>
      </c>
    </row>
    <row r="7" spans="2:3" x14ac:dyDescent="0.25">
      <c r="B7" s="171" t="s">
        <v>143</v>
      </c>
      <c r="C7" s="172"/>
    </row>
    <row r="9" spans="2:3" x14ac:dyDescent="0.25">
      <c r="B9" s="40" t="s">
        <v>144</v>
      </c>
    </row>
    <row r="11" spans="2:3" x14ac:dyDescent="0.25">
      <c r="B11" s="136" t="s">
        <v>145</v>
      </c>
      <c r="C11" s="136" t="s">
        <v>146</v>
      </c>
    </row>
    <row r="12" spans="2:3" x14ac:dyDescent="0.25">
      <c r="B12" s="40" t="s">
        <v>147</v>
      </c>
      <c r="C12" s="40" t="s">
        <v>148</v>
      </c>
    </row>
    <row r="13" spans="2:3" x14ac:dyDescent="0.25">
      <c r="B13" s="40" t="s">
        <v>149</v>
      </c>
      <c r="C13" s="40" t="s">
        <v>150</v>
      </c>
    </row>
    <row r="14" spans="2:3" x14ac:dyDescent="0.25">
      <c r="B14" s="40" t="s">
        <v>151</v>
      </c>
      <c r="C14" s="40" t="s">
        <v>152</v>
      </c>
    </row>
    <row r="15" spans="2:3" x14ac:dyDescent="0.25">
      <c r="B15" s="40" t="s">
        <v>153</v>
      </c>
      <c r="C15" s="40" t="s">
        <v>154</v>
      </c>
    </row>
    <row r="16" spans="2:3" x14ac:dyDescent="0.25">
      <c r="B16" s="40" t="s">
        <v>155</v>
      </c>
      <c r="C16" s="40" t="s">
        <v>156</v>
      </c>
    </row>
    <row r="17" spans="2:7" x14ac:dyDescent="0.25">
      <c r="B17" s="40" t="s">
        <v>157</v>
      </c>
      <c r="C17" s="40" t="s">
        <v>158</v>
      </c>
    </row>
    <row r="18" spans="2:7" x14ac:dyDescent="0.25">
      <c r="B18" s="40" t="s">
        <v>159</v>
      </c>
      <c r="C18" s="40" t="s">
        <v>160</v>
      </c>
    </row>
    <row r="19" spans="2:7" x14ac:dyDescent="0.25">
      <c r="B19" s="40" t="s">
        <v>161</v>
      </c>
      <c r="C19" s="40" t="s">
        <v>162</v>
      </c>
    </row>
    <row r="21" spans="2:7" x14ac:dyDescent="0.25">
      <c r="B21" s="171" t="s">
        <v>163</v>
      </c>
      <c r="C21" s="172"/>
    </row>
    <row r="23" spans="2:7" x14ac:dyDescent="0.25">
      <c r="B23" s="40" t="s">
        <v>164</v>
      </c>
    </row>
    <row r="25" spans="2:7" x14ac:dyDescent="0.25">
      <c r="B25" s="40" t="s">
        <v>165</v>
      </c>
    </row>
    <row r="27" spans="2:7" x14ac:dyDescent="0.25">
      <c r="B27" s="136" t="s">
        <v>166</v>
      </c>
      <c r="C27" s="136" t="s">
        <v>167</v>
      </c>
    </row>
    <row r="28" spans="2:7" x14ac:dyDescent="0.25">
      <c r="B28" s="40" t="s">
        <v>168</v>
      </c>
      <c r="C28" s="215" t="s">
        <v>169</v>
      </c>
      <c r="D28" s="174"/>
      <c r="E28" s="174"/>
      <c r="F28" s="174"/>
      <c r="G28" s="174"/>
    </row>
    <row r="29" spans="2:7" x14ac:dyDescent="0.25">
      <c r="B29" s="135" t="s">
        <v>170</v>
      </c>
      <c r="C29" s="173" t="s">
        <v>171</v>
      </c>
      <c r="D29" s="174"/>
      <c r="E29" s="174"/>
      <c r="F29" s="174"/>
      <c r="G29" s="174"/>
    </row>
    <row r="30" spans="2:7" x14ac:dyDescent="0.25">
      <c r="B30" s="40" t="s">
        <v>172</v>
      </c>
      <c r="C30" s="173" t="s">
        <v>173</v>
      </c>
      <c r="D30" s="174"/>
      <c r="E30" s="174"/>
      <c r="F30" s="174"/>
      <c r="G30" s="174"/>
    </row>
    <row r="31" spans="2:7" x14ac:dyDescent="0.25">
      <c r="B31" s="40" t="s">
        <v>174</v>
      </c>
      <c r="C31" s="173" t="s">
        <v>175</v>
      </c>
      <c r="D31" s="174"/>
      <c r="E31" s="174"/>
      <c r="F31" s="174"/>
      <c r="G31" s="174"/>
    </row>
    <row r="32" spans="2:7" x14ac:dyDescent="0.25">
      <c r="B32" s="40" t="s">
        <v>176</v>
      </c>
      <c r="C32" s="215" t="s">
        <v>177</v>
      </c>
      <c r="D32" s="174"/>
      <c r="E32" s="174"/>
      <c r="F32" s="174"/>
      <c r="G32" s="174"/>
    </row>
    <row r="33" spans="2:7" x14ac:dyDescent="0.25">
      <c r="B33" s="40" t="s">
        <v>178</v>
      </c>
      <c r="C33" s="173" t="s">
        <v>179</v>
      </c>
      <c r="D33" s="174"/>
      <c r="E33" s="174"/>
      <c r="F33" s="174"/>
      <c r="G33" s="174"/>
    </row>
  </sheetData>
  <hyperlinks>
    <hyperlink ref="C32" r:id="rId1" xr:uid="{FE06BE64-F684-4E54-8120-A1F066939A63}"/>
    <hyperlink ref="C28" r:id="rId2" xr:uid="{0A29420A-E51E-4DA3-969C-ABF31AD19985}"/>
    <hyperlink ref="C33" r:id="rId3" xr:uid="{5CAED6ED-8703-40A7-925B-E0F1E6F777EE}"/>
    <hyperlink ref="C30" r:id="rId4" xr:uid="{FEA9E28D-C732-44CF-987D-92BB7A2D628D}"/>
    <hyperlink ref="C31" r:id="rId5" xr:uid="{74CCB7F9-D56F-4557-81D0-B40D0F8357AC}"/>
    <hyperlink ref="C29" r:id="rId6" xr:uid="{F3449BD6-CD7D-4068-8DAA-DBB4563C4844}"/>
  </hyperlinks>
  <pageMargins left="0.7" right="0.7" top="0.75" bottom="0.75" header="0.3" footer="0.3"/>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A11E88-20F7-4965-8CC2-EC2C06BE1DE2}">
  <dimension ref="A1:AH64"/>
  <sheetViews>
    <sheetView workbookViewId="0">
      <pane xSplit="1" ySplit="1" topLeftCell="B2" activePane="bottomRight" state="frozen"/>
      <selection pane="topRight" activeCell="B1" sqref="B1"/>
      <selection pane="bottomLeft" activeCell="A2" sqref="A2"/>
      <selection pane="bottomRight" activeCell="E2" sqref="E2"/>
    </sheetView>
  </sheetViews>
  <sheetFormatPr defaultColWidth="9.140625" defaultRowHeight="12.75" x14ac:dyDescent="0.2"/>
  <cols>
    <col min="1" max="1" width="6" style="96" customWidth="1"/>
    <col min="2" max="2" width="20.85546875" style="96" customWidth="1"/>
    <col min="3" max="3" width="10.42578125" style="96" customWidth="1"/>
    <col min="4" max="4" width="9.140625" style="100"/>
    <col min="5" max="5" width="72.5703125" style="107" customWidth="1"/>
    <col min="6" max="6" width="72.28515625" style="107" customWidth="1"/>
    <col min="7" max="12" width="9.140625" style="81" customWidth="1"/>
    <col min="13" max="13" width="9.140625" style="81"/>
    <col min="14" max="15" width="16.5703125" style="81" customWidth="1"/>
    <col min="16" max="16" width="14.85546875" style="81" customWidth="1"/>
    <col min="17" max="17" width="15.140625" style="81" customWidth="1"/>
    <col min="18" max="18" width="36.140625" style="121" customWidth="1"/>
    <col min="19" max="33" width="5.5703125" style="137" customWidth="1"/>
    <col min="34" max="34" width="9.140625" style="100"/>
    <col min="35" max="16384" width="9.140625" style="81"/>
  </cols>
  <sheetData>
    <row r="1" spans="1:34" s="134" customFormat="1" ht="117.95" customHeight="1" x14ac:dyDescent="0.25">
      <c r="A1" s="216" t="s">
        <v>180</v>
      </c>
      <c r="B1" s="217" t="s">
        <v>181</v>
      </c>
      <c r="C1" s="218" t="s">
        <v>182</v>
      </c>
      <c r="D1" s="219" t="s">
        <v>5</v>
      </c>
      <c r="E1" s="170" t="s">
        <v>183</v>
      </c>
      <c r="F1" s="170" t="s">
        <v>184</v>
      </c>
      <c r="G1" s="220" t="s">
        <v>6</v>
      </c>
      <c r="H1" s="221" t="s">
        <v>185</v>
      </c>
      <c r="I1" s="221" t="s">
        <v>186</v>
      </c>
      <c r="J1" s="221" t="s">
        <v>187</v>
      </c>
      <c r="K1" s="221" t="s">
        <v>188</v>
      </c>
      <c r="L1" s="221" t="s">
        <v>189</v>
      </c>
      <c r="M1" s="221" t="s">
        <v>190</v>
      </c>
      <c r="N1" s="221" t="s">
        <v>191</v>
      </c>
      <c r="O1" s="222" t="s">
        <v>14</v>
      </c>
      <c r="P1" s="223" t="s">
        <v>15</v>
      </c>
      <c r="Q1" s="223" t="s">
        <v>16</v>
      </c>
      <c r="R1" s="224" t="s">
        <v>17</v>
      </c>
      <c r="S1" s="138" t="s">
        <v>192</v>
      </c>
      <c r="T1" s="138" t="s">
        <v>193</v>
      </c>
      <c r="U1" s="138" t="s">
        <v>194</v>
      </c>
      <c r="V1" s="138" t="s">
        <v>195</v>
      </c>
      <c r="W1" s="138" t="s">
        <v>196</v>
      </c>
      <c r="X1" s="138" t="s">
        <v>197</v>
      </c>
      <c r="Y1" s="138" t="s">
        <v>198</v>
      </c>
      <c r="Z1" s="138" t="s">
        <v>199</v>
      </c>
      <c r="AA1" s="138" t="s">
        <v>200</v>
      </c>
      <c r="AB1" s="138" t="s">
        <v>201</v>
      </c>
      <c r="AC1" s="138" t="s">
        <v>202</v>
      </c>
      <c r="AD1" s="138" t="s">
        <v>203</v>
      </c>
      <c r="AE1" s="138" t="s">
        <v>204</v>
      </c>
      <c r="AF1" s="138" t="s">
        <v>205</v>
      </c>
      <c r="AG1" s="139" t="s">
        <v>206</v>
      </c>
      <c r="AH1" s="133"/>
    </row>
    <row r="2" spans="1:34" s="97" customFormat="1" ht="128.44999999999999" customHeight="1" x14ac:dyDescent="0.25">
      <c r="A2" s="88" t="s">
        <v>207</v>
      </c>
      <c r="B2" s="93" t="s">
        <v>118</v>
      </c>
      <c r="C2" s="93" t="s">
        <v>32</v>
      </c>
      <c r="D2" s="104">
        <v>6</v>
      </c>
      <c r="E2" s="101" t="s">
        <v>208</v>
      </c>
      <c r="F2" s="101" t="s">
        <v>209</v>
      </c>
      <c r="G2" s="89" t="s">
        <v>19</v>
      </c>
      <c r="H2" s="91" t="s">
        <v>20</v>
      </c>
      <c r="I2" s="91" t="s">
        <v>20</v>
      </c>
      <c r="J2" s="91" t="s">
        <v>20</v>
      </c>
      <c r="K2" s="91" t="s">
        <v>20</v>
      </c>
      <c r="L2" s="91" t="s">
        <v>20</v>
      </c>
      <c r="M2" s="91" t="s">
        <v>21</v>
      </c>
      <c r="N2" s="91" t="s">
        <v>22</v>
      </c>
      <c r="O2" s="85" t="s">
        <v>22</v>
      </c>
      <c r="P2" s="85" t="s">
        <v>48</v>
      </c>
      <c r="Q2" s="85" t="s">
        <v>24</v>
      </c>
      <c r="R2" s="101" t="s">
        <v>75</v>
      </c>
      <c r="S2" s="123"/>
      <c r="T2" s="123"/>
      <c r="U2" s="123"/>
      <c r="V2" s="123"/>
      <c r="W2" s="123"/>
      <c r="X2" s="123"/>
      <c r="Y2" s="123"/>
      <c r="Z2" s="123"/>
      <c r="AA2" s="123"/>
      <c r="AB2" s="123"/>
      <c r="AC2" s="123"/>
      <c r="AD2" s="123" t="s">
        <v>210</v>
      </c>
      <c r="AE2" s="123"/>
      <c r="AF2" s="123"/>
      <c r="AG2" s="123"/>
      <c r="AH2" s="122"/>
    </row>
    <row r="3" spans="1:34" s="97" customFormat="1" ht="128.44999999999999" customHeight="1" x14ac:dyDescent="0.25">
      <c r="A3" s="88" t="s">
        <v>211</v>
      </c>
      <c r="B3" s="93" t="s">
        <v>119</v>
      </c>
      <c r="C3" s="93" t="s">
        <v>32</v>
      </c>
      <c r="D3" s="104">
        <v>6</v>
      </c>
      <c r="E3" s="101" t="s">
        <v>212</v>
      </c>
      <c r="F3" s="101" t="s">
        <v>213</v>
      </c>
      <c r="G3" s="89" t="s">
        <v>19</v>
      </c>
      <c r="H3" s="91" t="s">
        <v>30</v>
      </c>
      <c r="I3" s="91" t="s">
        <v>20</v>
      </c>
      <c r="J3" s="91" t="s">
        <v>20</v>
      </c>
      <c r="K3" s="91" t="s">
        <v>20</v>
      </c>
      <c r="L3" s="91" t="s">
        <v>20</v>
      </c>
      <c r="M3" s="91" t="s">
        <v>21</v>
      </c>
      <c r="N3" s="91" t="s">
        <v>22</v>
      </c>
      <c r="O3" s="85" t="s">
        <v>22</v>
      </c>
      <c r="P3" s="85" t="s">
        <v>48</v>
      </c>
      <c r="Q3" s="85" t="s">
        <v>24</v>
      </c>
      <c r="R3" s="101" t="s">
        <v>101</v>
      </c>
      <c r="S3" s="123"/>
      <c r="T3" s="123"/>
      <c r="U3" s="123"/>
      <c r="V3" s="123"/>
      <c r="W3" s="123"/>
      <c r="X3" s="123"/>
      <c r="Y3" s="123"/>
      <c r="Z3" s="123"/>
      <c r="AA3" s="123"/>
      <c r="AB3" s="123"/>
      <c r="AC3" s="123"/>
      <c r="AD3" s="123" t="s">
        <v>210</v>
      </c>
      <c r="AE3" s="123"/>
      <c r="AF3" s="123"/>
      <c r="AG3" s="123"/>
      <c r="AH3" s="122"/>
    </row>
    <row r="4" spans="1:34" s="97" customFormat="1" ht="128.44999999999999" customHeight="1" x14ac:dyDescent="0.25">
      <c r="A4" s="88" t="s">
        <v>214</v>
      </c>
      <c r="B4" s="93" t="s">
        <v>120</v>
      </c>
      <c r="C4" s="93" t="s">
        <v>32</v>
      </c>
      <c r="D4" s="104">
        <v>6</v>
      </c>
      <c r="E4" s="101" t="s">
        <v>215</v>
      </c>
      <c r="F4" s="101" t="s">
        <v>216</v>
      </c>
      <c r="G4" s="89" t="s">
        <v>19</v>
      </c>
      <c r="H4" s="91" t="s">
        <v>53</v>
      </c>
      <c r="I4" s="91" t="s">
        <v>30</v>
      </c>
      <c r="J4" s="91" t="s">
        <v>30</v>
      </c>
      <c r="K4" s="91" t="s">
        <v>30</v>
      </c>
      <c r="L4" s="91" t="s">
        <v>20</v>
      </c>
      <c r="M4" s="91" t="s">
        <v>21</v>
      </c>
      <c r="N4" s="91" t="s">
        <v>33</v>
      </c>
      <c r="O4" s="85" t="s">
        <v>34</v>
      </c>
      <c r="P4" s="85" t="s">
        <v>48</v>
      </c>
      <c r="Q4" s="85" t="s">
        <v>80</v>
      </c>
      <c r="R4" s="101" t="s">
        <v>56</v>
      </c>
      <c r="S4" s="123"/>
      <c r="T4" s="123"/>
      <c r="U4" s="123"/>
      <c r="V4" s="123"/>
      <c r="W4" s="123"/>
      <c r="X4" s="123"/>
      <c r="Y4" s="123"/>
      <c r="Z4" s="123"/>
      <c r="AA4" s="123"/>
      <c r="AB4" s="123"/>
      <c r="AC4" s="123"/>
      <c r="AD4" s="123" t="s">
        <v>210</v>
      </c>
      <c r="AE4" s="123"/>
      <c r="AF4" s="123"/>
      <c r="AG4" s="123"/>
      <c r="AH4" s="122"/>
    </row>
    <row r="5" spans="1:34" s="97" customFormat="1" ht="128.44999999999999" customHeight="1" x14ac:dyDescent="0.25">
      <c r="A5" s="88" t="s">
        <v>217</v>
      </c>
      <c r="B5" s="93" t="s">
        <v>121</v>
      </c>
      <c r="C5" s="93" t="s">
        <v>32</v>
      </c>
      <c r="D5" s="104">
        <v>6</v>
      </c>
      <c r="E5" s="101" t="s">
        <v>218</v>
      </c>
      <c r="F5" s="101" t="s">
        <v>219</v>
      </c>
      <c r="G5" s="89" t="s">
        <v>19</v>
      </c>
      <c r="H5" s="91" t="s">
        <v>30</v>
      </c>
      <c r="I5" s="91" t="s">
        <v>30</v>
      </c>
      <c r="J5" s="91" t="s">
        <v>20</v>
      </c>
      <c r="K5" s="91" t="s">
        <v>30</v>
      </c>
      <c r="L5" s="91" t="s">
        <v>20</v>
      </c>
      <c r="M5" s="91" t="s">
        <v>21</v>
      </c>
      <c r="N5" s="91" t="s">
        <v>62</v>
      </c>
      <c r="O5" s="85" t="s">
        <v>62</v>
      </c>
      <c r="P5" s="85" t="s">
        <v>48</v>
      </c>
      <c r="Q5" s="85" t="s">
        <v>35</v>
      </c>
      <c r="R5" s="118" t="s">
        <v>122</v>
      </c>
      <c r="S5" s="123"/>
      <c r="T5" s="123"/>
      <c r="U5" s="123"/>
      <c r="V5" s="123"/>
      <c r="W5" s="123"/>
      <c r="X5" s="123"/>
      <c r="Y5" s="123"/>
      <c r="Z5" s="123"/>
      <c r="AA5" s="123"/>
      <c r="AB5" s="123"/>
      <c r="AC5" s="123"/>
      <c r="AD5" s="123"/>
      <c r="AE5" s="123" t="s">
        <v>210</v>
      </c>
      <c r="AF5" s="123"/>
      <c r="AG5" s="123"/>
      <c r="AH5" s="122"/>
    </row>
    <row r="6" spans="1:34" s="97" customFormat="1" ht="128.44999999999999" customHeight="1" x14ac:dyDescent="0.25">
      <c r="A6" s="88" t="s">
        <v>220</v>
      </c>
      <c r="B6" s="92" t="s">
        <v>123</v>
      </c>
      <c r="C6" s="92" t="s">
        <v>55</v>
      </c>
      <c r="D6" s="105">
        <v>6</v>
      </c>
      <c r="E6" s="101" t="s">
        <v>221</v>
      </c>
      <c r="F6" s="89" t="s">
        <v>35</v>
      </c>
      <c r="G6" s="86" t="s">
        <v>19</v>
      </c>
      <c r="H6" s="87" t="s">
        <v>53</v>
      </c>
      <c r="I6" s="87" t="s">
        <v>30</v>
      </c>
      <c r="J6" s="87" t="s">
        <v>30</v>
      </c>
      <c r="K6" s="90" t="s">
        <v>30</v>
      </c>
      <c r="L6" s="90" t="s">
        <v>20</v>
      </c>
      <c r="M6" s="90" t="s">
        <v>21</v>
      </c>
      <c r="N6" s="90" t="s">
        <v>33</v>
      </c>
      <c r="O6" s="84" t="s">
        <v>34</v>
      </c>
      <c r="P6" s="84" t="s">
        <v>95</v>
      </c>
      <c r="Q6" s="84" t="s">
        <v>24</v>
      </c>
      <c r="R6" s="119" t="s">
        <v>97</v>
      </c>
      <c r="S6" s="123"/>
      <c r="T6" s="123"/>
      <c r="U6" s="123"/>
      <c r="V6" s="123"/>
      <c r="W6" s="123"/>
      <c r="X6" s="123"/>
      <c r="Y6" s="123"/>
      <c r="Z6" s="123"/>
      <c r="AA6" s="123"/>
      <c r="AB6" s="123"/>
      <c r="AC6" s="123"/>
      <c r="AD6" s="123" t="s">
        <v>210</v>
      </c>
      <c r="AE6" s="123"/>
      <c r="AF6" s="123"/>
      <c r="AG6" s="123"/>
      <c r="AH6" s="122"/>
    </row>
    <row r="7" spans="1:34" s="97" customFormat="1" ht="128.44999999999999" customHeight="1" x14ac:dyDescent="0.25">
      <c r="A7" s="88" t="s">
        <v>222</v>
      </c>
      <c r="B7" s="92" t="s">
        <v>124</v>
      </c>
      <c r="C7" s="92" t="s">
        <v>55</v>
      </c>
      <c r="D7" s="105">
        <v>6</v>
      </c>
      <c r="E7" s="101" t="s">
        <v>223</v>
      </c>
      <c r="F7" s="113" t="s">
        <v>224</v>
      </c>
      <c r="G7" s="86" t="s">
        <v>19</v>
      </c>
      <c r="H7" s="87" t="s">
        <v>30</v>
      </c>
      <c r="I7" s="87" t="s">
        <v>54</v>
      </c>
      <c r="J7" s="87" t="s">
        <v>54</v>
      </c>
      <c r="K7" s="87" t="s">
        <v>54</v>
      </c>
      <c r="L7" s="87" t="s">
        <v>54</v>
      </c>
      <c r="M7" s="90" t="s">
        <v>21</v>
      </c>
      <c r="N7" s="90" t="s">
        <v>22</v>
      </c>
      <c r="O7" s="82" t="s">
        <v>22</v>
      </c>
      <c r="P7" s="82" t="s">
        <v>95</v>
      </c>
      <c r="Q7" s="82" t="s">
        <v>24</v>
      </c>
      <c r="R7" s="120" t="s">
        <v>125</v>
      </c>
      <c r="S7" s="123"/>
      <c r="T7" s="123"/>
      <c r="U7" s="123" t="s">
        <v>210</v>
      </c>
      <c r="V7" s="123"/>
      <c r="W7" s="123"/>
      <c r="X7" s="123"/>
      <c r="Y7" s="123"/>
      <c r="Z7" s="123"/>
      <c r="AA7" s="123"/>
      <c r="AB7" s="123"/>
      <c r="AC7" s="123"/>
      <c r="AD7" s="123" t="s">
        <v>210</v>
      </c>
      <c r="AE7" s="123"/>
      <c r="AF7" s="123"/>
      <c r="AG7" s="123"/>
      <c r="AH7" s="122"/>
    </row>
    <row r="8" spans="1:34" s="97" customFormat="1" ht="128.44999999999999" customHeight="1" x14ac:dyDescent="0.25">
      <c r="A8" s="88" t="s">
        <v>225</v>
      </c>
      <c r="B8" s="93" t="s">
        <v>126</v>
      </c>
      <c r="C8" s="93" t="s">
        <v>32</v>
      </c>
      <c r="D8" s="104">
        <v>6</v>
      </c>
      <c r="E8" s="101" t="s">
        <v>226</v>
      </c>
      <c r="F8" s="101" t="s">
        <v>227</v>
      </c>
      <c r="G8" s="89" t="s">
        <v>19</v>
      </c>
      <c r="H8" s="88" t="s">
        <v>53</v>
      </c>
      <c r="I8" s="88" t="s">
        <v>30</v>
      </c>
      <c r="J8" s="88" t="s">
        <v>30</v>
      </c>
      <c r="K8" s="88" t="s">
        <v>30</v>
      </c>
      <c r="L8" s="88" t="s">
        <v>30</v>
      </c>
      <c r="M8" s="91" t="s">
        <v>21</v>
      </c>
      <c r="N8" s="91" t="s">
        <v>33</v>
      </c>
      <c r="O8" s="83" t="s">
        <v>34</v>
      </c>
      <c r="P8" s="83" t="s">
        <v>95</v>
      </c>
      <c r="Q8" s="83" t="s">
        <v>80</v>
      </c>
      <c r="R8" s="118" t="s">
        <v>51</v>
      </c>
      <c r="S8" s="123"/>
      <c r="T8" s="123"/>
      <c r="U8" s="123"/>
      <c r="V8" s="123"/>
      <c r="W8" s="123"/>
      <c r="X8" s="123"/>
      <c r="Y8" s="123"/>
      <c r="Z8" s="123"/>
      <c r="AA8" s="123"/>
      <c r="AB8" s="123"/>
      <c r="AC8" s="123"/>
      <c r="AD8" s="123" t="s">
        <v>210</v>
      </c>
      <c r="AE8" s="123"/>
      <c r="AF8" s="123"/>
      <c r="AG8" s="123"/>
      <c r="AH8" s="122"/>
    </row>
    <row r="9" spans="1:34" s="97" customFormat="1" ht="128.44999999999999" customHeight="1" x14ac:dyDescent="0.25">
      <c r="A9" s="88" t="s">
        <v>228</v>
      </c>
      <c r="B9" s="94" t="s">
        <v>96</v>
      </c>
      <c r="C9" s="92" t="s">
        <v>55</v>
      </c>
      <c r="D9" s="105">
        <v>5</v>
      </c>
      <c r="E9" s="101" t="s">
        <v>229</v>
      </c>
      <c r="F9" s="101" t="s">
        <v>230</v>
      </c>
      <c r="G9" s="86" t="s">
        <v>19</v>
      </c>
      <c r="H9" s="90" t="s">
        <v>20</v>
      </c>
      <c r="I9" s="90" t="s">
        <v>20</v>
      </c>
      <c r="J9" s="90" t="s">
        <v>20</v>
      </c>
      <c r="K9" s="90" t="s">
        <v>20</v>
      </c>
      <c r="L9" s="90" t="s">
        <v>20</v>
      </c>
      <c r="M9" s="90" t="s">
        <v>21</v>
      </c>
      <c r="N9" s="90" t="s">
        <v>22</v>
      </c>
      <c r="O9" s="84" t="s">
        <v>22</v>
      </c>
      <c r="P9" s="84" t="s">
        <v>95</v>
      </c>
      <c r="Q9" s="84" t="s">
        <v>24</v>
      </c>
      <c r="R9" s="119" t="s">
        <v>97</v>
      </c>
      <c r="S9" s="123"/>
      <c r="T9" s="123"/>
      <c r="U9" s="123"/>
      <c r="V9" s="123"/>
      <c r="W9" s="123"/>
      <c r="X9" s="123"/>
      <c r="Y9" s="123"/>
      <c r="Z9" s="123" t="s">
        <v>210</v>
      </c>
      <c r="AA9" s="123" t="s">
        <v>210</v>
      </c>
      <c r="AB9" s="123" t="s">
        <v>210</v>
      </c>
      <c r="AC9" s="123" t="s">
        <v>210</v>
      </c>
      <c r="AD9" s="123"/>
      <c r="AE9" s="123"/>
      <c r="AF9" s="123"/>
      <c r="AG9" s="123"/>
      <c r="AH9" s="122"/>
    </row>
    <row r="10" spans="1:34" s="97" customFormat="1" ht="128.44999999999999" customHeight="1" x14ac:dyDescent="0.25">
      <c r="A10" s="88" t="s">
        <v>231</v>
      </c>
      <c r="B10" s="95" t="s">
        <v>98</v>
      </c>
      <c r="C10" s="93" t="s">
        <v>32</v>
      </c>
      <c r="D10" s="104">
        <v>5</v>
      </c>
      <c r="E10" s="101" t="s">
        <v>232</v>
      </c>
      <c r="F10" s="89" t="s">
        <v>35</v>
      </c>
      <c r="G10" s="89" t="s">
        <v>19</v>
      </c>
      <c r="H10" s="91" t="s">
        <v>53</v>
      </c>
      <c r="I10" s="91" t="s">
        <v>53</v>
      </c>
      <c r="J10" s="91" t="s">
        <v>53</v>
      </c>
      <c r="K10" s="91" t="s">
        <v>30</v>
      </c>
      <c r="L10" s="91" t="s">
        <v>30</v>
      </c>
      <c r="M10" s="91" t="s">
        <v>21</v>
      </c>
      <c r="N10" s="91" t="s">
        <v>33</v>
      </c>
      <c r="O10" s="85" t="s">
        <v>34</v>
      </c>
      <c r="P10" s="85" t="s">
        <v>35</v>
      </c>
      <c r="Q10" s="85" t="s">
        <v>35</v>
      </c>
      <c r="R10" s="118" t="s">
        <v>51</v>
      </c>
      <c r="S10" s="123"/>
      <c r="T10" s="123"/>
      <c r="U10" s="123"/>
      <c r="V10" s="123"/>
      <c r="W10" s="123"/>
      <c r="X10" s="123"/>
      <c r="Y10" s="123"/>
      <c r="Z10" s="123"/>
      <c r="AA10" s="123"/>
      <c r="AB10" s="123" t="s">
        <v>210</v>
      </c>
      <c r="AC10" s="123" t="s">
        <v>210</v>
      </c>
      <c r="AD10" s="123"/>
      <c r="AE10" s="123"/>
      <c r="AF10" s="123"/>
      <c r="AG10" s="123"/>
      <c r="AH10" s="122"/>
    </row>
    <row r="11" spans="1:34" s="97" customFormat="1" ht="128.44999999999999" customHeight="1" x14ac:dyDescent="0.25">
      <c r="A11" s="88" t="s">
        <v>233</v>
      </c>
      <c r="B11" s="95" t="s">
        <v>99</v>
      </c>
      <c r="C11" s="93" t="s">
        <v>32</v>
      </c>
      <c r="D11" s="104">
        <v>5</v>
      </c>
      <c r="E11" s="101" t="s">
        <v>234</v>
      </c>
      <c r="F11" s="101" t="s">
        <v>235</v>
      </c>
      <c r="G11" s="89" t="s">
        <v>19</v>
      </c>
      <c r="H11" s="91" t="s">
        <v>20</v>
      </c>
      <c r="I11" s="91" t="s">
        <v>20</v>
      </c>
      <c r="J11" s="91" t="s">
        <v>20</v>
      </c>
      <c r="K11" s="91" t="s">
        <v>20</v>
      </c>
      <c r="L11" s="91" t="s">
        <v>20</v>
      </c>
      <c r="M11" s="91" t="s">
        <v>21</v>
      </c>
      <c r="N11" s="91" t="s">
        <v>22</v>
      </c>
      <c r="O11" s="85" t="s">
        <v>22</v>
      </c>
      <c r="P11" s="85" t="s">
        <v>48</v>
      </c>
      <c r="Q11" s="85" t="s">
        <v>24</v>
      </c>
      <c r="R11" s="101" t="s">
        <v>75</v>
      </c>
      <c r="S11" s="123"/>
      <c r="T11" s="123"/>
      <c r="U11" s="123"/>
      <c r="V11" s="123"/>
      <c r="W11" s="123"/>
      <c r="X11" s="123"/>
      <c r="Y11" s="123"/>
      <c r="Z11" s="123" t="s">
        <v>210</v>
      </c>
      <c r="AA11" s="123" t="s">
        <v>210</v>
      </c>
      <c r="AB11" s="123" t="s">
        <v>210</v>
      </c>
      <c r="AC11" s="123" t="s">
        <v>210</v>
      </c>
      <c r="AD11" s="123"/>
      <c r="AE11" s="123"/>
      <c r="AF11" s="123"/>
      <c r="AG11" s="123"/>
      <c r="AH11" s="122"/>
    </row>
    <row r="12" spans="1:34" s="97" customFormat="1" ht="128.44999999999999" customHeight="1" x14ac:dyDescent="0.25">
      <c r="A12" s="88" t="s">
        <v>236</v>
      </c>
      <c r="B12" s="95" t="s">
        <v>100</v>
      </c>
      <c r="C12" s="93" t="s">
        <v>32</v>
      </c>
      <c r="D12" s="104">
        <v>5</v>
      </c>
      <c r="E12" s="101" t="s">
        <v>237</v>
      </c>
      <c r="F12" s="101" t="s">
        <v>238</v>
      </c>
      <c r="G12" s="89" t="s">
        <v>19</v>
      </c>
      <c r="H12" s="91" t="s">
        <v>53</v>
      </c>
      <c r="I12" s="91" t="s">
        <v>30</v>
      </c>
      <c r="J12" s="91" t="s">
        <v>30</v>
      </c>
      <c r="K12" s="91" t="s">
        <v>20</v>
      </c>
      <c r="L12" s="91" t="s">
        <v>20</v>
      </c>
      <c r="M12" s="91" t="s">
        <v>21</v>
      </c>
      <c r="N12" s="91" t="s">
        <v>22</v>
      </c>
      <c r="O12" s="85" t="s">
        <v>22</v>
      </c>
      <c r="P12" s="85" t="s">
        <v>48</v>
      </c>
      <c r="Q12" s="85" t="s">
        <v>24</v>
      </c>
      <c r="R12" s="101" t="s">
        <v>101</v>
      </c>
      <c r="S12" s="123"/>
      <c r="T12" s="123"/>
      <c r="U12" s="123"/>
      <c r="V12" s="123"/>
      <c r="W12" s="123"/>
      <c r="X12" s="123"/>
      <c r="Y12" s="123"/>
      <c r="Z12" s="123" t="s">
        <v>210</v>
      </c>
      <c r="AA12" s="123"/>
      <c r="AB12" s="123"/>
      <c r="AC12" s="123" t="s">
        <v>210</v>
      </c>
      <c r="AD12" s="123"/>
      <c r="AE12" s="123"/>
      <c r="AF12" s="123"/>
      <c r="AG12" s="123"/>
      <c r="AH12" s="122"/>
    </row>
    <row r="13" spans="1:34" s="97" customFormat="1" ht="128.44999999999999" customHeight="1" x14ac:dyDescent="0.25">
      <c r="A13" s="88" t="s">
        <v>239</v>
      </c>
      <c r="B13" s="95" t="s">
        <v>102</v>
      </c>
      <c r="C13" s="93" t="s">
        <v>32</v>
      </c>
      <c r="D13" s="104">
        <v>5</v>
      </c>
      <c r="E13" s="101" t="s">
        <v>240</v>
      </c>
      <c r="F13" s="89" t="s">
        <v>35</v>
      </c>
      <c r="G13" s="89" t="s">
        <v>19</v>
      </c>
      <c r="H13" s="91" t="s">
        <v>30</v>
      </c>
      <c r="I13" s="91" t="s">
        <v>30</v>
      </c>
      <c r="J13" s="91" t="s">
        <v>30</v>
      </c>
      <c r="K13" s="91" t="s">
        <v>20</v>
      </c>
      <c r="L13" s="91" t="s">
        <v>20</v>
      </c>
      <c r="M13" s="91" t="s">
        <v>21</v>
      </c>
      <c r="N13" s="91" t="s">
        <v>33</v>
      </c>
      <c r="O13" s="85" t="s">
        <v>34</v>
      </c>
      <c r="P13" s="85" t="s">
        <v>35</v>
      </c>
      <c r="Q13" s="85" t="s">
        <v>24</v>
      </c>
      <c r="R13" s="118" t="s">
        <v>103</v>
      </c>
      <c r="S13" s="123"/>
      <c r="T13" s="123"/>
      <c r="U13" s="123"/>
      <c r="V13" s="123"/>
      <c r="W13" s="123"/>
      <c r="X13" s="123"/>
      <c r="Y13" s="123"/>
      <c r="Z13" s="123"/>
      <c r="AA13" s="123" t="s">
        <v>210</v>
      </c>
      <c r="AB13" s="123"/>
      <c r="AC13" s="123"/>
      <c r="AD13" s="123"/>
      <c r="AE13" s="123"/>
      <c r="AF13" s="123"/>
      <c r="AG13" s="123"/>
      <c r="AH13" s="122"/>
    </row>
    <row r="14" spans="1:34" s="97" customFormat="1" ht="128.44999999999999" customHeight="1" x14ac:dyDescent="0.25">
      <c r="A14" s="88" t="s">
        <v>241</v>
      </c>
      <c r="B14" s="94" t="s">
        <v>104</v>
      </c>
      <c r="C14" s="92" t="s">
        <v>55</v>
      </c>
      <c r="D14" s="105">
        <v>5</v>
      </c>
      <c r="E14" s="101" t="s">
        <v>242</v>
      </c>
      <c r="F14" s="89" t="s">
        <v>35</v>
      </c>
      <c r="G14" s="86" t="s">
        <v>19</v>
      </c>
      <c r="H14" s="115" t="s">
        <v>30</v>
      </c>
      <c r="I14" s="90" t="s">
        <v>20</v>
      </c>
      <c r="J14" s="90" t="s">
        <v>20</v>
      </c>
      <c r="K14" s="90" t="s">
        <v>20</v>
      </c>
      <c r="L14" s="90" t="s">
        <v>20</v>
      </c>
      <c r="M14" s="90" t="s">
        <v>32</v>
      </c>
      <c r="N14" s="90" t="s">
        <v>22</v>
      </c>
      <c r="O14" s="84" t="s">
        <v>22</v>
      </c>
      <c r="P14" s="84" t="s">
        <v>35</v>
      </c>
      <c r="Q14" s="84" t="s">
        <v>35</v>
      </c>
      <c r="R14" s="119" t="s">
        <v>89</v>
      </c>
      <c r="S14" s="123"/>
      <c r="T14" s="123"/>
      <c r="U14" s="123"/>
      <c r="V14" s="123"/>
      <c r="W14" s="123" t="s">
        <v>210</v>
      </c>
      <c r="X14" s="123"/>
      <c r="Y14" s="123"/>
      <c r="Z14" s="123"/>
      <c r="AA14" s="123" t="s">
        <v>210</v>
      </c>
      <c r="AB14" s="123"/>
      <c r="AC14" s="123"/>
      <c r="AD14" s="123"/>
      <c r="AE14" s="123"/>
      <c r="AF14" s="123"/>
      <c r="AG14" s="123"/>
      <c r="AH14" s="122"/>
    </row>
    <row r="15" spans="1:34" s="97" customFormat="1" ht="128.44999999999999" customHeight="1" x14ac:dyDescent="0.25">
      <c r="A15" s="88" t="s">
        <v>243</v>
      </c>
      <c r="B15" s="95" t="s">
        <v>107</v>
      </c>
      <c r="C15" s="93" t="s">
        <v>32</v>
      </c>
      <c r="D15" s="104">
        <v>5</v>
      </c>
      <c r="E15" s="101" t="s">
        <v>244</v>
      </c>
      <c r="F15" s="101" t="s">
        <v>245</v>
      </c>
      <c r="G15" s="89" t="s">
        <v>19</v>
      </c>
      <c r="H15" s="91" t="s">
        <v>20</v>
      </c>
      <c r="I15" s="91" t="s">
        <v>30</v>
      </c>
      <c r="J15" s="91" t="s">
        <v>30</v>
      </c>
      <c r="K15" s="91" t="s">
        <v>30</v>
      </c>
      <c r="L15" s="91" t="s">
        <v>30</v>
      </c>
      <c r="M15" s="91" t="s">
        <v>21</v>
      </c>
      <c r="N15" s="91" t="s">
        <v>33</v>
      </c>
      <c r="O15" s="85" t="s">
        <v>34</v>
      </c>
      <c r="P15" s="83" t="s">
        <v>23</v>
      </c>
      <c r="Q15" s="83" t="s">
        <v>24</v>
      </c>
      <c r="R15" s="101" t="s">
        <v>56</v>
      </c>
      <c r="S15" s="123"/>
      <c r="T15" s="123"/>
      <c r="U15" s="123"/>
      <c r="V15" s="123"/>
      <c r="W15" s="123"/>
      <c r="X15" s="123"/>
      <c r="Y15" s="123"/>
      <c r="Z15" s="123"/>
      <c r="AA15" s="123"/>
      <c r="AB15" s="123" t="s">
        <v>210</v>
      </c>
      <c r="AC15" s="123"/>
      <c r="AD15" s="123"/>
      <c r="AE15" s="123"/>
      <c r="AF15" s="123"/>
      <c r="AG15" s="123"/>
      <c r="AH15" s="122"/>
    </row>
    <row r="16" spans="1:34" s="97" customFormat="1" ht="128.44999999999999" customHeight="1" x14ac:dyDescent="0.25">
      <c r="A16" s="88" t="s">
        <v>246</v>
      </c>
      <c r="B16" s="95" t="s">
        <v>108</v>
      </c>
      <c r="C16" s="93" t="s">
        <v>32</v>
      </c>
      <c r="D16" s="104">
        <v>5</v>
      </c>
      <c r="E16" s="101" t="s">
        <v>247</v>
      </c>
      <c r="F16" s="89" t="s">
        <v>35</v>
      </c>
      <c r="G16" s="89" t="s">
        <v>19</v>
      </c>
      <c r="H16" s="91" t="s">
        <v>30</v>
      </c>
      <c r="I16" s="91" t="s">
        <v>30</v>
      </c>
      <c r="J16" s="91" t="s">
        <v>30</v>
      </c>
      <c r="K16" s="91" t="s">
        <v>20</v>
      </c>
      <c r="L16" s="91" t="s">
        <v>20</v>
      </c>
      <c r="M16" s="91" t="s">
        <v>21</v>
      </c>
      <c r="N16" s="91" t="s">
        <v>22</v>
      </c>
      <c r="O16" s="85" t="s">
        <v>22</v>
      </c>
      <c r="P16" s="85" t="s">
        <v>95</v>
      </c>
      <c r="Q16" s="83" t="s">
        <v>24</v>
      </c>
      <c r="R16" s="118" t="s">
        <v>109</v>
      </c>
      <c r="S16" s="123"/>
      <c r="T16" s="123"/>
      <c r="U16" s="123"/>
      <c r="V16" s="123"/>
      <c r="W16" s="123"/>
      <c r="X16" s="123"/>
      <c r="Y16" s="123"/>
      <c r="Z16" s="123"/>
      <c r="AA16" s="123"/>
      <c r="AB16" s="123" t="s">
        <v>210</v>
      </c>
      <c r="AC16" s="123"/>
      <c r="AD16" s="123"/>
      <c r="AE16" s="123"/>
      <c r="AF16" s="123"/>
      <c r="AG16" s="123"/>
      <c r="AH16" s="122"/>
    </row>
    <row r="17" spans="1:34" s="97" customFormat="1" ht="128.44999999999999" customHeight="1" x14ac:dyDescent="0.25">
      <c r="A17" s="88" t="s">
        <v>248</v>
      </c>
      <c r="B17" s="95" t="s">
        <v>110</v>
      </c>
      <c r="C17" s="93" t="s">
        <v>32</v>
      </c>
      <c r="D17" s="104">
        <v>5</v>
      </c>
      <c r="E17" s="101" t="s">
        <v>249</v>
      </c>
      <c r="F17" s="101" t="s">
        <v>250</v>
      </c>
      <c r="G17" s="89" t="s">
        <v>67</v>
      </c>
      <c r="H17" s="91" t="s">
        <v>20</v>
      </c>
      <c r="I17" s="91" t="s">
        <v>20</v>
      </c>
      <c r="J17" s="91" t="s">
        <v>20</v>
      </c>
      <c r="K17" s="91" t="s">
        <v>20</v>
      </c>
      <c r="L17" s="91" t="s">
        <v>20</v>
      </c>
      <c r="M17" s="91" t="s">
        <v>21</v>
      </c>
      <c r="N17" s="91" t="s">
        <v>33</v>
      </c>
      <c r="O17" s="85" t="s">
        <v>34</v>
      </c>
      <c r="P17" s="85" t="s">
        <v>35</v>
      </c>
      <c r="Q17" s="83" t="s">
        <v>35</v>
      </c>
      <c r="R17" s="118" t="s">
        <v>111</v>
      </c>
      <c r="S17" s="123"/>
      <c r="T17" s="123"/>
      <c r="U17" s="123" t="s">
        <v>210</v>
      </c>
      <c r="V17" s="123"/>
      <c r="W17" s="123"/>
      <c r="X17" s="123"/>
      <c r="Y17" s="123"/>
      <c r="Z17" s="123"/>
      <c r="AA17" s="123"/>
      <c r="AB17" s="123"/>
      <c r="AC17" s="123"/>
      <c r="AD17" s="123"/>
      <c r="AE17" s="123"/>
      <c r="AF17" s="123"/>
      <c r="AG17" s="123"/>
      <c r="AH17" s="122"/>
    </row>
    <row r="18" spans="1:34" s="97" customFormat="1" ht="128.44999999999999" customHeight="1" x14ac:dyDescent="0.25">
      <c r="A18" s="88" t="s">
        <v>251</v>
      </c>
      <c r="B18" s="95" t="s">
        <v>252</v>
      </c>
      <c r="C18" s="93" t="s">
        <v>32</v>
      </c>
      <c r="D18" s="104">
        <v>5</v>
      </c>
      <c r="E18" s="101" t="s">
        <v>253</v>
      </c>
      <c r="F18" s="101" t="s">
        <v>254</v>
      </c>
      <c r="G18" s="89" t="s">
        <v>19</v>
      </c>
      <c r="H18" s="91" t="s">
        <v>30</v>
      </c>
      <c r="I18" s="114" t="s">
        <v>20</v>
      </c>
      <c r="J18" s="114" t="s">
        <v>20</v>
      </c>
      <c r="K18" s="114" t="s">
        <v>20</v>
      </c>
      <c r="L18" s="114" t="s">
        <v>20</v>
      </c>
      <c r="M18" s="91" t="s">
        <v>21</v>
      </c>
      <c r="N18" s="91" t="s">
        <v>33</v>
      </c>
      <c r="O18" s="85" t="s">
        <v>34</v>
      </c>
      <c r="P18" s="83" t="s">
        <v>35</v>
      </c>
      <c r="Q18" s="83" t="s">
        <v>35</v>
      </c>
      <c r="R18" s="101" t="s">
        <v>56</v>
      </c>
      <c r="S18" s="123"/>
      <c r="T18" s="123"/>
      <c r="U18" s="123"/>
      <c r="V18" s="123" t="s">
        <v>210</v>
      </c>
      <c r="W18" s="123"/>
      <c r="X18" s="123"/>
      <c r="Y18" s="123"/>
      <c r="Z18" s="123"/>
      <c r="AA18" s="123"/>
      <c r="AB18" s="123"/>
      <c r="AC18" s="123"/>
      <c r="AD18" s="123"/>
      <c r="AE18" s="123"/>
      <c r="AF18" s="123"/>
      <c r="AG18" s="123"/>
      <c r="AH18" s="122"/>
    </row>
    <row r="19" spans="1:34" s="97" customFormat="1" ht="128.44999999999999" customHeight="1" x14ac:dyDescent="0.25">
      <c r="A19" s="88" t="s">
        <v>255</v>
      </c>
      <c r="B19" s="95" t="s">
        <v>114</v>
      </c>
      <c r="C19" s="93" t="s">
        <v>32</v>
      </c>
      <c r="D19" s="104">
        <v>5</v>
      </c>
      <c r="E19" s="101" t="s">
        <v>256</v>
      </c>
      <c r="F19" s="89" t="s">
        <v>35</v>
      </c>
      <c r="G19" s="89" t="s">
        <v>19</v>
      </c>
      <c r="H19" s="91" t="s">
        <v>30</v>
      </c>
      <c r="I19" s="91" t="s">
        <v>30</v>
      </c>
      <c r="J19" s="91" t="s">
        <v>20</v>
      </c>
      <c r="K19" s="91" t="s">
        <v>20</v>
      </c>
      <c r="L19" s="91" t="s">
        <v>20</v>
      </c>
      <c r="M19" s="91" t="s">
        <v>21</v>
      </c>
      <c r="N19" s="91" t="s">
        <v>22</v>
      </c>
      <c r="O19" s="85" t="s">
        <v>22</v>
      </c>
      <c r="P19" s="85" t="s">
        <v>35</v>
      </c>
      <c r="Q19" s="85" t="s">
        <v>35</v>
      </c>
      <c r="R19" s="101" t="s">
        <v>56</v>
      </c>
      <c r="S19" s="123"/>
      <c r="T19" s="123"/>
      <c r="U19" s="123"/>
      <c r="V19" s="123"/>
      <c r="W19" s="123"/>
      <c r="X19" s="123"/>
      <c r="Y19" s="123"/>
      <c r="Z19" s="123"/>
      <c r="AA19" s="123"/>
      <c r="AB19" s="123"/>
      <c r="AC19" s="123" t="s">
        <v>210</v>
      </c>
      <c r="AD19" s="123"/>
      <c r="AE19" s="123"/>
      <c r="AF19" s="123"/>
      <c r="AG19" s="123"/>
      <c r="AH19" s="122"/>
    </row>
    <row r="20" spans="1:34" s="97" customFormat="1" ht="128.44999999999999" customHeight="1" x14ac:dyDescent="0.25">
      <c r="A20" s="88" t="s">
        <v>257</v>
      </c>
      <c r="B20" s="95" t="s">
        <v>115</v>
      </c>
      <c r="C20" s="93" t="s">
        <v>32</v>
      </c>
      <c r="D20" s="104">
        <v>5</v>
      </c>
      <c r="E20" s="101" t="s">
        <v>258</v>
      </c>
      <c r="F20" s="89" t="s">
        <v>35</v>
      </c>
      <c r="G20" s="89" t="s">
        <v>19</v>
      </c>
      <c r="H20" s="91" t="s">
        <v>30</v>
      </c>
      <c r="I20" s="91" t="s">
        <v>30</v>
      </c>
      <c r="J20" s="91" t="s">
        <v>30</v>
      </c>
      <c r="K20" s="91" t="s">
        <v>20</v>
      </c>
      <c r="L20" s="91" t="s">
        <v>20</v>
      </c>
      <c r="M20" s="91" t="s">
        <v>21</v>
      </c>
      <c r="N20" s="91" t="s">
        <v>22</v>
      </c>
      <c r="O20" s="85" t="s">
        <v>22</v>
      </c>
      <c r="P20" s="85" t="s">
        <v>48</v>
      </c>
      <c r="Q20" s="85" t="s">
        <v>24</v>
      </c>
      <c r="R20" s="118" t="s">
        <v>116</v>
      </c>
      <c r="S20" s="123"/>
      <c r="T20" s="123"/>
      <c r="U20" s="123"/>
      <c r="V20" s="123"/>
      <c r="W20" s="123"/>
      <c r="X20" s="123"/>
      <c r="Y20" s="123"/>
      <c r="Z20" s="123"/>
      <c r="AA20" s="123" t="s">
        <v>210</v>
      </c>
      <c r="AB20" s="123" t="s">
        <v>210</v>
      </c>
      <c r="AC20" s="123"/>
      <c r="AD20" s="123"/>
      <c r="AE20" s="123"/>
      <c r="AF20" s="123"/>
      <c r="AG20" s="123"/>
      <c r="AH20" s="122"/>
    </row>
    <row r="21" spans="1:34" s="97" customFormat="1" ht="128.44999999999999" customHeight="1" x14ac:dyDescent="0.25">
      <c r="A21" s="88" t="s">
        <v>259</v>
      </c>
      <c r="B21" s="95" t="s">
        <v>117</v>
      </c>
      <c r="C21" s="93" t="s">
        <v>32</v>
      </c>
      <c r="D21" s="104">
        <v>5</v>
      </c>
      <c r="E21" s="101" t="s">
        <v>260</v>
      </c>
      <c r="F21" s="89" t="s">
        <v>35</v>
      </c>
      <c r="G21" s="89" t="s">
        <v>19</v>
      </c>
      <c r="H21" s="91" t="s">
        <v>30</v>
      </c>
      <c r="I21" s="91" t="s">
        <v>30</v>
      </c>
      <c r="J21" s="91" t="s">
        <v>30</v>
      </c>
      <c r="K21" s="91" t="s">
        <v>20</v>
      </c>
      <c r="L21" s="91" t="s">
        <v>20</v>
      </c>
      <c r="M21" s="91" t="s">
        <v>21</v>
      </c>
      <c r="N21" s="91" t="s">
        <v>22</v>
      </c>
      <c r="O21" s="85" t="s">
        <v>22</v>
      </c>
      <c r="P21" s="85" t="s">
        <v>35</v>
      </c>
      <c r="Q21" s="85" t="s">
        <v>35</v>
      </c>
      <c r="R21" s="101" t="s">
        <v>56</v>
      </c>
      <c r="S21" s="123"/>
      <c r="T21" s="123"/>
      <c r="U21" s="123"/>
      <c r="V21" s="123"/>
      <c r="W21" s="123"/>
      <c r="X21" s="123"/>
      <c r="Y21" s="123"/>
      <c r="Z21" s="123"/>
      <c r="AA21" s="123" t="s">
        <v>210</v>
      </c>
      <c r="AB21" s="123"/>
      <c r="AC21" s="123"/>
      <c r="AD21" s="123"/>
      <c r="AE21" s="123"/>
      <c r="AF21" s="123"/>
      <c r="AG21" s="123"/>
      <c r="AH21" s="122"/>
    </row>
    <row r="22" spans="1:34" s="97" customFormat="1" ht="128.44999999999999" customHeight="1" x14ac:dyDescent="0.25">
      <c r="A22" s="88" t="s">
        <v>261</v>
      </c>
      <c r="B22" s="92" t="s">
        <v>72</v>
      </c>
      <c r="C22" s="92" t="s">
        <v>55</v>
      </c>
      <c r="D22" s="105">
        <v>4</v>
      </c>
      <c r="E22" s="101" t="s">
        <v>262</v>
      </c>
      <c r="F22" s="101" t="s">
        <v>263</v>
      </c>
      <c r="G22" s="86" t="s">
        <v>19</v>
      </c>
      <c r="H22" s="87" t="s">
        <v>20</v>
      </c>
      <c r="I22" s="87" t="s">
        <v>20</v>
      </c>
      <c r="J22" s="87" t="s">
        <v>20</v>
      </c>
      <c r="K22" s="87" t="s">
        <v>20</v>
      </c>
      <c r="L22" s="87" t="s">
        <v>20</v>
      </c>
      <c r="M22" s="87" t="s">
        <v>21</v>
      </c>
      <c r="N22" s="87" t="s">
        <v>22</v>
      </c>
      <c r="O22" s="82" t="s">
        <v>22</v>
      </c>
      <c r="P22" s="82" t="s">
        <v>44</v>
      </c>
      <c r="Q22" s="82" t="s">
        <v>24</v>
      </c>
      <c r="R22" s="120" t="s">
        <v>73</v>
      </c>
      <c r="S22" s="123"/>
      <c r="T22" s="123"/>
      <c r="U22" s="123"/>
      <c r="V22" s="123" t="s">
        <v>210</v>
      </c>
      <c r="W22" s="123" t="s">
        <v>210</v>
      </c>
      <c r="X22" s="123" t="s">
        <v>210</v>
      </c>
      <c r="Y22" s="123" t="s">
        <v>210</v>
      </c>
      <c r="Z22" s="123"/>
      <c r="AA22" s="123"/>
      <c r="AB22" s="123"/>
      <c r="AC22" s="123"/>
      <c r="AD22" s="123"/>
      <c r="AE22" s="123"/>
      <c r="AF22" s="123"/>
      <c r="AG22" s="123"/>
      <c r="AH22" s="122"/>
    </row>
    <row r="23" spans="1:34" s="97" customFormat="1" ht="128.44999999999999" customHeight="1" x14ac:dyDescent="0.25">
      <c r="A23" s="88" t="s">
        <v>264</v>
      </c>
      <c r="B23" s="93" t="s">
        <v>74</v>
      </c>
      <c r="C23" s="93" t="s">
        <v>32</v>
      </c>
      <c r="D23" s="106">
        <v>4</v>
      </c>
      <c r="E23" s="101" t="s">
        <v>265</v>
      </c>
      <c r="F23" s="101" t="s">
        <v>266</v>
      </c>
      <c r="G23" s="89" t="s">
        <v>19</v>
      </c>
      <c r="H23" s="88" t="s">
        <v>20</v>
      </c>
      <c r="I23" s="88" t="s">
        <v>20</v>
      </c>
      <c r="J23" s="88" t="s">
        <v>20</v>
      </c>
      <c r="K23" s="88" t="s">
        <v>20</v>
      </c>
      <c r="L23" s="88" t="s">
        <v>20</v>
      </c>
      <c r="M23" s="88" t="s">
        <v>21</v>
      </c>
      <c r="N23" s="88" t="s">
        <v>22</v>
      </c>
      <c r="O23" s="83" t="s">
        <v>22</v>
      </c>
      <c r="P23" s="83" t="s">
        <v>35</v>
      </c>
      <c r="Q23" s="83" t="s">
        <v>24</v>
      </c>
      <c r="R23" s="101" t="s">
        <v>75</v>
      </c>
      <c r="S23" s="123"/>
      <c r="T23" s="123"/>
      <c r="U23" s="123"/>
      <c r="V23" s="123" t="s">
        <v>210</v>
      </c>
      <c r="W23" s="123" t="s">
        <v>210</v>
      </c>
      <c r="X23" s="123" t="s">
        <v>210</v>
      </c>
      <c r="Y23" s="123" t="s">
        <v>210</v>
      </c>
      <c r="Z23" s="123" t="s">
        <v>210</v>
      </c>
      <c r="AA23" s="123"/>
      <c r="AB23" s="123"/>
      <c r="AC23" s="123"/>
      <c r="AD23" s="123"/>
      <c r="AE23" s="123"/>
      <c r="AF23" s="123"/>
      <c r="AG23" s="123"/>
      <c r="AH23" s="122"/>
    </row>
    <row r="24" spans="1:34" s="97" customFormat="1" ht="128.44999999999999" customHeight="1" x14ac:dyDescent="0.25">
      <c r="A24" s="88" t="s">
        <v>267</v>
      </c>
      <c r="B24" s="93" t="s">
        <v>76</v>
      </c>
      <c r="C24" s="93" t="s">
        <v>32</v>
      </c>
      <c r="D24" s="106">
        <v>4</v>
      </c>
      <c r="E24" s="101" t="s">
        <v>268</v>
      </c>
      <c r="F24" s="101" t="s">
        <v>269</v>
      </c>
      <c r="G24" s="89" t="s">
        <v>19</v>
      </c>
      <c r="H24" s="91" t="s">
        <v>30</v>
      </c>
      <c r="I24" s="88" t="s">
        <v>30</v>
      </c>
      <c r="J24" s="88" t="s">
        <v>30</v>
      </c>
      <c r="K24" s="88" t="s">
        <v>30</v>
      </c>
      <c r="L24" s="88" t="s">
        <v>30</v>
      </c>
      <c r="M24" s="88" t="s">
        <v>21</v>
      </c>
      <c r="N24" s="88" t="s">
        <v>33</v>
      </c>
      <c r="O24" s="83" t="s">
        <v>34</v>
      </c>
      <c r="P24" s="83" t="s">
        <v>35</v>
      </c>
      <c r="Q24" s="83" t="s">
        <v>24</v>
      </c>
      <c r="R24" s="101" t="s">
        <v>270</v>
      </c>
      <c r="S24" s="123"/>
      <c r="T24" s="123"/>
      <c r="U24" s="123"/>
      <c r="V24" s="123" t="s">
        <v>210</v>
      </c>
      <c r="W24" s="123" t="s">
        <v>210</v>
      </c>
      <c r="X24" s="123" t="s">
        <v>210</v>
      </c>
      <c r="Y24" s="123" t="s">
        <v>210</v>
      </c>
      <c r="Z24" s="123" t="s">
        <v>210</v>
      </c>
      <c r="AA24" s="123"/>
      <c r="AB24" s="123"/>
      <c r="AC24" s="123"/>
      <c r="AD24" s="123"/>
      <c r="AE24" s="123"/>
      <c r="AF24" s="123"/>
      <c r="AG24" s="123"/>
      <c r="AH24" s="122"/>
    </row>
    <row r="25" spans="1:34" s="97" customFormat="1" ht="128.44999999999999" customHeight="1" x14ac:dyDescent="0.25">
      <c r="A25" s="88" t="s">
        <v>271</v>
      </c>
      <c r="B25" s="93" t="s">
        <v>78</v>
      </c>
      <c r="C25" s="93" t="s">
        <v>32</v>
      </c>
      <c r="D25" s="104">
        <v>4</v>
      </c>
      <c r="E25" s="101" t="s">
        <v>272</v>
      </c>
      <c r="F25" s="101" t="s">
        <v>273</v>
      </c>
      <c r="G25" s="89" t="s">
        <v>19</v>
      </c>
      <c r="H25" s="88" t="s">
        <v>30</v>
      </c>
      <c r="I25" s="88" t="s">
        <v>30</v>
      </c>
      <c r="J25" s="88" t="s">
        <v>30</v>
      </c>
      <c r="K25" s="88" t="s">
        <v>30</v>
      </c>
      <c r="L25" s="88" t="s">
        <v>30</v>
      </c>
      <c r="M25" s="88" t="s">
        <v>21</v>
      </c>
      <c r="N25" s="88" t="s">
        <v>33</v>
      </c>
      <c r="O25" s="83" t="s">
        <v>34</v>
      </c>
      <c r="P25" s="83" t="s">
        <v>35</v>
      </c>
      <c r="Q25" s="83" t="s">
        <v>35</v>
      </c>
      <c r="R25" s="101" t="s">
        <v>75</v>
      </c>
      <c r="S25" s="123"/>
      <c r="T25" s="123"/>
      <c r="U25" s="123"/>
      <c r="V25" s="123"/>
      <c r="W25" s="123" t="s">
        <v>210</v>
      </c>
      <c r="X25" s="123" t="s">
        <v>210</v>
      </c>
      <c r="Y25" s="123" t="s">
        <v>210</v>
      </c>
      <c r="Z25" s="123"/>
      <c r="AA25" s="123"/>
      <c r="AB25" s="123"/>
      <c r="AC25" s="123"/>
      <c r="AD25" s="123"/>
      <c r="AE25" s="123"/>
      <c r="AF25" s="123"/>
      <c r="AG25" s="123"/>
      <c r="AH25" s="122"/>
    </row>
    <row r="26" spans="1:34" s="97" customFormat="1" ht="128.44999999999999" customHeight="1" x14ac:dyDescent="0.25">
      <c r="A26" s="88" t="s">
        <v>274</v>
      </c>
      <c r="B26" s="93" t="s">
        <v>79</v>
      </c>
      <c r="C26" s="93" t="s">
        <v>32</v>
      </c>
      <c r="D26" s="106">
        <v>4</v>
      </c>
      <c r="E26" s="101" t="s">
        <v>275</v>
      </c>
      <c r="F26" s="101" t="s">
        <v>276</v>
      </c>
      <c r="G26" s="89" t="s">
        <v>19</v>
      </c>
      <c r="H26" s="88" t="s">
        <v>30</v>
      </c>
      <c r="I26" s="88" t="s">
        <v>30</v>
      </c>
      <c r="J26" s="88" t="s">
        <v>30</v>
      </c>
      <c r="K26" s="88" t="s">
        <v>30</v>
      </c>
      <c r="L26" s="88" t="s">
        <v>30</v>
      </c>
      <c r="M26" s="88" t="s">
        <v>21</v>
      </c>
      <c r="N26" s="88" t="s">
        <v>22</v>
      </c>
      <c r="O26" s="83" t="s">
        <v>22</v>
      </c>
      <c r="P26" s="83" t="s">
        <v>48</v>
      </c>
      <c r="Q26" s="83" t="s">
        <v>80</v>
      </c>
      <c r="R26" s="101" t="s">
        <v>81</v>
      </c>
      <c r="S26" s="123"/>
      <c r="T26" s="123"/>
      <c r="U26" s="123"/>
      <c r="V26" s="123"/>
      <c r="W26" s="123"/>
      <c r="X26" s="123"/>
      <c r="Y26" s="123" t="s">
        <v>210</v>
      </c>
      <c r="Z26" s="123"/>
      <c r="AA26" s="123"/>
      <c r="AB26" s="123"/>
      <c r="AC26" s="123"/>
      <c r="AD26" s="123"/>
      <c r="AE26" s="123"/>
      <c r="AF26" s="123"/>
      <c r="AG26" s="123"/>
      <c r="AH26" s="122"/>
    </row>
    <row r="27" spans="1:34" s="97" customFormat="1" ht="128.44999999999999" customHeight="1" x14ac:dyDescent="0.25">
      <c r="A27" s="88" t="s">
        <v>277</v>
      </c>
      <c r="B27" s="93" t="s">
        <v>82</v>
      </c>
      <c r="C27" s="93" t="s">
        <v>32</v>
      </c>
      <c r="D27" s="106">
        <v>4</v>
      </c>
      <c r="E27" s="101" t="s">
        <v>278</v>
      </c>
      <c r="F27" s="101" t="s">
        <v>279</v>
      </c>
      <c r="G27" s="89" t="s">
        <v>19</v>
      </c>
      <c r="H27" s="88" t="s">
        <v>53</v>
      </c>
      <c r="I27" s="88" t="s">
        <v>30</v>
      </c>
      <c r="J27" s="88" t="s">
        <v>30</v>
      </c>
      <c r="K27" s="88" t="s">
        <v>30</v>
      </c>
      <c r="L27" s="88" t="s">
        <v>30</v>
      </c>
      <c r="M27" s="88" t="s">
        <v>21</v>
      </c>
      <c r="N27" s="88" t="s">
        <v>33</v>
      </c>
      <c r="O27" s="83" t="s">
        <v>34</v>
      </c>
      <c r="P27" s="83" t="s">
        <v>35</v>
      </c>
      <c r="Q27" s="83" t="s">
        <v>35</v>
      </c>
      <c r="R27" s="101" t="s">
        <v>83</v>
      </c>
      <c r="S27" s="123"/>
      <c r="T27" s="123"/>
      <c r="U27" s="123"/>
      <c r="V27" s="123"/>
      <c r="W27" s="123" t="s">
        <v>210</v>
      </c>
      <c r="X27" s="123"/>
      <c r="Y27" s="123"/>
      <c r="Z27" s="123"/>
      <c r="AA27" s="123"/>
      <c r="AB27" s="123"/>
      <c r="AC27" s="123"/>
      <c r="AD27" s="123"/>
      <c r="AE27" s="123"/>
      <c r="AF27" s="123"/>
      <c r="AG27" s="123"/>
      <c r="AH27" s="122"/>
    </row>
    <row r="28" spans="1:34" s="97" customFormat="1" ht="128.44999999999999" customHeight="1" x14ac:dyDescent="0.25">
      <c r="A28" s="88" t="s">
        <v>280</v>
      </c>
      <c r="B28" s="93" t="s">
        <v>84</v>
      </c>
      <c r="C28" s="93" t="s">
        <v>32</v>
      </c>
      <c r="D28" s="104">
        <v>4</v>
      </c>
      <c r="E28" s="101" t="s">
        <v>281</v>
      </c>
      <c r="F28" s="116" t="s">
        <v>282</v>
      </c>
      <c r="G28" s="89" t="s">
        <v>19</v>
      </c>
      <c r="H28" s="88" t="s">
        <v>53</v>
      </c>
      <c r="I28" s="88" t="s">
        <v>30</v>
      </c>
      <c r="J28" s="88" t="s">
        <v>30</v>
      </c>
      <c r="K28" s="88" t="s">
        <v>30</v>
      </c>
      <c r="L28" s="88" t="s">
        <v>30</v>
      </c>
      <c r="M28" s="88" t="s">
        <v>21</v>
      </c>
      <c r="N28" s="88" t="s">
        <v>33</v>
      </c>
      <c r="O28" s="83" t="s">
        <v>34</v>
      </c>
      <c r="P28" s="83" t="s">
        <v>35</v>
      </c>
      <c r="Q28" s="83" t="s">
        <v>35</v>
      </c>
      <c r="R28" s="101" t="s">
        <v>56</v>
      </c>
      <c r="S28" s="123"/>
      <c r="T28" s="123"/>
      <c r="U28" s="123"/>
      <c r="V28" s="123" t="s">
        <v>210</v>
      </c>
      <c r="W28" s="123" t="s">
        <v>210</v>
      </c>
      <c r="X28" s="123" t="s">
        <v>210</v>
      </c>
      <c r="Y28" s="123" t="s">
        <v>210</v>
      </c>
      <c r="Z28" s="123"/>
      <c r="AA28" s="123"/>
      <c r="AB28" s="123"/>
      <c r="AC28" s="123"/>
      <c r="AD28" s="123"/>
      <c r="AE28" s="123"/>
      <c r="AF28" s="123"/>
      <c r="AG28" s="123"/>
      <c r="AH28" s="122"/>
    </row>
    <row r="29" spans="1:34" s="97" customFormat="1" ht="128.44999999999999" customHeight="1" x14ac:dyDescent="0.25">
      <c r="A29" s="88" t="s">
        <v>283</v>
      </c>
      <c r="B29" s="93" t="s">
        <v>85</v>
      </c>
      <c r="C29" s="93" t="s">
        <v>32</v>
      </c>
      <c r="D29" s="106">
        <v>4</v>
      </c>
      <c r="E29" s="101" t="s">
        <v>284</v>
      </c>
      <c r="F29" s="101" t="s">
        <v>285</v>
      </c>
      <c r="G29" s="89" t="s">
        <v>19</v>
      </c>
      <c r="H29" s="91" t="s">
        <v>30</v>
      </c>
      <c r="I29" s="88" t="s">
        <v>20</v>
      </c>
      <c r="J29" s="88" t="s">
        <v>20</v>
      </c>
      <c r="K29" s="88" t="s">
        <v>20</v>
      </c>
      <c r="L29" s="88" t="s">
        <v>20</v>
      </c>
      <c r="M29" s="88" t="s">
        <v>21</v>
      </c>
      <c r="N29" s="88" t="s">
        <v>22</v>
      </c>
      <c r="O29" s="83" t="s">
        <v>22</v>
      </c>
      <c r="P29" s="83" t="s">
        <v>86</v>
      </c>
      <c r="Q29" s="83" t="s">
        <v>80</v>
      </c>
      <c r="R29" s="101" t="s">
        <v>87</v>
      </c>
      <c r="S29" s="123"/>
      <c r="T29" s="123"/>
      <c r="U29" s="123"/>
      <c r="V29" s="123" t="s">
        <v>210</v>
      </c>
      <c r="W29" s="123"/>
      <c r="X29" s="123"/>
      <c r="Y29" s="123"/>
      <c r="Z29" s="123"/>
      <c r="AA29" s="123"/>
      <c r="AB29" s="123"/>
      <c r="AC29" s="123"/>
      <c r="AD29" s="123"/>
      <c r="AE29" s="123"/>
      <c r="AF29" s="123"/>
      <c r="AG29" s="123"/>
      <c r="AH29" s="122"/>
    </row>
    <row r="30" spans="1:34" s="97" customFormat="1" ht="128.44999999999999" customHeight="1" x14ac:dyDescent="0.25">
      <c r="A30" s="88" t="s">
        <v>286</v>
      </c>
      <c r="B30" s="92" t="s">
        <v>88</v>
      </c>
      <c r="C30" s="92" t="s">
        <v>55</v>
      </c>
      <c r="D30" s="103">
        <v>4</v>
      </c>
      <c r="E30" s="101" t="s">
        <v>287</v>
      </c>
      <c r="F30" s="101" t="s">
        <v>288</v>
      </c>
      <c r="G30" s="86" t="s">
        <v>19</v>
      </c>
      <c r="H30" s="87" t="s">
        <v>53</v>
      </c>
      <c r="I30" s="87" t="s">
        <v>30</v>
      </c>
      <c r="J30" s="87" t="s">
        <v>30</v>
      </c>
      <c r="K30" s="87" t="s">
        <v>30</v>
      </c>
      <c r="L30" s="87" t="s">
        <v>20</v>
      </c>
      <c r="M30" s="87" t="s">
        <v>21</v>
      </c>
      <c r="N30" s="87" t="s">
        <v>33</v>
      </c>
      <c r="O30" s="82" t="s">
        <v>34</v>
      </c>
      <c r="P30" s="82" t="s">
        <v>86</v>
      </c>
      <c r="Q30" s="82" t="s">
        <v>24</v>
      </c>
      <c r="R30" s="120" t="s">
        <v>89</v>
      </c>
      <c r="S30" s="123"/>
      <c r="T30" s="123"/>
      <c r="U30" s="123"/>
      <c r="V30" s="123"/>
      <c r="W30" s="123" t="s">
        <v>210</v>
      </c>
      <c r="X30" s="123"/>
      <c r="Y30" s="123"/>
      <c r="Z30" s="123"/>
      <c r="AA30" s="123"/>
      <c r="AB30" s="123"/>
      <c r="AC30" s="123"/>
      <c r="AD30" s="123"/>
      <c r="AE30" s="123"/>
      <c r="AF30" s="123"/>
      <c r="AG30" s="123"/>
      <c r="AH30" s="122"/>
    </row>
    <row r="31" spans="1:34" s="97" customFormat="1" ht="128.44999999999999" customHeight="1" x14ac:dyDescent="0.25">
      <c r="A31" s="88" t="s">
        <v>289</v>
      </c>
      <c r="B31" s="92" t="s">
        <v>90</v>
      </c>
      <c r="C31" s="92" t="s">
        <v>55</v>
      </c>
      <c r="D31" s="105">
        <v>4</v>
      </c>
      <c r="E31" s="101" t="s">
        <v>290</v>
      </c>
      <c r="F31" s="101" t="s">
        <v>291</v>
      </c>
      <c r="G31" s="86" t="s">
        <v>19</v>
      </c>
      <c r="H31" s="87" t="s">
        <v>20</v>
      </c>
      <c r="I31" s="87" t="s">
        <v>20</v>
      </c>
      <c r="J31" s="87" t="s">
        <v>20</v>
      </c>
      <c r="K31" s="87" t="s">
        <v>20</v>
      </c>
      <c r="L31" s="87" t="s">
        <v>20</v>
      </c>
      <c r="M31" s="87" t="s">
        <v>21</v>
      </c>
      <c r="N31" s="87" t="s">
        <v>33</v>
      </c>
      <c r="O31" s="82" t="s">
        <v>34</v>
      </c>
      <c r="P31" s="82" t="s">
        <v>91</v>
      </c>
      <c r="Q31" s="82" t="s">
        <v>24</v>
      </c>
      <c r="R31" s="120" t="s">
        <v>89</v>
      </c>
      <c r="S31" s="123"/>
      <c r="T31" s="123"/>
      <c r="U31" s="123"/>
      <c r="V31" s="123"/>
      <c r="W31" s="123" t="s">
        <v>210</v>
      </c>
      <c r="X31" s="123"/>
      <c r="Y31" s="123"/>
      <c r="Z31" s="123"/>
      <c r="AA31" s="123"/>
      <c r="AB31" s="123"/>
      <c r="AC31" s="123"/>
      <c r="AD31" s="123"/>
      <c r="AE31" s="123"/>
      <c r="AF31" s="123"/>
      <c r="AG31" s="123"/>
      <c r="AH31" s="122"/>
    </row>
    <row r="32" spans="1:34" s="97" customFormat="1" ht="128.44999999999999" customHeight="1" x14ac:dyDescent="0.25">
      <c r="A32" s="88" t="s">
        <v>292</v>
      </c>
      <c r="B32" s="92" t="s">
        <v>92</v>
      </c>
      <c r="C32" s="92" t="s">
        <v>55</v>
      </c>
      <c r="D32" s="103">
        <v>4</v>
      </c>
      <c r="E32" s="101" t="s">
        <v>293</v>
      </c>
      <c r="F32" s="101" t="s">
        <v>294</v>
      </c>
      <c r="G32" s="86" t="s">
        <v>19</v>
      </c>
      <c r="H32" s="87" t="s">
        <v>53</v>
      </c>
      <c r="I32" s="87" t="s">
        <v>30</v>
      </c>
      <c r="J32" s="87" t="s">
        <v>30</v>
      </c>
      <c r="K32" s="87" t="s">
        <v>30</v>
      </c>
      <c r="L32" s="87" t="s">
        <v>30</v>
      </c>
      <c r="M32" s="87" t="s">
        <v>55</v>
      </c>
      <c r="N32" s="87" t="s">
        <v>62</v>
      </c>
      <c r="O32" s="82" t="s">
        <v>62</v>
      </c>
      <c r="P32" s="82" t="s">
        <v>86</v>
      </c>
      <c r="Q32" s="82" t="s">
        <v>24</v>
      </c>
      <c r="R32" s="120" t="s">
        <v>89</v>
      </c>
      <c r="S32" s="123"/>
      <c r="T32" s="123"/>
      <c r="U32" s="123"/>
      <c r="V32" s="123"/>
      <c r="W32" s="123" t="s">
        <v>210</v>
      </c>
      <c r="X32" s="123"/>
      <c r="Y32" s="123"/>
      <c r="Z32" s="123"/>
      <c r="AA32" s="123"/>
      <c r="AB32" s="123"/>
      <c r="AC32" s="123"/>
      <c r="AD32" s="123"/>
      <c r="AE32" s="123"/>
      <c r="AF32" s="123"/>
      <c r="AG32" s="123"/>
      <c r="AH32" s="122"/>
    </row>
    <row r="33" spans="1:34" s="97" customFormat="1" ht="128.44999999999999" customHeight="1" x14ac:dyDescent="0.25">
      <c r="A33" s="88" t="s">
        <v>295</v>
      </c>
      <c r="B33" s="93" t="s">
        <v>296</v>
      </c>
      <c r="C33" s="93" t="s">
        <v>32</v>
      </c>
      <c r="D33" s="106">
        <v>4</v>
      </c>
      <c r="E33" s="101" t="s">
        <v>297</v>
      </c>
      <c r="F33" s="117" t="s">
        <v>298</v>
      </c>
      <c r="G33" s="89" t="s">
        <v>19</v>
      </c>
      <c r="H33" s="88" t="s">
        <v>30</v>
      </c>
      <c r="I33" s="88" t="s">
        <v>20</v>
      </c>
      <c r="J33" s="88" t="s">
        <v>20</v>
      </c>
      <c r="K33" s="88" t="s">
        <v>20</v>
      </c>
      <c r="L33" s="88" t="s">
        <v>20</v>
      </c>
      <c r="M33" s="88" t="s">
        <v>21</v>
      </c>
      <c r="N33" s="88" t="s">
        <v>22</v>
      </c>
      <c r="O33" s="83" t="s">
        <v>22</v>
      </c>
      <c r="P33" s="83" t="s">
        <v>48</v>
      </c>
      <c r="Q33" s="83" t="s">
        <v>80</v>
      </c>
      <c r="R33" s="101" t="s">
        <v>56</v>
      </c>
      <c r="S33" s="123"/>
      <c r="T33" s="123"/>
      <c r="U33" s="123"/>
      <c r="V33" s="123"/>
      <c r="W33" s="123"/>
      <c r="X33" s="123"/>
      <c r="Y33" s="123" t="s">
        <v>210</v>
      </c>
      <c r="Z33" s="123"/>
      <c r="AA33" s="123"/>
      <c r="AB33" s="123"/>
      <c r="AC33" s="123"/>
      <c r="AD33" s="123"/>
      <c r="AE33" s="123"/>
      <c r="AF33" s="123"/>
      <c r="AG33" s="123"/>
      <c r="AH33" s="122"/>
    </row>
    <row r="34" spans="1:34" s="97" customFormat="1" ht="128.44999999999999" customHeight="1" x14ac:dyDescent="0.25">
      <c r="A34" s="88" t="s">
        <v>299</v>
      </c>
      <c r="B34" s="93" t="s">
        <v>94</v>
      </c>
      <c r="C34" s="93" t="s">
        <v>32</v>
      </c>
      <c r="D34" s="104">
        <v>4</v>
      </c>
      <c r="E34" s="101" t="s">
        <v>300</v>
      </c>
      <c r="F34" s="101" t="s">
        <v>301</v>
      </c>
      <c r="G34" s="89" t="s">
        <v>19</v>
      </c>
      <c r="H34" s="88" t="s">
        <v>53</v>
      </c>
      <c r="I34" s="88" t="s">
        <v>30</v>
      </c>
      <c r="J34" s="88" t="s">
        <v>30</v>
      </c>
      <c r="K34" s="88" t="s">
        <v>30</v>
      </c>
      <c r="L34" s="88" t="s">
        <v>30</v>
      </c>
      <c r="M34" s="88" t="s">
        <v>32</v>
      </c>
      <c r="N34" s="88" t="s">
        <v>33</v>
      </c>
      <c r="O34" s="83" t="s">
        <v>34</v>
      </c>
      <c r="P34" s="83" t="s">
        <v>95</v>
      </c>
      <c r="Q34" s="83" t="s">
        <v>39</v>
      </c>
      <c r="R34" s="101" t="s">
        <v>56</v>
      </c>
      <c r="S34" s="123"/>
      <c r="T34" s="123"/>
      <c r="U34" s="123"/>
      <c r="V34" s="123"/>
      <c r="W34" s="123"/>
      <c r="X34" s="123" t="s">
        <v>210</v>
      </c>
      <c r="Y34" s="123"/>
      <c r="Z34" s="123"/>
      <c r="AA34" s="123"/>
      <c r="AB34" s="123"/>
      <c r="AC34" s="123"/>
      <c r="AD34" s="123"/>
      <c r="AE34" s="123"/>
      <c r="AF34" s="123"/>
      <c r="AG34" s="123"/>
      <c r="AH34" s="122"/>
    </row>
    <row r="35" spans="1:34" s="97" customFormat="1" ht="128.44999999999999" customHeight="1" x14ac:dyDescent="0.25">
      <c r="A35" s="88" t="s">
        <v>302</v>
      </c>
      <c r="B35" s="92" t="s">
        <v>127</v>
      </c>
      <c r="C35" s="92" t="s">
        <v>55</v>
      </c>
      <c r="D35" s="104">
        <v>7</v>
      </c>
      <c r="E35" s="101" t="s">
        <v>303</v>
      </c>
      <c r="F35" s="101" t="s">
        <v>304</v>
      </c>
      <c r="G35" s="87" t="s">
        <v>67</v>
      </c>
      <c r="H35" s="87" t="s">
        <v>20</v>
      </c>
      <c r="I35" s="87" t="s">
        <v>20</v>
      </c>
      <c r="J35" s="87" t="s">
        <v>20</v>
      </c>
      <c r="K35" s="87" t="s">
        <v>20</v>
      </c>
      <c r="L35" s="87" t="s">
        <v>20</v>
      </c>
      <c r="M35" s="90" t="s">
        <v>21</v>
      </c>
      <c r="N35" s="90" t="s">
        <v>22</v>
      </c>
      <c r="O35" s="98" t="s">
        <v>22</v>
      </c>
      <c r="P35" s="98" t="s">
        <v>35</v>
      </c>
      <c r="Q35" s="98" t="s">
        <v>35</v>
      </c>
      <c r="R35" s="120" t="s">
        <v>111</v>
      </c>
      <c r="S35" s="123"/>
      <c r="T35" s="123"/>
      <c r="U35" s="123" t="s">
        <v>210</v>
      </c>
      <c r="V35" s="123"/>
      <c r="W35" s="123"/>
      <c r="X35" s="123"/>
      <c r="Y35" s="123"/>
      <c r="Z35" s="123"/>
      <c r="AA35" s="123"/>
      <c r="AB35" s="123"/>
      <c r="AC35" s="123"/>
      <c r="AD35" s="123"/>
      <c r="AE35" s="123"/>
      <c r="AF35" s="123"/>
      <c r="AG35" s="123"/>
      <c r="AH35" s="122"/>
    </row>
    <row r="36" spans="1:34" s="97" customFormat="1" ht="128.44999999999999" customHeight="1" x14ac:dyDescent="0.25">
      <c r="A36" s="88" t="s">
        <v>305</v>
      </c>
      <c r="B36" s="93" t="s">
        <v>128</v>
      </c>
      <c r="C36" s="93" t="s">
        <v>32</v>
      </c>
      <c r="D36" s="104">
        <v>7</v>
      </c>
      <c r="E36" s="89" t="s">
        <v>35</v>
      </c>
      <c r="F36" s="101" t="s">
        <v>306</v>
      </c>
      <c r="G36" s="88" t="s">
        <v>67</v>
      </c>
      <c r="H36" s="88" t="s">
        <v>53</v>
      </c>
      <c r="I36" s="88" t="s">
        <v>53</v>
      </c>
      <c r="J36" s="88" t="s">
        <v>53</v>
      </c>
      <c r="K36" s="88" t="s">
        <v>53</v>
      </c>
      <c r="L36" s="88" t="s">
        <v>53</v>
      </c>
      <c r="M36" s="91" t="s">
        <v>55</v>
      </c>
      <c r="N36" s="91" t="s">
        <v>57</v>
      </c>
      <c r="O36" s="99" t="s">
        <v>57</v>
      </c>
      <c r="P36" s="99" t="s">
        <v>35</v>
      </c>
      <c r="Q36" s="99" t="s">
        <v>35</v>
      </c>
      <c r="R36" s="101" t="s">
        <v>51</v>
      </c>
      <c r="S36" s="123"/>
      <c r="T36" s="123"/>
      <c r="U36" s="123" t="s">
        <v>210</v>
      </c>
      <c r="V36" s="123"/>
      <c r="W36" s="123"/>
      <c r="X36" s="123"/>
      <c r="Y36" s="123"/>
      <c r="Z36" s="123"/>
      <c r="AA36" s="123"/>
      <c r="AB36" s="123"/>
      <c r="AC36" s="123"/>
      <c r="AD36" s="123"/>
      <c r="AE36" s="123"/>
      <c r="AF36" s="123"/>
      <c r="AG36" s="123"/>
      <c r="AH36" s="122"/>
    </row>
    <row r="37" spans="1:34" s="97" customFormat="1" ht="128.44999999999999" customHeight="1" x14ac:dyDescent="0.25">
      <c r="A37" s="88" t="s">
        <v>307</v>
      </c>
      <c r="B37" s="93" t="s">
        <v>129</v>
      </c>
      <c r="C37" s="93" t="s">
        <v>32</v>
      </c>
      <c r="D37" s="104">
        <v>7</v>
      </c>
      <c r="E37" s="89" t="s">
        <v>35</v>
      </c>
      <c r="F37" s="101" t="s">
        <v>308</v>
      </c>
      <c r="G37" s="88" t="s">
        <v>67</v>
      </c>
      <c r="H37" s="88" t="s">
        <v>53</v>
      </c>
      <c r="I37" s="88" t="s">
        <v>53</v>
      </c>
      <c r="J37" s="88" t="s">
        <v>53</v>
      </c>
      <c r="K37" s="88" t="s">
        <v>30</v>
      </c>
      <c r="L37" s="88" t="s">
        <v>30</v>
      </c>
      <c r="M37" s="88" t="s">
        <v>21</v>
      </c>
      <c r="N37" s="88" t="s">
        <v>57</v>
      </c>
      <c r="O37" s="99" t="s">
        <v>57</v>
      </c>
      <c r="P37" s="99" t="s">
        <v>35</v>
      </c>
      <c r="Q37" s="99" t="s">
        <v>35</v>
      </c>
      <c r="R37" s="101" t="s">
        <v>56</v>
      </c>
      <c r="S37" s="123"/>
      <c r="T37" s="123"/>
      <c r="U37" s="123"/>
      <c r="V37" s="123"/>
      <c r="W37" s="123"/>
      <c r="X37" s="123"/>
      <c r="Y37" s="123"/>
      <c r="Z37" s="123"/>
      <c r="AA37" s="123"/>
      <c r="AB37" s="123"/>
      <c r="AC37" s="123"/>
      <c r="AD37" s="123"/>
      <c r="AE37" s="123"/>
      <c r="AF37" s="123"/>
      <c r="AG37" s="123" t="s">
        <v>309</v>
      </c>
      <c r="AH37" s="122"/>
    </row>
    <row r="38" spans="1:34" s="97" customFormat="1" ht="128.44999999999999" customHeight="1" x14ac:dyDescent="0.25">
      <c r="A38" s="88" t="s">
        <v>310</v>
      </c>
      <c r="B38" s="93" t="s">
        <v>130</v>
      </c>
      <c r="C38" s="93" t="s">
        <v>32</v>
      </c>
      <c r="D38" s="104">
        <v>7</v>
      </c>
      <c r="E38" s="89" t="s">
        <v>35</v>
      </c>
      <c r="F38" s="101" t="s">
        <v>311</v>
      </c>
      <c r="G38" s="88" t="s">
        <v>67</v>
      </c>
      <c r="H38" s="88" t="s">
        <v>53</v>
      </c>
      <c r="I38" s="88" t="s">
        <v>30</v>
      </c>
      <c r="J38" s="88" t="s">
        <v>30</v>
      </c>
      <c r="K38" s="88" t="s">
        <v>30</v>
      </c>
      <c r="L38" s="88" t="s">
        <v>20</v>
      </c>
      <c r="M38" s="88" t="s">
        <v>21</v>
      </c>
      <c r="N38" s="88" t="s">
        <v>22</v>
      </c>
      <c r="O38" s="99" t="s">
        <v>22</v>
      </c>
      <c r="P38" s="99" t="s">
        <v>35</v>
      </c>
      <c r="Q38" s="99" t="s">
        <v>35</v>
      </c>
      <c r="R38" s="101" t="s">
        <v>131</v>
      </c>
      <c r="S38" s="123"/>
      <c r="T38" s="123"/>
      <c r="U38" s="123"/>
      <c r="V38" s="123"/>
      <c r="W38" s="123"/>
      <c r="X38" s="123"/>
      <c r="Y38" s="123"/>
      <c r="Z38" s="123"/>
      <c r="AA38" s="123"/>
      <c r="AB38" s="123"/>
      <c r="AC38" s="123"/>
      <c r="AD38" s="123"/>
      <c r="AE38" s="123"/>
      <c r="AF38" s="123"/>
      <c r="AG38" s="123" t="s">
        <v>309</v>
      </c>
      <c r="AH38" s="122"/>
    </row>
    <row r="39" spans="1:34" s="97" customFormat="1" ht="128.44999999999999" customHeight="1" x14ac:dyDescent="0.25">
      <c r="A39" s="88" t="s">
        <v>312</v>
      </c>
      <c r="B39" s="93" t="s">
        <v>132</v>
      </c>
      <c r="C39" s="93" t="s">
        <v>32</v>
      </c>
      <c r="D39" s="104">
        <v>7</v>
      </c>
      <c r="E39" s="89" t="s">
        <v>35</v>
      </c>
      <c r="F39" s="101" t="s">
        <v>313</v>
      </c>
      <c r="G39" s="88" t="s">
        <v>67</v>
      </c>
      <c r="H39" s="88" t="s">
        <v>53</v>
      </c>
      <c r="I39" s="88" t="s">
        <v>30</v>
      </c>
      <c r="J39" s="88" t="s">
        <v>20</v>
      </c>
      <c r="K39" s="88" t="s">
        <v>20</v>
      </c>
      <c r="L39" s="88" t="s">
        <v>20</v>
      </c>
      <c r="M39" s="88" t="s">
        <v>21</v>
      </c>
      <c r="N39" s="88" t="s">
        <v>22</v>
      </c>
      <c r="O39" s="99" t="s">
        <v>22</v>
      </c>
      <c r="P39" s="99" t="s">
        <v>35</v>
      </c>
      <c r="Q39" s="99" t="s">
        <v>35</v>
      </c>
      <c r="R39" s="101" t="s">
        <v>56</v>
      </c>
      <c r="S39" s="123"/>
      <c r="T39" s="123"/>
      <c r="U39" s="123"/>
      <c r="V39" s="123"/>
      <c r="W39" s="123"/>
      <c r="X39" s="123"/>
      <c r="Y39" s="123"/>
      <c r="Z39" s="123"/>
      <c r="AA39" s="123"/>
      <c r="AB39" s="123"/>
      <c r="AC39" s="123"/>
      <c r="AD39" s="123"/>
      <c r="AE39" s="123"/>
      <c r="AF39" s="123"/>
      <c r="AG39" s="123" t="s">
        <v>309</v>
      </c>
      <c r="AH39" s="122"/>
    </row>
    <row r="40" spans="1:34" s="97" customFormat="1" ht="128.44999999999999" customHeight="1" x14ac:dyDescent="0.25">
      <c r="A40" s="88" t="s">
        <v>314</v>
      </c>
      <c r="B40" s="93" t="s">
        <v>133</v>
      </c>
      <c r="C40" s="93" t="s">
        <v>32</v>
      </c>
      <c r="D40" s="104">
        <v>7</v>
      </c>
      <c r="E40" s="89" t="s">
        <v>35</v>
      </c>
      <c r="F40" s="101" t="s">
        <v>315</v>
      </c>
      <c r="G40" s="88" t="s">
        <v>67</v>
      </c>
      <c r="H40" s="88" t="s">
        <v>53</v>
      </c>
      <c r="I40" s="88" t="s">
        <v>20</v>
      </c>
      <c r="J40" s="88" t="s">
        <v>20</v>
      </c>
      <c r="K40" s="88" t="s">
        <v>20</v>
      </c>
      <c r="L40" s="88" t="s">
        <v>20</v>
      </c>
      <c r="M40" s="91" t="s">
        <v>55</v>
      </c>
      <c r="N40" s="88" t="s">
        <v>57</v>
      </c>
      <c r="O40" s="99" t="s">
        <v>57</v>
      </c>
      <c r="P40" s="99" t="s">
        <v>35</v>
      </c>
      <c r="Q40" s="99" t="s">
        <v>35</v>
      </c>
      <c r="R40" s="101" t="s">
        <v>56</v>
      </c>
      <c r="S40" s="123"/>
      <c r="T40" s="123"/>
      <c r="U40" s="123" t="s">
        <v>210</v>
      </c>
      <c r="V40" s="123"/>
      <c r="W40" s="123"/>
      <c r="X40" s="123"/>
      <c r="Y40" s="123"/>
      <c r="Z40" s="123"/>
      <c r="AA40" s="123"/>
      <c r="AB40" s="123"/>
      <c r="AC40" s="123"/>
      <c r="AD40" s="123"/>
      <c r="AE40" s="123"/>
      <c r="AF40" s="123"/>
      <c r="AG40" s="123"/>
      <c r="AH40" s="122"/>
    </row>
    <row r="41" spans="1:34" s="97" customFormat="1" ht="128.44999999999999" customHeight="1" x14ac:dyDescent="0.25">
      <c r="A41" s="88" t="s">
        <v>316</v>
      </c>
      <c r="B41" s="92" t="s">
        <v>134</v>
      </c>
      <c r="C41" s="92" t="s">
        <v>55</v>
      </c>
      <c r="D41" s="105">
        <v>7</v>
      </c>
      <c r="E41" s="89" t="s">
        <v>35</v>
      </c>
      <c r="F41" s="101" t="s">
        <v>317</v>
      </c>
      <c r="G41" s="87" t="s">
        <v>67</v>
      </c>
      <c r="H41" s="90" t="s">
        <v>30</v>
      </c>
      <c r="I41" s="90" t="s">
        <v>30</v>
      </c>
      <c r="J41" s="90" t="s">
        <v>20</v>
      </c>
      <c r="K41" s="90" t="s">
        <v>30</v>
      </c>
      <c r="L41" s="90" t="s">
        <v>20</v>
      </c>
      <c r="M41" s="90" t="s">
        <v>21</v>
      </c>
      <c r="N41" s="90" t="s">
        <v>22</v>
      </c>
      <c r="O41" s="98" t="s">
        <v>22</v>
      </c>
      <c r="P41" s="98" t="s">
        <v>35</v>
      </c>
      <c r="Q41" s="98" t="s">
        <v>35</v>
      </c>
      <c r="R41" s="120" t="s">
        <v>135</v>
      </c>
      <c r="S41" s="123"/>
      <c r="T41" s="123"/>
      <c r="U41" s="123" t="s">
        <v>210</v>
      </c>
      <c r="V41" s="123"/>
      <c r="W41" s="123"/>
      <c r="X41" s="123"/>
      <c r="Y41" s="123"/>
      <c r="Z41" s="123"/>
      <c r="AA41" s="123"/>
      <c r="AB41" s="123"/>
      <c r="AC41" s="123"/>
      <c r="AD41" s="123"/>
      <c r="AE41" s="123"/>
      <c r="AF41" s="123"/>
      <c r="AG41" s="123"/>
      <c r="AH41" s="122"/>
    </row>
    <row r="42" spans="1:34" s="97" customFormat="1" ht="128.44999999999999" customHeight="1" x14ac:dyDescent="0.25">
      <c r="A42" s="88" t="s">
        <v>318</v>
      </c>
      <c r="B42" s="92" t="s">
        <v>136</v>
      </c>
      <c r="C42" s="92" t="s">
        <v>55</v>
      </c>
      <c r="D42" s="105">
        <v>7</v>
      </c>
      <c r="E42" s="101" t="s">
        <v>319</v>
      </c>
      <c r="F42" s="101" t="s">
        <v>320</v>
      </c>
      <c r="G42" s="87" t="s">
        <v>67</v>
      </c>
      <c r="H42" s="90" t="s">
        <v>53</v>
      </c>
      <c r="I42" s="90" t="s">
        <v>30</v>
      </c>
      <c r="J42" s="90" t="s">
        <v>30</v>
      </c>
      <c r="K42" s="90" t="s">
        <v>30</v>
      </c>
      <c r="L42" s="90" t="s">
        <v>20</v>
      </c>
      <c r="M42" s="90" t="s">
        <v>21</v>
      </c>
      <c r="N42" s="90" t="s">
        <v>62</v>
      </c>
      <c r="O42" s="98" t="s">
        <v>62</v>
      </c>
      <c r="P42" s="98" t="s">
        <v>35</v>
      </c>
      <c r="Q42" s="98" t="s">
        <v>35</v>
      </c>
      <c r="R42" s="120" t="s">
        <v>135</v>
      </c>
      <c r="S42" s="123"/>
      <c r="T42" s="123"/>
      <c r="U42" s="123"/>
      <c r="V42" s="123"/>
      <c r="W42" s="123"/>
      <c r="X42" s="123"/>
      <c r="Y42" s="123"/>
      <c r="Z42" s="123"/>
      <c r="AA42" s="123"/>
      <c r="AB42" s="123"/>
      <c r="AC42" s="123"/>
      <c r="AD42" s="123"/>
      <c r="AE42" s="123" t="s">
        <v>210</v>
      </c>
      <c r="AF42" s="123"/>
      <c r="AG42" s="123"/>
      <c r="AH42" s="122"/>
    </row>
    <row r="43" spans="1:34" s="97" customFormat="1" ht="128.44999999999999" customHeight="1" x14ac:dyDescent="0.25">
      <c r="A43" s="88" t="s">
        <v>321</v>
      </c>
      <c r="B43" s="93" t="s">
        <v>137</v>
      </c>
      <c r="C43" s="93" t="s">
        <v>32</v>
      </c>
      <c r="D43" s="104">
        <v>7</v>
      </c>
      <c r="E43" s="89" t="s">
        <v>35</v>
      </c>
      <c r="F43" s="101" t="s">
        <v>322</v>
      </c>
      <c r="G43" s="88" t="s">
        <v>67</v>
      </c>
      <c r="H43" s="91" t="s">
        <v>20</v>
      </c>
      <c r="I43" s="91" t="s">
        <v>20</v>
      </c>
      <c r="J43" s="91" t="s">
        <v>20</v>
      </c>
      <c r="K43" s="91" t="s">
        <v>20</v>
      </c>
      <c r="L43" s="91" t="s">
        <v>20</v>
      </c>
      <c r="M43" s="91" t="s">
        <v>21</v>
      </c>
      <c r="N43" s="91" t="s">
        <v>22</v>
      </c>
      <c r="O43" s="99" t="s">
        <v>22</v>
      </c>
      <c r="P43" s="99" t="s">
        <v>35</v>
      </c>
      <c r="Q43" s="99" t="s">
        <v>35</v>
      </c>
      <c r="R43" s="101" t="s">
        <v>109</v>
      </c>
      <c r="S43" s="123"/>
      <c r="T43" s="123"/>
      <c r="U43" s="123"/>
      <c r="V43" s="123"/>
      <c r="W43" s="123"/>
      <c r="X43" s="123"/>
      <c r="Y43" s="123"/>
      <c r="Z43" s="123"/>
      <c r="AA43" s="123"/>
      <c r="AB43" s="123"/>
      <c r="AC43" s="123"/>
      <c r="AD43" s="123"/>
      <c r="AE43" s="123"/>
      <c r="AF43" s="123"/>
      <c r="AG43" s="123" t="s">
        <v>309</v>
      </c>
      <c r="AH43" s="122"/>
    </row>
    <row r="44" spans="1:34" s="97" customFormat="1" ht="128.44999999999999" customHeight="1" x14ac:dyDescent="0.25">
      <c r="A44" s="88" t="s">
        <v>323</v>
      </c>
      <c r="B44" s="92" t="s">
        <v>138</v>
      </c>
      <c r="C44" s="92" t="s">
        <v>55</v>
      </c>
      <c r="D44" s="105">
        <v>7</v>
      </c>
      <c r="E44" s="89" t="s">
        <v>35</v>
      </c>
      <c r="F44" s="101" t="s">
        <v>324</v>
      </c>
      <c r="G44" s="87" t="s">
        <v>67</v>
      </c>
      <c r="H44" s="90" t="s">
        <v>20</v>
      </c>
      <c r="I44" s="90" t="s">
        <v>20</v>
      </c>
      <c r="J44" s="90" t="s">
        <v>20</v>
      </c>
      <c r="K44" s="90" t="s">
        <v>20</v>
      </c>
      <c r="L44" s="90" t="s">
        <v>20</v>
      </c>
      <c r="M44" s="90" t="s">
        <v>32</v>
      </c>
      <c r="N44" s="90" t="s">
        <v>22</v>
      </c>
      <c r="O44" s="98" t="s">
        <v>22</v>
      </c>
      <c r="P44" s="98" t="s">
        <v>35</v>
      </c>
      <c r="Q44" s="98" t="s">
        <v>35</v>
      </c>
      <c r="R44" s="120" t="s">
        <v>73</v>
      </c>
      <c r="S44" s="123"/>
      <c r="T44" s="123"/>
      <c r="U44" s="123"/>
      <c r="V44" s="123"/>
      <c r="W44" s="123"/>
      <c r="X44" s="123"/>
      <c r="Y44" s="123"/>
      <c r="Z44" s="123"/>
      <c r="AA44" s="123"/>
      <c r="AB44" s="123"/>
      <c r="AC44" s="123"/>
      <c r="AD44" s="123"/>
      <c r="AE44" s="123"/>
      <c r="AF44" s="123" t="s">
        <v>210</v>
      </c>
      <c r="AG44" s="123"/>
      <c r="AH44" s="122"/>
    </row>
    <row r="45" spans="1:34" s="97" customFormat="1" ht="128.44999999999999" customHeight="1" x14ac:dyDescent="0.25">
      <c r="A45" s="88" t="s">
        <v>325</v>
      </c>
      <c r="B45" s="92" t="s">
        <v>18</v>
      </c>
      <c r="C45" s="92" t="s">
        <v>55</v>
      </c>
      <c r="D45" s="103">
        <v>3</v>
      </c>
      <c r="E45" s="101" t="s">
        <v>326</v>
      </c>
      <c r="F45" s="101" t="s">
        <v>327</v>
      </c>
      <c r="G45" s="86" t="s">
        <v>19</v>
      </c>
      <c r="H45" s="87" t="s">
        <v>20</v>
      </c>
      <c r="I45" s="87" t="s">
        <v>20</v>
      </c>
      <c r="J45" s="87" t="s">
        <v>20</v>
      </c>
      <c r="K45" s="87" t="s">
        <v>20</v>
      </c>
      <c r="L45" s="87" t="s">
        <v>20</v>
      </c>
      <c r="M45" s="87" t="s">
        <v>21</v>
      </c>
      <c r="N45" s="87" t="s">
        <v>22</v>
      </c>
      <c r="O45" s="82" t="s">
        <v>22</v>
      </c>
      <c r="P45" s="82" t="s">
        <v>23</v>
      </c>
      <c r="Q45" s="82" t="s">
        <v>24</v>
      </c>
      <c r="R45" s="120" t="s">
        <v>25</v>
      </c>
      <c r="S45" s="123" t="s">
        <v>210</v>
      </c>
      <c r="T45" s="123"/>
      <c r="U45" s="123"/>
      <c r="V45" s="123"/>
      <c r="W45" s="123"/>
      <c r="X45" s="123"/>
      <c r="Y45" s="123"/>
      <c r="Z45" s="123"/>
      <c r="AA45" s="123"/>
      <c r="AB45" s="123"/>
      <c r="AC45" s="123"/>
      <c r="AD45" s="123"/>
      <c r="AE45" s="123"/>
      <c r="AF45" s="123"/>
      <c r="AG45" s="123"/>
      <c r="AH45" s="122"/>
    </row>
    <row r="46" spans="1:34" s="97" customFormat="1" ht="128.44999999999999" customHeight="1" x14ac:dyDescent="0.25">
      <c r="A46" s="88" t="s">
        <v>328</v>
      </c>
      <c r="B46" s="92" t="s">
        <v>29</v>
      </c>
      <c r="C46" s="92" t="s">
        <v>55</v>
      </c>
      <c r="D46" s="105">
        <v>3</v>
      </c>
      <c r="E46" s="101" t="s">
        <v>329</v>
      </c>
      <c r="F46" s="101" t="s">
        <v>330</v>
      </c>
      <c r="G46" s="86" t="s">
        <v>19</v>
      </c>
      <c r="H46" s="87" t="s">
        <v>30</v>
      </c>
      <c r="I46" s="87" t="s">
        <v>20</v>
      </c>
      <c r="J46" s="87" t="s">
        <v>20</v>
      </c>
      <c r="K46" s="87" t="s">
        <v>20</v>
      </c>
      <c r="L46" s="87" t="s">
        <v>20</v>
      </c>
      <c r="M46" s="87" t="s">
        <v>21</v>
      </c>
      <c r="N46" s="87" t="s">
        <v>22</v>
      </c>
      <c r="O46" s="82" t="s">
        <v>22</v>
      </c>
      <c r="P46" s="82" t="s">
        <v>23</v>
      </c>
      <c r="Q46" s="82" t="s">
        <v>24</v>
      </c>
      <c r="R46" s="120" t="s">
        <v>25</v>
      </c>
      <c r="S46" s="123" t="s">
        <v>210</v>
      </c>
      <c r="T46" s="123"/>
      <c r="U46" s="123"/>
      <c r="V46" s="123"/>
      <c r="W46" s="123"/>
      <c r="X46" s="123"/>
      <c r="Y46" s="123"/>
      <c r="Z46" s="123"/>
      <c r="AA46" s="123"/>
      <c r="AB46" s="123"/>
      <c r="AC46" s="123"/>
      <c r="AD46" s="123"/>
      <c r="AE46" s="123"/>
      <c r="AF46" s="123"/>
      <c r="AG46" s="123"/>
      <c r="AH46" s="122"/>
    </row>
    <row r="47" spans="1:34" s="97" customFormat="1" ht="128.44999999999999" customHeight="1" x14ac:dyDescent="0.25">
      <c r="A47" s="88" t="s">
        <v>331</v>
      </c>
      <c r="B47" s="93" t="s">
        <v>31</v>
      </c>
      <c r="C47" s="93" t="s">
        <v>32</v>
      </c>
      <c r="D47" s="104">
        <v>3</v>
      </c>
      <c r="E47" s="101" t="s">
        <v>332</v>
      </c>
      <c r="F47" s="101" t="s">
        <v>333</v>
      </c>
      <c r="G47" s="89" t="s">
        <v>19</v>
      </c>
      <c r="H47" s="88" t="s">
        <v>30</v>
      </c>
      <c r="I47" s="88" t="s">
        <v>30</v>
      </c>
      <c r="J47" s="88" t="s">
        <v>30</v>
      </c>
      <c r="K47" s="88" t="s">
        <v>30</v>
      </c>
      <c r="L47" s="88" t="s">
        <v>20</v>
      </c>
      <c r="M47" s="88" t="s">
        <v>32</v>
      </c>
      <c r="N47" s="88" t="s">
        <v>33</v>
      </c>
      <c r="O47" s="83" t="s">
        <v>34</v>
      </c>
      <c r="P47" s="83" t="s">
        <v>23</v>
      </c>
      <c r="Q47" s="83" t="s">
        <v>35</v>
      </c>
      <c r="R47" s="101" t="s">
        <v>36</v>
      </c>
      <c r="S47" s="123" t="s">
        <v>210</v>
      </c>
      <c r="T47" s="123"/>
      <c r="U47" s="123"/>
      <c r="V47" s="123"/>
      <c r="W47" s="123"/>
      <c r="X47" s="123"/>
      <c r="Y47" s="123"/>
      <c r="Z47" s="123"/>
      <c r="AA47" s="123"/>
      <c r="AB47" s="123"/>
      <c r="AC47" s="123"/>
      <c r="AD47" s="123"/>
      <c r="AE47" s="123"/>
      <c r="AF47" s="123"/>
      <c r="AG47" s="123"/>
      <c r="AH47" s="122"/>
    </row>
    <row r="48" spans="1:34" s="97" customFormat="1" ht="128.44999999999999" customHeight="1" x14ac:dyDescent="0.25">
      <c r="A48" s="88" t="s">
        <v>334</v>
      </c>
      <c r="B48" s="92" t="s">
        <v>37</v>
      </c>
      <c r="C48" s="92" t="s">
        <v>55</v>
      </c>
      <c r="D48" s="105">
        <v>3</v>
      </c>
      <c r="E48" s="101" t="s">
        <v>335</v>
      </c>
      <c r="F48" s="101" t="s">
        <v>336</v>
      </c>
      <c r="G48" s="86" t="s">
        <v>19</v>
      </c>
      <c r="H48" s="87" t="s">
        <v>30</v>
      </c>
      <c r="I48" s="87" t="s">
        <v>20</v>
      </c>
      <c r="J48" s="87" t="s">
        <v>20</v>
      </c>
      <c r="K48" s="87" t="s">
        <v>20</v>
      </c>
      <c r="L48" s="87" t="s">
        <v>20</v>
      </c>
      <c r="M48" s="90" t="s">
        <v>38</v>
      </c>
      <c r="N48" s="87" t="s">
        <v>22</v>
      </c>
      <c r="O48" s="82" t="s">
        <v>22</v>
      </c>
      <c r="P48" s="82" t="s">
        <v>35</v>
      </c>
      <c r="Q48" s="82" t="s">
        <v>39</v>
      </c>
      <c r="R48" s="120" t="s">
        <v>40</v>
      </c>
      <c r="S48" s="123" t="s">
        <v>210</v>
      </c>
      <c r="T48" s="123" t="s">
        <v>210</v>
      </c>
      <c r="U48" s="123" t="s">
        <v>210</v>
      </c>
      <c r="V48" s="123"/>
      <c r="W48" s="123"/>
      <c r="X48" s="123"/>
      <c r="Y48" s="123"/>
      <c r="Z48" s="123"/>
      <c r="AA48" s="123"/>
      <c r="AB48" s="123"/>
      <c r="AC48" s="123"/>
      <c r="AD48" s="123"/>
      <c r="AE48" s="123"/>
      <c r="AF48" s="123"/>
      <c r="AG48" s="123"/>
      <c r="AH48" s="122"/>
    </row>
    <row r="49" spans="1:34" s="97" customFormat="1" ht="128.44999999999999" customHeight="1" x14ac:dyDescent="0.25">
      <c r="A49" s="88" t="s">
        <v>337</v>
      </c>
      <c r="B49" s="92" t="s">
        <v>41</v>
      </c>
      <c r="C49" s="92" t="s">
        <v>55</v>
      </c>
      <c r="D49" s="105">
        <v>3</v>
      </c>
      <c r="E49" s="101" t="s">
        <v>338</v>
      </c>
      <c r="F49" s="101" t="s">
        <v>339</v>
      </c>
      <c r="G49" s="86" t="s">
        <v>19</v>
      </c>
      <c r="H49" s="87" t="s">
        <v>30</v>
      </c>
      <c r="I49" s="87" t="s">
        <v>20</v>
      </c>
      <c r="J49" s="87" t="s">
        <v>20</v>
      </c>
      <c r="K49" s="87" t="s">
        <v>20</v>
      </c>
      <c r="L49" s="87" t="s">
        <v>20</v>
      </c>
      <c r="M49" s="87" t="s">
        <v>32</v>
      </c>
      <c r="N49" s="87" t="s">
        <v>22</v>
      </c>
      <c r="O49" s="82" t="s">
        <v>22</v>
      </c>
      <c r="P49" s="82" t="s">
        <v>35</v>
      </c>
      <c r="Q49" s="82" t="s">
        <v>39</v>
      </c>
      <c r="R49" s="120" t="s">
        <v>42</v>
      </c>
      <c r="S49" s="123" t="s">
        <v>210</v>
      </c>
      <c r="T49" s="123" t="s">
        <v>210</v>
      </c>
      <c r="U49" s="123"/>
      <c r="V49" s="123"/>
      <c r="W49" s="123"/>
      <c r="X49" s="123"/>
      <c r="Y49" s="123"/>
      <c r="Z49" s="123"/>
      <c r="AA49" s="123"/>
      <c r="AB49" s="123"/>
      <c r="AC49" s="123"/>
      <c r="AD49" s="123"/>
      <c r="AE49" s="123"/>
      <c r="AF49" s="123"/>
      <c r="AG49" s="123"/>
      <c r="AH49" s="122"/>
    </row>
    <row r="50" spans="1:34" s="97" customFormat="1" ht="128.44999999999999" customHeight="1" x14ac:dyDescent="0.25">
      <c r="A50" s="88" t="s">
        <v>340</v>
      </c>
      <c r="B50" s="92" t="s">
        <v>43</v>
      </c>
      <c r="C50" s="92" t="s">
        <v>55</v>
      </c>
      <c r="D50" s="105">
        <v>3</v>
      </c>
      <c r="E50" s="101" t="s">
        <v>341</v>
      </c>
      <c r="F50" s="101" t="s">
        <v>342</v>
      </c>
      <c r="G50" s="86" t="s">
        <v>19</v>
      </c>
      <c r="H50" s="87" t="s">
        <v>30</v>
      </c>
      <c r="I50" s="87" t="s">
        <v>20</v>
      </c>
      <c r="J50" s="87" t="s">
        <v>20</v>
      </c>
      <c r="K50" s="87" t="s">
        <v>20</v>
      </c>
      <c r="L50" s="87" t="s">
        <v>20</v>
      </c>
      <c r="M50" s="87" t="s">
        <v>38</v>
      </c>
      <c r="N50" s="87" t="s">
        <v>22</v>
      </c>
      <c r="O50" s="82" t="s">
        <v>22</v>
      </c>
      <c r="P50" s="82" t="s">
        <v>44</v>
      </c>
      <c r="Q50" s="82" t="s">
        <v>39</v>
      </c>
      <c r="R50" s="120" t="s">
        <v>42</v>
      </c>
      <c r="S50" s="123"/>
      <c r="T50" s="123" t="s">
        <v>210</v>
      </c>
      <c r="U50" s="123"/>
      <c r="V50" s="123"/>
      <c r="W50" s="123"/>
      <c r="X50" s="123"/>
      <c r="Y50" s="123"/>
      <c r="Z50" s="123"/>
      <c r="AA50" s="123"/>
      <c r="AB50" s="123"/>
      <c r="AC50" s="123"/>
      <c r="AD50" s="123"/>
      <c r="AE50" s="123"/>
      <c r="AF50" s="123"/>
      <c r="AG50" s="123"/>
      <c r="AH50" s="122"/>
    </row>
    <row r="51" spans="1:34" s="97" customFormat="1" ht="128.44999999999999" customHeight="1" x14ac:dyDescent="0.25">
      <c r="A51" s="88" t="s">
        <v>343</v>
      </c>
      <c r="B51" s="92" t="s">
        <v>45</v>
      </c>
      <c r="C51" s="92" t="s">
        <v>55</v>
      </c>
      <c r="D51" s="105">
        <v>3</v>
      </c>
      <c r="E51" s="101" t="s">
        <v>344</v>
      </c>
      <c r="F51" s="117" t="s">
        <v>345</v>
      </c>
      <c r="G51" s="86" t="s">
        <v>19</v>
      </c>
      <c r="H51" s="87" t="s">
        <v>30</v>
      </c>
      <c r="I51" s="87" t="s">
        <v>20</v>
      </c>
      <c r="J51" s="87" t="s">
        <v>20</v>
      </c>
      <c r="K51" s="87" t="s">
        <v>20</v>
      </c>
      <c r="L51" s="87" t="s">
        <v>20</v>
      </c>
      <c r="M51" s="87" t="s">
        <v>21</v>
      </c>
      <c r="N51" s="87" t="s">
        <v>22</v>
      </c>
      <c r="O51" s="82" t="s">
        <v>22</v>
      </c>
      <c r="P51" s="82" t="s">
        <v>44</v>
      </c>
      <c r="Q51" s="82" t="s">
        <v>39</v>
      </c>
      <c r="R51" s="120" t="s">
        <v>49</v>
      </c>
      <c r="S51" s="123"/>
      <c r="T51" s="123" t="s">
        <v>210</v>
      </c>
      <c r="U51" s="123"/>
      <c r="V51" s="123"/>
      <c r="W51" s="123"/>
      <c r="X51" s="123"/>
      <c r="Y51" s="123"/>
      <c r="Z51" s="123"/>
      <c r="AA51" s="123"/>
      <c r="AB51" s="123"/>
      <c r="AC51" s="123"/>
      <c r="AD51" s="123"/>
      <c r="AE51" s="123"/>
      <c r="AF51" s="123"/>
      <c r="AG51" s="123"/>
      <c r="AH51" s="122"/>
    </row>
    <row r="52" spans="1:34" s="97" customFormat="1" ht="128.44999999999999" customHeight="1" x14ac:dyDescent="0.25">
      <c r="A52" s="88" t="s">
        <v>346</v>
      </c>
      <c r="B52" s="92" t="s">
        <v>47</v>
      </c>
      <c r="C52" s="92" t="s">
        <v>55</v>
      </c>
      <c r="D52" s="105">
        <v>3</v>
      </c>
      <c r="E52" s="101" t="s">
        <v>347</v>
      </c>
      <c r="F52" s="101" t="s">
        <v>348</v>
      </c>
      <c r="G52" s="86" t="s">
        <v>19</v>
      </c>
      <c r="H52" s="87" t="s">
        <v>30</v>
      </c>
      <c r="I52" s="90" t="s">
        <v>20</v>
      </c>
      <c r="J52" s="87" t="s">
        <v>20</v>
      </c>
      <c r="K52" s="87" t="s">
        <v>20</v>
      </c>
      <c r="L52" s="87" t="s">
        <v>20</v>
      </c>
      <c r="M52" s="87" t="s">
        <v>21</v>
      </c>
      <c r="N52" s="87" t="s">
        <v>22</v>
      </c>
      <c r="O52" s="82" t="s">
        <v>22</v>
      </c>
      <c r="P52" s="82" t="s">
        <v>48</v>
      </c>
      <c r="Q52" s="82" t="s">
        <v>24</v>
      </c>
      <c r="R52" s="120" t="s">
        <v>49</v>
      </c>
      <c r="S52" s="123"/>
      <c r="T52" s="123" t="s">
        <v>210</v>
      </c>
      <c r="U52" s="123"/>
      <c r="V52" s="123"/>
      <c r="W52" s="123"/>
      <c r="X52" s="123"/>
      <c r="Y52" s="123"/>
      <c r="Z52" s="123"/>
      <c r="AA52" s="123"/>
      <c r="AB52" s="123"/>
      <c r="AC52" s="123"/>
      <c r="AD52" s="123"/>
      <c r="AE52" s="123"/>
      <c r="AF52" s="123"/>
      <c r="AG52" s="123"/>
      <c r="AH52" s="122"/>
    </row>
    <row r="53" spans="1:34" s="97" customFormat="1" ht="128.44999999999999" customHeight="1" x14ac:dyDescent="0.25">
      <c r="A53" s="88" t="s">
        <v>349</v>
      </c>
      <c r="B53" s="93" t="s">
        <v>50</v>
      </c>
      <c r="C53" s="93" t="s">
        <v>32</v>
      </c>
      <c r="D53" s="104">
        <v>3</v>
      </c>
      <c r="E53" s="101" t="s">
        <v>350</v>
      </c>
      <c r="F53" s="101" t="s">
        <v>351</v>
      </c>
      <c r="G53" s="89" t="s">
        <v>19</v>
      </c>
      <c r="H53" s="88" t="s">
        <v>30</v>
      </c>
      <c r="I53" s="91" t="s">
        <v>20</v>
      </c>
      <c r="J53" s="88" t="s">
        <v>20</v>
      </c>
      <c r="K53" s="88" t="s">
        <v>20</v>
      </c>
      <c r="L53" s="88" t="s">
        <v>20</v>
      </c>
      <c r="M53" s="88" t="s">
        <v>32</v>
      </c>
      <c r="N53" s="88" t="s">
        <v>33</v>
      </c>
      <c r="O53" s="83" t="s">
        <v>34</v>
      </c>
      <c r="P53" s="83" t="s">
        <v>44</v>
      </c>
      <c r="Q53" s="83" t="s">
        <v>35</v>
      </c>
      <c r="R53" s="101" t="s">
        <v>51</v>
      </c>
      <c r="S53" s="123"/>
      <c r="T53" s="123" t="s">
        <v>210</v>
      </c>
      <c r="U53" s="123"/>
      <c r="V53" s="123"/>
      <c r="W53" s="123"/>
      <c r="X53" s="123"/>
      <c r="Y53" s="123"/>
      <c r="Z53" s="123"/>
      <c r="AA53" s="123"/>
      <c r="AB53" s="123"/>
      <c r="AC53" s="123"/>
      <c r="AD53" s="123"/>
      <c r="AE53" s="123"/>
      <c r="AF53" s="123"/>
      <c r="AG53" s="123"/>
      <c r="AH53" s="122"/>
    </row>
    <row r="54" spans="1:34" s="97" customFormat="1" ht="128.44999999999999" customHeight="1" x14ac:dyDescent="0.25">
      <c r="A54" s="88" t="s">
        <v>352</v>
      </c>
      <c r="B54" s="93" t="s">
        <v>52</v>
      </c>
      <c r="C54" s="93" t="s">
        <v>32</v>
      </c>
      <c r="D54" s="104">
        <v>3</v>
      </c>
      <c r="E54" s="101" t="s">
        <v>353</v>
      </c>
      <c r="F54" s="101" t="s">
        <v>354</v>
      </c>
      <c r="G54" s="89" t="s">
        <v>19</v>
      </c>
      <c r="H54" s="88" t="s">
        <v>53</v>
      </c>
      <c r="I54" s="88" t="s">
        <v>53</v>
      </c>
      <c r="J54" s="88" t="s">
        <v>53</v>
      </c>
      <c r="K54" s="88" t="s">
        <v>53</v>
      </c>
      <c r="L54" s="91" t="s">
        <v>54</v>
      </c>
      <c r="M54" s="88" t="s">
        <v>55</v>
      </c>
      <c r="N54" s="88" t="s">
        <v>33</v>
      </c>
      <c r="O54" s="83" t="s">
        <v>34</v>
      </c>
      <c r="P54" s="83" t="s">
        <v>35</v>
      </c>
      <c r="Q54" s="83" t="s">
        <v>35</v>
      </c>
      <c r="R54" s="101" t="s">
        <v>56</v>
      </c>
      <c r="S54" s="123"/>
      <c r="T54" s="123" t="s">
        <v>210</v>
      </c>
      <c r="U54" s="123" t="s">
        <v>210</v>
      </c>
      <c r="V54" s="123"/>
      <c r="W54" s="123"/>
      <c r="X54" s="123"/>
      <c r="Y54" s="123"/>
      <c r="Z54" s="123"/>
      <c r="AA54" s="123"/>
      <c r="AB54" s="123"/>
      <c r="AC54" s="123"/>
      <c r="AD54" s="123"/>
      <c r="AE54" s="123"/>
      <c r="AF54" s="123"/>
      <c r="AG54" s="123"/>
      <c r="AH54" s="122"/>
    </row>
    <row r="55" spans="1:34" s="97" customFormat="1" ht="128.44999999999999" customHeight="1" x14ac:dyDescent="0.25">
      <c r="A55" s="88" t="s">
        <v>355</v>
      </c>
      <c r="B55" s="92" t="s">
        <v>58</v>
      </c>
      <c r="C55" s="92" t="s">
        <v>55</v>
      </c>
      <c r="D55" s="104">
        <v>3</v>
      </c>
      <c r="E55" s="83" t="s">
        <v>356</v>
      </c>
      <c r="F55" s="101" t="s">
        <v>357</v>
      </c>
      <c r="G55" s="86" t="s">
        <v>19</v>
      </c>
      <c r="H55" s="87" t="s">
        <v>30</v>
      </c>
      <c r="I55" s="87" t="s">
        <v>30</v>
      </c>
      <c r="J55" s="87" t="s">
        <v>30</v>
      </c>
      <c r="K55" s="87" t="s">
        <v>30</v>
      </c>
      <c r="L55" s="87" t="s">
        <v>20</v>
      </c>
      <c r="M55" s="87" t="s">
        <v>21</v>
      </c>
      <c r="N55" s="87" t="s">
        <v>22</v>
      </c>
      <c r="O55" s="82" t="s">
        <v>22</v>
      </c>
      <c r="P55" s="82" t="s">
        <v>48</v>
      </c>
      <c r="Q55" s="82" t="s">
        <v>39</v>
      </c>
      <c r="R55" s="120" t="s">
        <v>59</v>
      </c>
      <c r="S55" s="123" t="s">
        <v>210</v>
      </c>
      <c r="T55" s="123"/>
      <c r="U55" s="123"/>
      <c r="V55" s="123"/>
      <c r="W55" s="123"/>
      <c r="X55" s="123"/>
      <c r="Y55" s="123"/>
      <c r="Z55" s="123"/>
      <c r="AA55" s="123"/>
      <c r="AB55" s="123"/>
      <c r="AC55" s="123"/>
      <c r="AD55" s="123"/>
      <c r="AE55" s="123"/>
      <c r="AF55" s="123"/>
      <c r="AG55" s="123"/>
      <c r="AH55" s="122"/>
    </row>
    <row r="56" spans="1:34" s="97" customFormat="1" ht="128.44999999999999" customHeight="1" x14ac:dyDescent="0.25">
      <c r="A56" s="88" t="s">
        <v>358</v>
      </c>
      <c r="B56" s="92" t="s">
        <v>60</v>
      </c>
      <c r="C56" s="92" t="s">
        <v>55</v>
      </c>
      <c r="D56" s="104">
        <v>3</v>
      </c>
      <c r="E56" s="83" t="s">
        <v>359</v>
      </c>
      <c r="F56" s="101" t="s">
        <v>360</v>
      </c>
      <c r="G56" s="86" t="s">
        <v>19</v>
      </c>
      <c r="H56" s="87" t="s">
        <v>20</v>
      </c>
      <c r="I56" s="87" t="s">
        <v>20</v>
      </c>
      <c r="J56" s="87" t="s">
        <v>20</v>
      </c>
      <c r="K56" s="87" t="s">
        <v>20</v>
      </c>
      <c r="L56" s="87" t="s">
        <v>20</v>
      </c>
      <c r="M56" s="87" t="s">
        <v>21</v>
      </c>
      <c r="N56" s="87" t="s">
        <v>22</v>
      </c>
      <c r="O56" s="82" t="s">
        <v>22</v>
      </c>
      <c r="P56" s="82" t="s">
        <v>48</v>
      </c>
      <c r="Q56" s="82" t="s">
        <v>39</v>
      </c>
      <c r="R56" s="120" t="s">
        <v>59</v>
      </c>
      <c r="S56" s="123" t="s">
        <v>210</v>
      </c>
      <c r="T56" s="123"/>
      <c r="U56" s="123"/>
      <c r="V56" s="123"/>
      <c r="W56" s="123"/>
      <c r="X56" s="123"/>
      <c r="Y56" s="123"/>
      <c r="Z56" s="123"/>
      <c r="AA56" s="123"/>
      <c r="AB56" s="123"/>
      <c r="AC56" s="123"/>
      <c r="AD56" s="123"/>
      <c r="AE56" s="123"/>
      <c r="AF56" s="123"/>
      <c r="AG56" s="123"/>
      <c r="AH56" s="122"/>
    </row>
    <row r="57" spans="1:34" s="97" customFormat="1" ht="128.44999999999999" customHeight="1" x14ac:dyDescent="0.25">
      <c r="A57" s="88" t="s">
        <v>361</v>
      </c>
      <c r="B57" s="93" t="s">
        <v>61</v>
      </c>
      <c r="C57" s="93" t="s">
        <v>32</v>
      </c>
      <c r="D57" s="104">
        <v>3</v>
      </c>
      <c r="E57" s="101" t="s">
        <v>362</v>
      </c>
      <c r="F57" s="101" t="s">
        <v>363</v>
      </c>
      <c r="G57" s="89" t="s">
        <v>19</v>
      </c>
      <c r="H57" s="88" t="s">
        <v>53</v>
      </c>
      <c r="I57" s="88" t="s">
        <v>53</v>
      </c>
      <c r="J57" s="88" t="s">
        <v>53</v>
      </c>
      <c r="K57" s="88" t="s">
        <v>53</v>
      </c>
      <c r="L57" s="88" t="s">
        <v>53</v>
      </c>
      <c r="M57" s="88" t="s">
        <v>21</v>
      </c>
      <c r="N57" s="88" t="s">
        <v>62</v>
      </c>
      <c r="O57" s="83" t="s">
        <v>62</v>
      </c>
      <c r="P57" s="83" t="s">
        <v>48</v>
      </c>
      <c r="Q57" s="83" t="s">
        <v>35</v>
      </c>
      <c r="R57" s="101" t="s">
        <v>51</v>
      </c>
      <c r="S57" s="123" t="s">
        <v>210</v>
      </c>
      <c r="T57" s="123"/>
      <c r="U57" s="123"/>
      <c r="V57" s="123"/>
      <c r="W57" s="123"/>
      <c r="X57" s="123"/>
      <c r="Y57" s="123"/>
      <c r="Z57" s="123"/>
      <c r="AA57" s="123"/>
      <c r="AB57" s="123"/>
      <c r="AC57" s="123"/>
      <c r="AD57" s="123"/>
      <c r="AE57" s="123"/>
      <c r="AF57" s="123"/>
      <c r="AG57" s="123"/>
      <c r="AH57" s="122"/>
    </row>
    <row r="58" spans="1:34" s="97" customFormat="1" ht="128.44999999999999" customHeight="1" x14ac:dyDescent="0.25">
      <c r="A58" s="88" t="s">
        <v>364</v>
      </c>
      <c r="B58" s="93" t="s">
        <v>63</v>
      </c>
      <c r="C58" s="93" t="s">
        <v>32</v>
      </c>
      <c r="D58" s="104">
        <v>3</v>
      </c>
      <c r="E58" s="83" t="s">
        <v>365</v>
      </c>
      <c r="F58" s="101" t="s">
        <v>366</v>
      </c>
      <c r="G58" s="89" t="s">
        <v>19</v>
      </c>
      <c r="H58" s="88" t="s">
        <v>64</v>
      </c>
      <c r="I58" s="88" t="s">
        <v>20</v>
      </c>
      <c r="J58" s="88" t="s">
        <v>20</v>
      </c>
      <c r="K58" s="88" t="s">
        <v>20</v>
      </c>
      <c r="L58" s="88" t="s">
        <v>20</v>
      </c>
      <c r="M58" s="88" t="s">
        <v>21</v>
      </c>
      <c r="N58" s="88" t="s">
        <v>22</v>
      </c>
      <c r="O58" s="83" t="s">
        <v>22</v>
      </c>
      <c r="P58" s="83" t="s">
        <v>48</v>
      </c>
      <c r="Q58" s="83" t="s">
        <v>24</v>
      </c>
      <c r="R58" s="101" t="s">
        <v>65</v>
      </c>
      <c r="S58" s="123" t="s">
        <v>210</v>
      </c>
      <c r="T58" s="123" t="s">
        <v>210</v>
      </c>
      <c r="U58" s="123"/>
      <c r="V58" s="123"/>
      <c r="W58" s="123"/>
      <c r="X58" s="123"/>
      <c r="Y58" s="123"/>
      <c r="Z58" s="123"/>
      <c r="AA58" s="123"/>
      <c r="AB58" s="123"/>
      <c r="AC58" s="123"/>
      <c r="AD58" s="123"/>
      <c r="AE58" s="123"/>
      <c r="AF58" s="123"/>
      <c r="AG58" s="123"/>
      <c r="AH58" s="122"/>
    </row>
    <row r="59" spans="1:34" s="97" customFormat="1" ht="128.44999999999999" customHeight="1" x14ac:dyDescent="0.25">
      <c r="A59" s="88" t="s">
        <v>367</v>
      </c>
      <c r="B59" s="93" t="s">
        <v>66</v>
      </c>
      <c r="C59" s="93" t="s">
        <v>32</v>
      </c>
      <c r="D59" s="104">
        <v>3</v>
      </c>
      <c r="E59" s="83" t="s">
        <v>368</v>
      </c>
      <c r="F59" s="101" t="s">
        <v>369</v>
      </c>
      <c r="G59" s="89" t="s">
        <v>19</v>
      </c>
      <c r="H59" s="91" t="s">
        <v>30</v>
      </c>
      <c r="I59" s="91" t="s">
        <v>20</v>
      </c>
      <c r="J59" s="91" t="s">
        <v>20</v>
      </c>
      <c r="K59" s="88" t="s">
        <v>20</v>
      </c>
      <c r="L59" s="88" t="s">
        <v>20</v>
      </c>
      <c r="M59" s="88" t="s">
        <v>32</v>
      </c>
      <c r="N59" s="88" t="s">
        <v>33</v>
      </c>
      <c r="O59" s="83" t="s">
        <v>34</v>
      </c>
      <c r="P59" s="83" t="s">
        <v>48</v>
      </c>
      <c r="Q59" s="83" t="s">
        <v>35</v>
      </c>
      <c r="R59" s="101" t="s">
        <v>65</v>
      </c>
      <c r="S59" s="123" t="s">
        <v>210</v>
      </c>
      <c r="T59" s="123" t="s">
        <v>210</v>
      </c>
      <c r="U59" s="123"/>
      <c r="V59" s="123"/>
      <c r="W59" s="123"/>
      <c r="X59" s="123"/>
      <c r="Y59" s="123"/>
      <c r="Z59" s="123"/>
      <c r="AA59" s="123"/>
      <c r="AB59" s="123"/>
      <c r="AC59" s="123"/>
      <c r="AD59" s="123"/>
      <c r="AE59" s="123"/>
      <c r="AF59" s="123"/>
      <c r="AG59" s="123"/>
      <c r="AH59" s="122"/>
    </row>
    <row r="60" spans="1:34" s="97" customFormat="1" ht="128.44999999999999" customHeight="1" x14ac:dyDescent="0.25">
      <c r="A60" s="88" t="s">
        <v>370</v>
      </c>
      <c r="B60" s="93" t="s">
        <v>68</v>
      </c>
      <c r="C60" s="93" t="s">
        <v>32</v>
      </c>
      <c r="D60" s="104">
        <v>3</v>
      </c>
      <c r="E60" s="101" t="s">
        <v>371</v>
      </c>
      <c r="F60" s="101" t="s">
        <v>372</v>
      </c>
      <c r="G60" s="89" t="s">
        <v>19</v>
      </c>
      <c r="H60" s="88" t="s">
        <v>64</v>
      </c>
      <c r="I60" s="88" t="s">
        <v>20</v>
      </c>
      <c r="J60" s="88" t="s">
        <v>20</v>
      </c>
      <c r="K60" s="88" t="s">
        <v>20</v>
      </c>
      <c r="L60" s="88" t="s">
        <v>20</v>
      </c>
      <c r="M60" s="88" t="s">
        <v>21</v>
      </c>
      <c r="N60" s="88" t="s">
        <v>22</v>
      </c>
      <c r="O60" s="83" t="s">
        <v>22</v>
      </c>
      <c r="P60" s="83" t="s">
        <v>48</v>
      </c>
      <c r="Q60" s="83" t="s">
        <v>24</v>
      </c>
      <c r="R60" s="101" t="s">
        <v>65</v>
      </c>
      <c r="S60" s="123" t="s">
        <v>210</v>
      </c>
      <c r="T60" s="123" t="s">
        <v>210</v>
      </c>
      <c r="U60" s="123"/>
      <c r="V60" s="123"/>
      <c r="W60" s="123"/>
      <c r="X60" s="123"/>
      <c r="Y60" s="123"/>
      <c r="Z60" s="123"/>
      <c r="AA60" s="123"/>
      <c r="AB60" s="123"/>
      <c r="AC60" s="123"/>
      <c r="AD60" s="123"/>
      <c r="AE60" s="123"/>
      <c r="AF60" s="123"/>
      <c r="AG60" s="123"/>
      <c r="AH60" s="122"/>
    </row>
    <row r="61" spans="1:34" s="97" customFormat="1" ht="128.44999999999999" customHeight="1" x14ac:dyDescent="0.25">
      <c r="A61" s="88" t="s">
        <v>373</v>
      </c>
      <c r="B61" s="93" t="s">
        <v>69</v>
      </c>
      <c r="C61" s="93" t="s">
        <v>32</v>
      </c>
      <c r="D61" s="104">
        <v>3</v>
      </c>
      <c r="E61" s="101" t="s">
        <v>374</v>
      </c>
      <c r="F61" s="101" t="s">
        <v>375</v>
      </c>
      <c r="G61" s="89" t="s">
        <v>19</v>
      </c>
      <c r="H61" s="88" t="s">
        <v>64</v>
      </c>
      <c r="I61" s="88" t="s">
        <v>20</v>
      </c>
      <c r="J61" s="88" t="s">
        <v>20</v>
      </c>
      <c r="K61" s="88" t="s">
        <v>20</v>
      </c>
      <c r="L61" s="88" t="s">
        <v>20</v>
      </c>
      <c r="M61" s="88" t="s">
        <v>21</v>
      </c>
      <c r="N61" s="88" t="s">
        <v>22</v>
      </c>
      <c r="O61" s="83" t="s">
        <v>22</v>
      </c>
      <c r="P61" s="83" t="s">
        <v>35</v>
      </c>
      <c r="Q61" s="83" t="s">
        <v>24</v>
      </c>
      <c r="R61" s="101" t="s">
        <v>101</v>
      </c>
      <c r="S61" s="123" t="s">
        <v>210</v>
      </c>
      <c r="T61" s="123"/>
      <c r="U61" s="123"/>
      <c r="V61" s="123"/>
      <c r="W61" s="123"/>
      <c r="X61" s="123"/>
      <c r="Y61" s="123"/>
      <c r="Z61" s="123"/>
      <c r="AA61" s="123"/>
      <c r="AB61" s="123"/>
      <c r="AC61" s="123"/>
      <c r="AD61" s="123"/>
      <c r="AE61" s="123"/>
      <c r="AF61" s="123"/>
      <c r="AG61" s="123"/>
      <c r="AH61" s="122"/>
    </row>
    <row r="62" spans="1:34" s="97" customFormat="1" ht="128.44999999999999" customHeight="1" x14ac:dyDescent="0.25">
      <c r="A62" s="88" t="s">
        <v>376</v>
      </c>
      <c r="B62" s="93" t="s">
        <v>71</v>
      </c>
      <c r="C62" s="93" t="s">
        <v>32</v>
      </c>
      <c r="D62" s="104">
        <v>3</v>
      </c>
      <c r="E62" s="101" t="s">
        <v>377</v>
      </c>
      <c r="F62" s="101" t="s">
        <v>378</v>
      </c>
      <c r="G62" s="89" t="s">
        <v>19</v>
      </c>
      <c r="H62" s="91" t="s">
        <v>30</v>
      </c>
      <c r="I62" s="91" t="s">
        <v>20</v>
      </c>
      <c r="J62" s="91" t="s">
        <v>20</v>
      </c>
      <c r="K62" s="91" t="s">
        <v>20</v>
      </c>
      <c r="L62" s="91" t="s">
        <v>20</v>
      </c>
      <c r="M62" s="91" t="s">
        <v>38</v>
      </c>
      <c r="N62" s="91" t="s">
        <v>33</v>
      </c>
      <c r="O62" s="83" t="s">
        <v>34</v>
      </c>
      <c r="P62" s="83" t="s">
        <v>35</v>
      </c>
      <c r="Q62" s="83" t="s">
        <v>35</v>
      </c>
      <c r="R62" s="101" t="s">
        <v>56</v>
      </c>
      <c r="S62" s="123" t="s">
        <v>210</v>
      </c>
      <c r="T62" s="123"/>
      <c r="U62" s="123"/>
      <c r="V62" s="123"/>
      <c r="W62" s="123"/>
      <c r="X62" s="123"/>
      <c r="Y62" s="123"/>
      <c r="Z62" s="123"/>
      <c r="AA62" s="123"/>
      <c r="AB62" s="123"/>
      <c r="AC62" s="123" t="s">
        <v>210</v>
      </c>
      <c r="AD62" s="123"/>
      <c r="AE62" s="123"/>
      <c r="AF62" s="123"/>
      <c r="AG62" s="123"/>
      <c r="AH62" s="122"/>
    </row>
    <row r="64" spans="1:34" x14ac:dyDescent="0.2">
      <c r="S64" s="122"/>
      <c r="T64" s="122"/>
      <c r="U64" s="122"/>
      <c r="V64" s="122"/>
      <c r="W64" s="122"/>
      <c r="X64" s="122"/>
      <c r="Y64" s="122"/>
      <c r="Z64" s="122"/>
      <c r="AA64" s="122"/>
      <c r="AB64" s="122"/>
      <c r="AC64" s="122"/>
      <c r="AD64" s="122"/>
      <c r="AE64" s="122"/>
      <c r="AF64" s="122"/>
      <c r="AG64" s="122"/>
    </row>
  </sheetData>
  <sheetProtection selectLockedCells="1"/>
  <autoFilter ref="A1:AG62" xr:uid="{6DA11E88-20F7-4965-8CC2-EC2C06BE1DE2}"/>
  <phoneticPr fontId="16" type="noConversion"/>
  <conditionalFormatting sqref="S2:AG1048576">
    <cfRule type="containsText" dxfId="5" priority="2" operator="containsText" text="Y">
      <formula>NOT(ISERROR(SEARCH("Y",S2)))</formula>
    </cfRule>
  </conditionalFormatting>
  <conditionalFormatting sqref="AG1:AG1048576">
    <cfRule type="cellIs" dxfId="4" priority="1" operator="equal">
      <formula>"N"</formula>
    </cfRule>
  </conditionalFormatting>
  <pageMargins left="0.7" right="0.7" top="0.75" bottom="0.75" header="0.3" footer="0.3"/>
  <pageSetup orientation="portrait" r:id="rId1"/>
  <legacyDrawing r:id="rId2"/>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E576299-D397-4D3D-A5B0-F8E77B508E31}">
  <dimension ref="A1:AQ254"/>
  <sheetViews>
    <sheetView zoomScaleNormal="100" workbookViewId="0">
      <pane ySplit="1" topLeftCell="A196" activePane="bottomLeft" state="frozen"/>
      <selection pane="bottomLeft" activeCell="C196" sqref="C196"/>
    </sheetView>
  </sheetViews>
  <sheetFormatPr defaultColWidth="8.7109375" defaultRowHeight="12.75" x14ac:dyDescent="0.25"/>
  <cols>
    <col min="1" max="2" width="8.7109375" style="97"/>
    <col min="3" max="3" width="49.85546875" style="97" customWidth="1"/>
    <col min="4" max="4" width="17.28515625" style="97" customWidth="1"/>
    <col min="5" max="5" width="11.85546875" style="97" customWidth="1"/>
    <col min="6" max="6" width="38.5703125" style="116" customWidth="1"/>
    <col min="7" max="7" width="10.7109375" style="116" customWidth="1"/>
    <col min="8" max="8" width="103.85546875" style="97" customWidth="1"/>
    <col min="9" max="9" width="20.140625" style="97" customWidth="1"/>
    <col min="10" max="10" width="23.28515625" style="97" customWidth="1"/>
    <col min="11" max="11" width="32.42578125" style="116" customWidth="1"/>
    <col min="12" max="13" width="14" style="97" customWidth="1"/>
    <col min="14" max="14" width="38.85546875" style="116" customWidth="1"/>
    <col min="15" max="15" width="8.7109375" style="116"/>
    <col min="16" max="16" width="8.7109375" style="124"/>
    <col min="17" max="27" width="8.7109375" style="116"/>
    <col min="28" max="28" width="40.85546875" style="116" customWidth="1"/>
    <col min="29" max="43" width="2.85546875" style="97" customWidth="1"/>
    <col min="44" max="16384" width="8.7109375" style="97"/>
  </cols>
  <sheetData>
    <row r="1" spans="1:43" s="116" customFormat="1" ht="103.5" customHeight="1" x14ac:dyDescent="0.25">
      <c r="A1" s="213" t="s">
        <v>379</v>
      </c>
      <c r="B1" s="213" t="s">
        <v>380</v>
      </c>
      <c r="C1" s="170" t="s">
        <v>381</v>
      </c>
      <c r="D1" s="170" t="s">
        <v>382</v>
      </c>
      <c r="E1" s="170" t="s">
        <v>383</v>
      </c>
      <c r="F1" s="170" t="s">
        <v>384</v>
      </c>
      <c r="G1" s="170" t="s">
        <v>385</v>
      </c>
      <c r="H1" s="170" t="s">
        <v>386</v>
      </c>
      <c r="I1" s="170" t="s">
        <v>387</v>
      </c>
      <c r="J1" s="170" t="s">
        <v>388</v>
      </c>
      <c r="K1" s="170" t="s">
        <v>389</v>
      </c>
      <c r="L1" s="170" t="s">
        <v>390</v>
      </c>
      <c r="M1" s="170" t="s">
        <v>391</v>
      </c>
      <c r="N1" s="210" t="s">
        <v>392</v>
      </c>
      <c r="O1" s="211" t="s">
        <v>182</v>
      </c>
      <c r="P1" s="211" t="s">
        <v>5</v>
      </c>
      <c r="Q1" s="212" t="s">
        <v>6</v>
      </c>
      <c r="R1" s="212" t="s">
        <v>185</v>
      </c>
      <c r="S1" s="212" t="s">
        <v>186</v>
      </c>
      <c r="T1" s="212" t="s">
        <v>187</v>
      </c>
      <c r="U1" s="212" t="s">
        <v>188</v>
      </c>
      <c r="V1" s="212" t="s">
        <v>189</v>
      </c>
      <c r="W1" s="212" t="s">
        <v>190</v>
      </c>
      <c r="X1" s="212" t="s">
        <v>191</v>
      </c>
      <c r="Y1" s="210" t="s">
        <v>14</v>
      </c>
      <c r="Z1" s="212" t="s">
        <v>15</v>
      </c>
      <c r="AA1" s="212" t="s">
        <v>16</v>
      </c>
      <c r="AB1" s="210" t="s">
        <v>17</v>
      </c>
      <c r="AC1" s="208" t="s">
        <v>192</v>
      </c>
      <c r="AD1" s="209" t="s">
        <v>193</v>
      </c>
      <c r="AE1" s="209" t="s">
        <v>194</v>
      </c>
      <c r="AF1" s="209" t="s">
        <v>195</v>
      </c>
      <c r="AG1" s="209" t="s">
        <v>196</v>
      </c>
      <c r="AH1" s="209" t="s">
        <v>197</v>
      </c>
      <c r="AI1" s="209" t="s">
        <v>198</v>
      </c>
      <c r="AJ1" s="209" t="s">
        <v>199</v>
      </c>
      <c r="AK1" s="209" t="s">
        <v>200</v>
      </c>
      <c r="AL1" s="209" t="s">
        <v>201</v>
      </c>
      <c r="AM1" s="209" t="s">
        <v>202</v>
      </c>
      <c r="AN1" s="209" t="s">
        <v>203</v>
      </c>
      <c r="AO1" s="209" t="s">
        <v>204</v>
      </c>
      <c r="AP1" s="209" t="s">
        <v>205</v>
      </c>
      <c r="AQ1" s="209" t="s">
        <v>206</v>
      </c>
    </row>
    <row r="2" spans="1:43" ht="102" x14ac:dyDescent="0.25">
      <c r="A2" s="88" t="s">
        <v>207</v>
      </c>
      <c r="B2" s="88" t="s">
        <v>393</v>
      </c>
      <c r="C2" s="83" t="s">
        <v>394</v>
      </c>
      <c r="D2" s="83" t="s">
        <v>395</v>
      </c>
      <c r="E2" s="88" t="s">
        <v>67</v>
      </c>
      <c r="F2" s="83" t="s">
        <v>396</v>
      </c>
      <c r="G2" s="83" t="s">
        <v>20</v>
      </c>
      <c r="H2" s="83" t="s">
        <v>397</v>
      </c>
      <c r="I2" s="88"/>
      <c r="J2" s="88" t="s">
        <v>398</v>
      </c>
      <c r="K2" s="83" t="s">
        <v>399</v>
      </c>
      <c r="L2" s="88" t="s">
        <v>400</v>
      </c>
      <c r="M2" s="88" t="s">
        <v>400</v>
      </c>
      <c r="N2" s="206" t="str">
        <f>VLOOKUP($A2,'CCRA3 Risks'!$A:$R,2,FALSE)</f>
        <v>B1 Risks to business sites from flooding</v>
      </c>
      <c r="O2" s="206" t="str">
        <f>VLOOKUP($A2,'CCRA3 Risks'!$A:$R,3,FALSE)</f>
        <v>No</v>
      </c>
      <c r="P2" s="207">
        <f>VLOOKUP($A2,'CCRA3 Risks'!$A:$R,4,FALSE)</f>
        <v>6</v>
      </c>
      <c r="Q2" s="206" t="str">
        <f>VLOOKUP($A2,'CCRA3 Risks'!$A:$R,7,FALSE)</f>
        <v>England</v>
      </c>
      <c r="R2" s="206" t="str">
        <f>VLOOKUP($A2,'CCRA3 Risks'!$A:$R,8,FALSE)</f>
        <v>High</v>
      </c>
      <c r="S2" s="206" t="str">
        <f>VLOOKUP($A2,'CCRA3 Risks'!$A:$R,9,FALSE)</f>
        <v>High</v>
      </c>
      <c r="T2" s="206" t="str">
        <f>VLOOKUP($A2,'CCRA3 Risks'!$A:$R,10,FALSE)</f>
        <v>High</v>
      </c>
      <c r="U2" s="206" t="str">
        <f>VLOOKUP($A2,'CCRA3 Risks'!$A:$R,11,FALSE)</f>
        <v>High</v>
      </c>
      <c r="V2" s="206" t="str">
        <f>VLOOKUP($A2,'CCRA3 Risks'!$A:$R,12,FALSE)</f>
        <v>High</v>
      </c>
      <c r="W2" s="206" t="str">
        <f>VLOOKUP($A2,'CCRA3 Risks'!$A:$R,13,FALSE)</f>
        <v>Partially</v>
      </c>
      <c r="X2" s="206" t="str">
        <f>VLOOKUP($A2,'CCRA3 Risks'!$A:$R,14,FALSE)</f>
        <v>More action needed</v>
      </c>
      <c r="Y2" s="206" t="str">
        <f>VLOOKUP($A2,'CCRA3 Risks'!$A:$R,15,FALSE)</f>
        <v>More action needed</v>
      </c>
      <c r="Z2" s="206" t="str">
        <f>VLOOKUP($A2,'CCRA3 Risks'!$A:$R,16,FALSE)</f>
        <v>Medium (5)</v>
      </c>
      <c r="AA2" s="206" t="str">
        <f>VLOOKUP($A2,'CCRA3 Risks'!$A:$R,17,FALSE)</f>
        <v>Medium (Amber)</v>
      </c>
      <c r="AB2" s="206" t="str">
        <f>VLOOKUP($A2,'CCRA3 Risks'!$A:$R,18,FALSE)</f>
        <v>Medium (implementation of flood policies)</v>
      </c>
      <c r="AC2" s="202">
        <f>VLOOKUP($A2,'CCRA3 Risks'!$A:$AG,19,FALSE)</f>
        <v>0</v>
      </c>
      <c r="AD2" s="123">
        <f>VLOOKUP($A2,'CCRA3 Risks'!$A:$AG,20,FALSE)</f>
        <v>0</v>
      </c>
      <c r="AE2" s="123">
        <f>VLOOKUP($A2,'CCRA3 Risks'!$A:$AG,21,FALSE)</f>
        <v>0</v>
      </c>
      <c r="AF2" s="123">
        <f>VLOOKUP($A2,'CCRA3 Risks'!$A:$AG,22,FALSE)</f>
        <v>0</v>
      </c>
      <c r="AG2" s="123">
        <f>VLOOKUP($A2,'CCRA3 Risks'!$A:$AG,23,FALSE)</f>
        <v>0</v>
      </c>
      <c r="AH2" s="123">
        <f>VLOOKUP($A2,'CCRA3 Risks'!$A:$AG,24,FALSE)</f>
        <v>0</v>
      </c>
      <c r="AI2" s="123">
        <f>VLOOKUP($A2,'CCRA3 Risks'!$A:$AG,25,FALSE)</f>
        <v>0</v>
      </c>
      <c r="AJ2" s="123">
        <f>VLOOKUP($A2,'CCRA3 Risks'!$A:$AG,26,FALSE)</f>
        <v>0</v>
      </c>
      <c r="AK2" s="123">
        <f>VLOOKUP($A2,'CCRA3 Risks'!$A:$AG,27,FALSE)</f>
        <v>0</v>
      </c>
      <c r="AL2" s="123">
        <f>VLOOKUP($A2,'CCRA3 Risks'!$A:$AG,28,FALSE)</f>
        <v>0</v>
      </c>
      <c r="AM2" s="123">
        <f>VLOOKUP($A2,'CCRA3 Risks'!$A:$AG,29,FALSE)</f>
        <v>0</v>
      </c>
      <c r="AN2" s="123" t="str">
        <f>VLOOKUP($A2,'CCRA3 Risks'!$A:$AG,30,FALSE)</f>
        <v>Y</v>
      </c>
      <c r="AO2" s="123">
        <f>VLOOKUP($A2,'CCRA3 Risks'!$A:$AG,31,FALSE)</f>
        <v>0</v>
      </c>
      <c r="AP2" s="123">
        <f>VLOOKUP($A2,'CCRA3 Risks'!$A:$AG,32,FALSE)</f>
        <v>0</v>
      </c>
      <c r="AQ2" s="123">
        <f>VLOOKUP($A2,'CCRA3 Risks'!$A:$AG,33,FALSE)</f>
        <v>0</v>
      </c>
    </row>
    <row r="3" spans="1:43" ht="153" x14ac:dyDescent="0.25">
      <c r="A3" s="88" t="s">
        <v>207</v>
      </c>
      <c r="B3" s="88" t="s">
        <v>401</v>
      </c>
      <c r="C3" s="83" t="s">
        <v>402</v>
      </c>
      <c r="D3" s="83" t="s">
        <v>403</v>
      </c>
      <c r="E3" s="88" t="s">
        <v>67</v>
      </c>
      <c r="F3" s="83" t="s">
        <v>396</v>
      </c>
      <c r="G3" s="83" t="s">
        <v>20</v>
      </c>
      <c r="H3" s="83" t="s">
        <v>404</v>
      </c>
      <c r="I3" s="88"/>
      <c r="J3" s="88" t="s">
        <v>405</v>
      </c>
      <c r="K3" s="83" t="s">
        <v>406</v>
      </c>
      <c r="L3" s="88" t="s">
        <v>400</v>
      </c>
      <c r="M3" s="83" t="s">
        <v>407</v>
      </c>
      <c r="N3" s="206" t="str">
        <f>VLOOKUP($A3,'CCRA3 Risks'!$A:$R,2,FALSE)</f>
        <v>B1 Risks to business sites from flooding</v>
      </c>
      <c r="O3" s="206" t="str">
        <f>VLOOKUP($A3,'CCRA3 Risks'!$A:$R,3,FALSE)</f>
        <v>No</v>
      </c>
      <c r="P3" s="207">
        <f>VLOOKUP($A3,'CCRA3 Risks'!$A:$R,4,FALSE)</f>
        <v>6</v>
      </c>
      <c r="Q3" s="206" t="str">
        <f>VLOOKUP($A3,'CCRA3 Risks'!$A:$R,7,FALSE)</f>
        <v>England</v>
      </c>
      <c r="R3" s="206" t="str">
        <f>VLOOKUP($A3,'CCRA3 Risks'!$A:$R,8,FALSE)</f>
        <v>High</v>
      </c>
      <c r="S3" s="206" t="str">
        <f>VLOOKUP($A3,'CCRA3 Risks'!$A:$R,9,FALSE)</f>
        <v>High</v>
      </c>
      <c r="T3" s="206" t="str">
        <f>VLOOKUP($A3,'CCRA3 Risks'!$A:$R,10,FALSE)</f>
        <v>High</v>
      </c>
      <c r="U3" s="206" t="str">
        <f>VLOOKUP($A3,'CCRA3 Risks'!$A:$R,11,FALSE)</f>
        <v>High</v>
      </c>
      <c r="V3" s="206" t="str">
        <f>VLOOKUP($A3,'CCRA3 Risks'!$A:$R,12,FALSE)</f>
        <v>High</v>
      </c>
      <c r="W3" s="206" t="str">
        <f>VLOOKUP($A3,'CCRA3 Risks'!$A:$R,13,FALSE)</f>
        <v>Partially</v>
      </c>
      <c r="X3" s="206" t="str">
        <f>VLOOKUP($A3,'CCRA3 Risks'!$A:$R,14,FALSE)</f>
        <v>More action needed</v>
      </c>
      <c r="Y3" s="206" t="str">
        <f>VLOOKUP($A3,'CCRA3 Risks'!$A:$R,15,FALSE)</f>
        <v>More action needed</v>
      </c>
      <c r="Z3" s="206" t="str">
        <f>VLOOKUP($A3,'CCRA3 Risks'!$A:$R,16,FALSE)</f>
        <v>Medium (5)</v>
      </c>
      <c r="AA3" s="206" t="str">
        <f>VLOOKUP($A3,'CCRA3 Risks'!$A:$R,17,FALSE)</f>
        <v>Medium (Amber)</v>
      </c>
      <c r="AB3" s="206" t="str">
        <f>VLOOKUP($A3,'CCRA3 Risks'!$A:$R,18,FALSE)</f>
        <v>Medium (implementation of flood policies)</v>
      </c>
      <c r="AC3" s="202">
        <f>VLOOKUP($A3,'CCRA3 Risks'!$A:$AG,19,FALSE)</f>
        <v>0</v>
      </c>
      <c r="AD3" s="123">
        <f>VLOOKUP($A3,'CCRA3 Risks'!$A:$AG,20,FALSE)</f>
        <v>0</v>
      </c>
      <c r="AE3" s="123">
        <f>VLOOKUP($A3,'CCRA3 Risks'!$A:$AG,21,FALSE)</f>
        <v>0</v>
      </c>
      <c r="AF3" s="123">
        <f>VLOOKUP($A3,'CCRA3 Risks'!$A:$AG,22,FALSE)</f>
        <v>0</v>
      </c>
      <c r="AG3" s="123">
        <f>VLOOKUP($A3,'CCRA3 Risks'!$A:$AG,23,FALSE)</f>
        <v>0</v>
      </c>
      <c r="AH3" s="123">
        <f>VLOOKUP($A3,'CCRA3 Risks'!$A:$AG,24,FALSE)</f>
        <v>0</v>
      </c>
      <c r="AI3" s="123">
        <f>VLOOKUP($A3,'CCRA3 Risks'!$A:$AG,25,FALSE)</f>
        <v>0</v>
      </c>
      <c r="AJ3" s="123">
        <f>VLOOKUP($A3,'CCRA3 Risks'!$A:$AG,26,FALSE)</f>
        <v>0</v>
      </c>
      <c r="AK3" s="123">
        <f>VLOOKUP($A3,'CCRA3 Risks'!$A:$AG,27,FALSE)</f>
        <v>0</v>
      </c>
      <c r="AL3" s="123">
        <f>VLOOKUP($A3,'CCRA3 Risks'!$A:$AG,28,FALSE)</f>
        <v>0</v>
      </c>
      <c r="AM3" s="123">
        <f>VLOOKUP($A3,'CCRA3 Risks'!$A:$AG,29,FALSE)</f>
        <v>0</v>
      </c>
      <c r="AN3" s="123" t="str">
        <f>VLOOKUP($A3,'CCRA3 Risks'!$A:$AG,30,FALSE)</f>
        <v>Y</v>
      </c>
      <c r="AO3" s="123">
        <f>VLOOKUP($A3,'CCRA3 Risks'!$A:$AG,31,FALSE)</f>
        <v>0</v>
      </c>
      <c r="AP3" s="123">
        <f>VLOOKUP($A3,'CCRA3 Risks'!$A:$AG,32,FALSE)</f>
        <v>0</v>
      </c>
      <c r="AQ3" s="123">
        <f>VLOOKUP($A3,'CCRA3 Risks'!$A:$AG,33,FALSE)</f>
        <v>0</v>
      </c>
    </row>
    <row r="4" spans="1:43" ht="65.099999999999994" customHeight="1" x14ac:dyDescent="0.25">
      <c r="A4" s="88" t="s">
        <v>207</v>
      </c>
      <c r="B4" s="88" t="s">
        <v>408</v>
      </c>
      <c r="C4" s="83" t="s">
        <v>409</v>
      </c>
      <c r="D4" s="83" t="s">
        <v>395</v>
      </c>
      <c r="E4" s="88" t="s">
        <v>67</v>
      </c>
      <c r="F4" s="83" t="s">
        <v>396</v>
      </c>
      <c r="G4" s="83" t="s">
        <v>30</v>
      </c>
      <c r="H4" s="83" t="s">
        <v>410</v>
      </c>
      <c r="I4" s="88"/>
      <c r="J4" s="83" t="s">
        <v>411</v>
      </c>
      <c r="K4" s="83" t="s">
        <v>412</v>
      </c>
      <c r="L4" s="88" t="s">
        <v>400</v>
      </c>
      <c r="M4" s="83" t="s">
        <v>413</v>
      </c>
      <c r="N4" s="206" t="str">
        <f>VLOOKUP($A4,'CCRA3 Risks'!$A:$R,2,FALSE)</f>
        <v>B1 Risks to business sites from flooding</v>
      </c>
      <c r="O4" s="206" t="str">
        <f>VLOOKUP($A4,'CCRA3 Risks'!$A:$R,3,FALSE)</f>
        <v>No</v>
      </c>
      <c r="P4" s="207">
        <f>VLOOKUP($A4,'CCRA3 Risks'!$A:$R,4,FALSE)</f>
        <v>6</v>
      </c>
      <c r="Q4" s="206" t="str">
        <f>VLOOKUP($A4,'CCRA3 Risks'!$A:$R,7,FALSE)</f>
        <v>England</v>
      </c>
      <c r="R4" s="206" t="str">
        <f>VLOOKUP($A4,'CCRA3 Risks'!$A:$R,8,FALSE)</f>
        <v>High</v>
      </c>
      <c r="S4" s="206" t="str">
        <f>VLOOKUP($A4,'CCRA3 Risks'!$A:$R,9,FALSE)</f>
        <v>High</v>
      </c>
      <c r="T4" s="206" t="str">
        <f>VLOOKUP($A4,'CCRA3 Risks'!$A:$R,10,FALSE)</f>
        <v>High</v>
      </c>
      <c r="U4" s="206" t="str">
        <f>VLOOKUP($A4,'CCRA3 Risks'!$A:$R,11,FALSE)</f>
        <v>High</v>
      </c>
      <c r="V4" s="206" t="str">
        <f>VLOOKUP($A4,'CCRA3 Risks'!$A:$R,12,FALSE)</f>
        <v>High</v>
      </c>
      <c r="W4" s="206" t="str">
        <f>VLOOKUP($A4,'CCRA3 Risks'!$A:$R,13,FALSE)</f>
        <v>Partially</v>
      </c>
      <c r="X4" s="206" t="str">
        <f>VLOOKUP($A4,'CCRA3 Risks'!$A:$R,14,FALSE)</f>
        <v>More action needed</v>
      </c>
      <c r="Y4" s="206" t="str">
        <f>VLOOKUP($A4,'CCRA3 Risks'!$A:$R,15,FALSE)</f>
        <v>More action needed</v>
      </c>
      <c r="Z4" s="206" t="str">
        <f>VLOOKUP($A4,'CCRA3 Risks'!$A:$R,16,FALSE)</f>
        <v>Medium (5)</v>
      </c>
      <c r="AA4" s="206" t="str">
        <f>VLOOKUP($A4,'CCRA3 Risks'!$A:$R,17,FALSE)</f>
        <v>Medium (Amber)</v>
      </c>
      <c r="AB4" s="206" t="str">
        <f>VLOOKUP($A4,'CCRA3 Risks'!$A:$R,18,FALSE)</f>
        <v>Medium (implementation of flood policies)</v>
      </c>
      <c r="AC4" s="202">
        <f>VLOOKUP($A4,'CCRA3 Risks'!$A:$AG,19,FALSE)</f>
        <v>0</v>
      </c>
      <c r="AD4" s="123">
        <f>VLOOKUP($A4,'CCRA3 Risks'!$A:$AG,20,FALSE)</f>
        <v>0</v>
      </c>
      <c r="AE4" s="123">
        <f>VLOOKUP($A4,'CCRA3 Risks'!$A:$AG,21,FALSE)</f>
        <v>0</v>
      </c>
      <c r="AF4" s="123">
        <f>VLOOKUP($A4,'CCRA3 Risks'!$A:$AG,22,FALSE)</f>
        <v>0</v>
      </c>
      <c r="AG4" s="123">
        <f>VLOOKUP($A4,'CCRA3 Risks'!$A:$AG,23,FALSE)</f>
        <v>0</v>
      </c>
      <c r="AH4" s="123">
        <f>VLOOKUP($A4,'CCRA3 Risks'!$A:$AG,24,FALSE)</f>
        <v>0</v>
      </c>
      <c r="AI4" s="123">
        <f>VLOOKUP($A4,'CCRA3 Risks'!$A:$AG,25,FALSE)</f>
        <v>0</v>
      </c>
      <c r="AJ4" s="123">
        <f>VLOOKUP($A4,'CCRA3 Risks'!$A:$AG,26,FALSE)</f>
        <v>0</v>
      </c>
      <c r="AK4" s="123">
        <f>VLOOKUP($A4,'CCRA3 Risks'!$A:$AG,27,FALSE)</f>
        <v>0</v>
      </c>
      <c r="AL4" s="123">
        <f>VLOOKUP($A4,'CCRA3 Risks'!$A:$AG,28,FALSE)</f>
        <v>0</v>
      </c>
      <c r="AM4" s="123">
        <f>VLOOKUP($A4,'CCRA3 Risks'!$A:$AG,29,FALSE)</f>
        <v>0</v>
      </c>
      <c r="AN4" s="123" t="str">
        <f>VLOOKUP($A4,'CCRA3 Risks'!$A:$AG,30,FALSE)</f>
        <v>Y</v>
      </c>
      <c r="AO4" s="123">
        <f>VLOOKUP($A4,'CCRA3 Risks'!$A:$AG,31,FALSE)</f>
        <v>0</v>
      </c>
      <c r="AP4" s="123">
        <f>VLOOKUP($A4,'CCRA3 Risks'!$A:$AG,32,FALSE)</f>
        <v>0</v>
      </c>
      <c r="AQ4" s="123">
        <f>VLOOKUP($A4,'CCRA3 Risks'!$A:$AG,33,FALSE)</f>
        <v>0</v>
      </c>
    </row>
    <row r="5" spans="1:43" ht="38.25" x14ac:dyDescent="0.25">
      <c r="A5" s="88" t="s">
        <v>207</v>
      </c>
      <c r="B5" s="88" t="s">
        <v>414</v>
      </c>
      <c r="C5" s="83" t="s">
        <v>415</v>
      </c>
      <c r="D5" s="83" t="s">
        <v>403</v>
      </c>
      <c r="E5" s="88" t="s">
        <v>67</v>
      </c>
      <c r="F5" s="83" t="s">
        <v>396</v>
      </c>
      <c r="G5" s="83" t="s">
        <v>30</v>
      </c>
      <c r="H5" s="83" t="s">
        <v>416</v>
      </c>
      <c r="I5" s="88"/>
      <c r="J5" s="88" t="s">
        <v>417</v>
      </c>
      <c r="K5" s="83" t="s">
        <v>418</v>
      </c>
      <c r="L5" s="88" t="s">
        <v>400</v>
      </c>
      <c r="M5" s="88" t="s">
        <v>35</v>
      </c>
      <c r="N5" s="206" t="str">
        <f>VLOOKUP($A5,'CCRA3 Risks'!$A:$R,2,FALSE)</f>
        <v>B1 Risks to business sites from flooding</v>
      </c>
      <c r="O5" s="206" t="str">
        <f>VLOOKUP($A5,'CCRA3 Risks'!$A:$R,3,FALSE)</f>
        <v>No</v>
      </c>
      <c r="P5" s="207">
        <f>VLOOKUP($A5,'CCRA3 Risks'!$A:$R,4,FALSE)</f>
        <v>6</v>
      </c>
      <c r="Q5" s="206" t="str">
        <f>VLOOKUP($A5,'CCRA3 Risks'!$A:$R,7,FALSE)</f>
        <v>England</v>
      </c>
      <c r="R5" s="206" t="str">
        <f>VLOOKUP($A5,'CCRA3 Risks'!$A:$R,8,FALSE)</f>
        <v>High</v>
      </c>
      <c r="S5" s="206" t="str">
        <f>VLOOKUP($A5,'CCRA3 Risks'!$A:$R,9,FALSE)</f>
        <v>High</v>
      </c>
      <c r="T5" s="206" t="str">
        <f>VLOOKUP($A5,'CCRA3 Risks'!$A:$R,10,FALSE)</f>
        <v>High</v>
      </c>
      <c r="U5" s="206" t="str">
        <f>VLOOKUP($A5,'CCRA3 Risks'!$A:$R,11,FALSE)</f>
        <v>High</v>
      </c>
      <c r="V5" s="206" t="str">
        <f>VLOOKUP($A5,'CCRA3 Risks'!$A:$R,12,FALSE)</f>
        <v>High</v>
      </c>
      <c r="W5" s="206" t="str">
        <f>VLOOKUP($A5,'CCRA3 Risks'!$A:$R,13,FALSE)</f>
        <v>Partially</v>
      </c>
      <c r="X5" s="206" t="str">
        <f>VLOOKUP($A5,'CCRA3 Risks'!$A:$R,14,FALSE)</f>
        <v>More action needed</v>
      </c>
      <c r="Y5" s="206" t="str">
        <f>VLOOKUP($A5,'CCRA3 Risks'!$A:$R,15,FALSE)</f>
        <v>More action needed</v>
      </c>
      <c r="Z5" s="206" t="str">
        <f>VLOOKUP($A5,'CCRA3 Risks'!$A:$R,16,FALSE)</f>
        <v>Medium (5)</v>
      </c>
      <c r="AA5" s="206" t="str">
        <f>VLOOKUP($A5,'CCRA3 Risks'!$A:$R,17,FALSE)</f>
        <v>Medium (Amber)</v>
      </c>
      <c r="AB5" s="206" t="str">
        <f>VLOOKUP($A5,'CCRA3 Risks'!$A:$R,18,FALSE)</f>
        <v>Medium (implementation of flood policies)</v>
      </c>
      <c r="AC5" s="202">
        <f>VLOOKUP($A5,'CCRA3 Risks'!$A:$AG,19,FALSE)</f>
        <v>0</v>
      </c>
      <c r="AD5" s="123">
        <f>VLOOKUP($A5,'CCRA3 Risks'!$A:$AG,20,FALSE)</f>
        <v>0</v>
      </c>
      <c r="AE5" s="123">
        <f>VLOOKUP($A5,'CCRA3 Risks'!$A:$AG,21,FALSE)</f>
        <v>0</v>
      </c>
      <c r="AF5" s="123">
        <f>VLOOKUP($A5,'CCRA3 Risks'!$A:$AG,22,FALSE)</f>
        <v>0</v>
      </c>
      <c r="AG5" s="123">
        <f>VLOOKUP($A5,'CCRA3 Risks'!$A:$AG,23,FALSE)</f>
        <v>0</v>
      </c>
      <c r="AH5" s="123">
        <f>VLOOKUP($A5,'CCRA3 Risks'!$A:$AG,24,FALSE)</f>
        <v>0</v>
      </c>
      <c r="AI5" s="123">
        <f>VLOOKUP($A5,'CCRA3 Risks'!$A:$AG,25,FALSE)</f>
        <v>0</v>
      </c>
      <c r="AJ5" s="123">
        <f>VLOOKUP($A5,'CCRA3 Risks'!$A:$AG,26,FALSE)</f>
        <v>0</v>
      </c>
      <c r="AK5" s="123">
        <f>VLOOKUP($A5,'CCRA3 Risks'!$A:$AG,27,FALSE)</f>
        <v>0</v>
      </c>
      <c r="AL5" s="123">
        <f>VLOOKUP($A5,'CCRA3 Risks'!$A:$AG,28,FALSE)</f>
        <v>0</v>
      </c>
      <c r="AM5" s="123">
        <f>VLOOKUP($A5,'CCRA3 Risks'!$A:$AG,29,FALSE)</f>
        <v>0</v>
      </c>
      <c r="AN5" s="123" t="str">
        <f>VLOOKUP($A5,'CCRA3 Risks'!$A:$AG,30,FALSE)</f>
        <v>Y</v>
      </c>
      <c r="AO5" s="123">
        <f>VLOOKUP($A5,'CCRA3 Risks'!$A:$AG,31,FALSE)</f>
        <v>0</v>
      </c>
      <c r="AP5" s="123">
        <f>VLOOKUP($A5,'CCRA3 Risks'!$A:$AG,32,FALSE)</f>
        <v>0</v>
      </c>
      <c r="AQ5" s="123">
        <f>VLOOKUP($A5,'CCRA3 Risks'!$A:$AG,33,FALSE)</f>
        <v>0</v>
      </c>
    </row>
    <row r="6" spans="1:43" ht="102" x14ac:dyDescent="0.25">
      <c r="A6" s="88" t="s">
        <v>211</v>
      </c>
      <c r="B6" s="88" t="s">
        <v>419</v>
      </c>
      <c r="C6" s="83" t="s">
        <v>420</v>
      </c>
      <c r="D6" s="83" t="s">
        <v>403</v>
      </c>
      <c r="E6" s="83" t="s">
        <v>67</v>
      </c>
      <c r="F6" s="83" t="s">
        <v>421</v>
      </c>
      <c r="G6" s="83" t="s">
        <v>53</v>
      </c>
      <c r="H6" s="83" t="s">
        <v>422</v>
      </c>
      <c r="I6" s="83"/>
      <c r="J6" s="88" t="s">
        <v>398</v>
      </c>
      <c r="K6" s="83" t="s">
        <v>423</v>
      </c>
      <c r="L6" s="88" t="s">
        <v>400</v>
      </c>
      <c r="M6" s="88" t="s">
        <v>424</v>
      </c>
      <c r="N6" s="206" t="str">
        <f>VLOOKUP($A6,'CCRA3 Risks'!$A:$R,2,FALSE)</f>
        <v>B2 Risks to business locations and infrastructure from coastal change from erosion, flooding and extreme weather events</v>
      </c>
      <c r="O6" s="206" t="str">
        <f>VLOOKUP($A6,'CCRA3 Risks'!$A:$R,3,FALSE)</f>
        <v>No</v>
      </c>
      <c r="P6" s="207">
        <f>VLOOKUP($A6,'CCRA3 Risks'!$A:$R,4,FALSE)</f>
        <v>6</v>
      </c>
      <c r="Q6" s="206" t="str">
        <f>VLOOKUP($A6,'CCRA3 Risks'!$A:$R,7,FALSE)</f>
        <v>England</v>
      </c>
      <c r="R6" s="206" t="str">
        <f>VLOOKUP($A6,'CCRA3 Risks'!$A:$R,8,FALSE)</f>
        <v>Medium</v>
      </c>
      <c r="S6" s="206" t="str">
        <f>VLOOKUP($A6,'CCRA3 Risks'!$A:$R,9,FALSE)</f>
        <v>High</v>
      </c>
      <c r="T6" s="206" t="str">
        <f>VLOOKUP($A6,'CCRA3 Risks'!$A:$R,10,FALSE)</f>
        <v>High</v>
      </c>
      <c r="U6" s="206" t="str">
        <f>VLOOKUP($A6,'CCRA3 Risks'!$A:$R,11,FALSE)</f>
        <v>High</v>
      </c>
      <c r="V6" s="206" t="str">
        <f>VLOOKUP($A6,'CCRA3 Risks'!$A:$R,12,FALSE)</f>
        <v>High</v>
      </c>
      <c r="W6" s="206" t="str">
        <f>VLOOKUP($A6,'CCRA3 Risks'!$A:$R,13,FALSE)</f>
        <v>Partially</v>
      </c>
      <c r="X6" s="206" t="str">
        <f>VLOOKUP($A6,'CCRA3 Risks'!$A:$R,14,FALSE)</f>
        <v>More action needed</v>
      </c>
      <c r="Y6" s="206" t="str">
        <f>VLOOKUP($A6,'CCRA3 Risks'!$A:$R,15,FALSE)</f>
        <v>More action needed</v>
      </c>
      <c r="Z6" s="206" t="str">
        <f>VLOOKUP($A6,'CCRA3 Risks'!$A:$R,16,FALSE)</f>
        <v>Medium (5)</v>
      </c>
      <c r="AA6" s="206" t="str">
        <f>VLOOKUP($A6,'CCRA3 Risks'!$A:$R,17,FALSE)</f>
        <v>Medium (Amber)</v>
      </c>
      <c r="AB6" s="206" t="str">
        <f>VLOOKUP($A6,'CCRA3 Risks'!$A:$R,18,FALSE)</f>
        <v>Medium (New or reviewed coastal policies and implementation of renewed flood policies)</v>
      </c>
      <c r="AC6" s="202">
        <f>VLOOKUP($A6,'CCRA3 Risks'!$A:$AG,19,FALSE)</f>
        <v>0</v>
      </c>
      <c r="AD6" s="123">
        <f>VLOOKUP($A6,'CCRA3 Risks'!$A:$AG,20,FALSE)</f>
        <v>0</v>
      </c>
      <c r="AE6" s="123">
        <f>VLOOKUP($A6,'CCRA3 Risks'!$A:$AG,21,FALSE)</f>
        <v>0</v>
      </c>
      <c r="AF6" s="123">
        <f>VLOOKUP($A6,'CCRA3 Risks'!$A:$AG,22,FALSE)</f>
        <v>0</v>
      </c>
      <c r="AG6" s="123">
        <f>VLOOKUP($A6,'CCRA3 Risks'!$A:$AG,23,FALSE)</f>
        <v>0</v>
      </c>
      <c r="AH6" s="123">
        <f>VLOOKUP($A6,'CCRA3 Risks'!$A:$AG,24,FALSE)</f>
        <v>0</v>
      </c>
      <c r="AI6" s="123">
        <f>VLOOKUP($A6,'CCRA3 Risks'!$A:$AG,25,FALSE)</f>
        <v>0</v>
      </c>
      <c r="AJ6" s="123">
        <f>VLOOKUP($A6,'CCRA3 Risks'!$A:$AG,26,FALSE)</f>
        <v>0</v>
      </c>
      <c r="AK6" s="123">
        <f>VLOOKUP($A6,'CCRA3 Risks'!$A:$AG,27,FALSE)</f>
        <v>0</v>
      </c>
      <c r="AL6" s="123">
        <f>VLOOKUP($A6,'CCRA3 Risks'!$A:$AG,28,FALSE)</f>
        <v>0</v>
      </c>
      <c r="AM6" s="123">
        <f>VLOOKUP($A6,'CCRA3 Risks'!$A:$AG,29,FALSE)</f>
        <v>0</v>
      </c>
      <c r="AN6" s="123" t="str">
        <f>VLOOKUP($A6,'CCRA3 Risks'!$A:$AG,30,FALSE)</f>
        <v>Y</v>
      </c>
      <c r="AO6" s="123">
        <f>VLOOKUP($A6,'CCRA3 Risks'!$A:$AG,31,FALSE)</f>
        <v>0</v>
      </c>
      <c r="AP6" s="123">
        <f>VLOOKUP($A6,'CCRA3 Risks'!$A:$AG,32,FALSE)</f>
        <v>0</v>
      </c>
      <c r="AQ6" s="123">
        <f>VLOOKUP($A6,'CCRA3 Risks'!$A:$AG,33,FALSE)</f>
        <v>0</v>
      </c>
    </row>
    <row r="7" spans="1:43" ht="89.25" x14ac:dyDescent="0.25">
      <c r="A7" s="88" t="s">
        <v>211</v>
      </c>
      <c r="B7" s="88" t="s">
        <v>425</v>
      </c>
      <c r="C7" s="83" t="s">
        <v>426</v>
      </c>
      <c r="D7" s="83" t="s">
        <v>403</v>
      </c>
      <c r="E7" s="83" t="s">
        <v>67</v>
      </c>
      <c r="F7" s="83" t="s">
        <v>421</v>
      </c>
      <c r="G7" s="83" t="s">
        <v>53</v>
      </c>
      <c r="H7" s="83" t="s">
        <v>427</v>
      </c>
      <c r="I7" s="83"/>
      <c r="J7" s="88" t="s">
        <v>398</v>
      </c>
      <c r="K7" s="83" t="s">
        <v>428</v>
      </c>
      <c r="L7" s="88" t="s">
        <v>400</v>
      </c>
      <c r="M7" s="83" t="s">
        <v>429</v>
      </c>
      <c r="N7" s="206" t="str">
        <f>VLOOKUP($A7,'CCRA3 Risks'!$A:$R,2,FALSE)</f>
        <v>B2 Risks to business locations and infrastructure from coastal change from erosion, flooding and extreme weather events</v>
      </c>
      <c r="O7" s="206" t="str">
        <f>VLOOKUP($A7,'CCRA3 Risks'!$A:$R,3,FALSE)</f>
        <v>No</v>
      </c>
      <c r="P7" s="207">
        <f>VLOOKUP($A7,'CCRA3 Risks'!$A:$R,4,FALSE)</f>
        <v>6</v>
      </c>
      <c r="Q7" s="206" t="str">
        <f>VLOOKUP($A7,'CCRA3 Risks'!$A:$R,7,FALSE)</f>
        <v>England</v>
      </c>
      <c r="R7" s="206" t="str">
        <f>VLOOKUP($A7,'CCRA3 Risks'!$A:$R,8,FALSE)</f>
        <v>Medium</v>
      </c>
      <c r="S7" s="206" t="str">
        <f>VLOOKUP($A7,'CCRA3 Risks'!$A:$R,9,FALSE)</f>
        <v>High</v>
      </c>
      <c r="T7" s="206" t="str">
        <f>VLOOKUP($A7,'CCRA3 Risks'!$A:$R,10,FALSE)</f>
        <v>High</v>
      </c>
      <c r="U7" s="206" t="str">
        <f>VLOOKUP($A7,'CCRA3 Risks'!$A:$R,11,FALSE)</f>
        <v>High</v>
      </c>
      <c r="V7" s="206" t="str">
        <f>VLOOKUP($A7,'CCRA3 Risks'!$A:$R,12,FALSE)</f>
        <v>High</v>
      </c>
      <c r="W7" s="206" t="str">
        <f>VLOOKUP($A7,'CCRA3 Risks'!$A:$R,13,FALSE)</f>
        <v>Partially</v>
      </c>
      <c r="X7" s="206" t="str">
        <f>VLOOKUP($A7,'CCRA3 Risks'!$A:$R,14,FALSE)</f>
        <v>More action needed</v>
      </c>
      <c r="Y7" s="206" t="str">
        <f>VLOOKUP($A7,'CCRA3 Risks'!$A:$R,15,FALSE)</f>
        <v>More action needed</v>
      </c>
      <c r="Z7" s="206" t="str">
        <f>VLOOKUP($A7,'CCRA3 Risks'!$A:$R,16,FALSE)</f>
        <v>Medium (5)</v>
      </c>
      <c r="AA7" s="206" t="str">
        <f>VLOOKUP($A7,'CCRA3 Risks'!$A:$R,17,FALSE)</f>
        <v>Medium (Amber)</v>
      </c>
      <c r="AB7" s="206" t="str">
        <f>VLOOKUP($A7,'CCRA3 Risks'!$A:$R,18,FALSE)</f>
        <v>Medium (New or reviewed coastal policies and implementation of renewed flood policies)</v>
      </c>
      <c r="AC7" s="202">
        <f>VLOOKUP($A7,'CCRA3 Risks'!$A:$AG,19,FALSE)</f>
        <v>0</v>
      </c>
      <c r="AD7" s="123">
        <f>VLOOKUP($A7,'CCRA3 Risks'!$A:$AG,20,FALSE)</f>
        <v>0</v>
      </c>
      <c r="AE7" s="123">
        <f>VLOOKUP($A7,'CCRA3 Risks'!$A:$AG,21,FALSE)</f>
        <v>0</v>
      </c>
      <c r="AF7" s="123">
        <f>VLOOKUP($A7,'CCRA3 Risks'!$A:$AG,22,FALSE)</f>
        <v>0</v>
      </c>
      <c r="AG7" s="123">
        <f>VLOOKUP($A7,'CCRA3 Risks'!$A:$AG,23,FALSE)</f>
        <v>0</v>
      </c>
      <c r="AH7" s="123">
        <f>VLOOKUP($A7,'CCRA3 Risks'!$A:$AG,24,FALSE)</f>
        <v>0</v>
      </c>
      <c r="AI7" s="123">
        <f>VLOOKUP($A7,'CCRA3 Risks'!$A:$AG,25,FALSE)</f>
        <v>0</v>
      </c>
      <c r="AJ7" s="123">
        <f>VLOOKUP($A7,'CCRA3 Risks'!$A:$AG,26,FALSE)</f>
        <v>0</v>
      </c>
      <c r="AK7" s="123">
        <f>VLOOKUP($A7,'CCRA3 Risks'!$A:$AG,27,FALSE)</f>
        <v>0</v>
      </c>
      <c r="AL7" s="123">
        <f>VLOOKUP($A7,'CCRA3 Risks'!$A:$AG,28,FALSE)</f>
        <v>0</v>
      </c>
      <c r="AM7" s="123">
        <f>VLOOKUP($A7,'CCRA3 Risks'!$A:$AG,29,FALSE)</f>
        <v>0</v>
      </c>
      <c r="AN7" s="123" t="str">
        <f>VLOOKUP($A7,'CCRA3 Risks'!$A:$AG,30,FALSE)</f>
        <v>Y</v>
      </c>
      <c r="AO7" s="123">
        <f>VLOOKUP($A7,'CCRA3 Risks'!$A:$AG,31,FALSE)</f>
        <v>0</v>
      </c>
      <c r="AP7" s="123">
        <f>VLOOKUP($A7,'CCRA3 Risks'!$A:$AG,32,FALSE)</f>
        <v>0</v>
      </c>
      <c r="AQ7" s="123">
        <f>VLOOKUP($A7,'CCRA3 Risks'!$A:$AG,33,FALSE)</f>
        <v>0</v>
      </c>
    </row>
    <row r="8" spans="1:43" ht="89.25" x14ac:dyDescent="0.25">
      <c r="A8" s="88" t="s">
        <v>211</v>
      </c>
      <c r="B8" s="88" t="s">
        <v>430</v>
      </c>
      <c r="C8" s="83" t="s">
        <v>431</v>
      </c>
      <c r="D8" s="83" t="s">
        <v>403</v>
      </c>
      <c r="E8" s="88" t="s">
        <v>67</v>
      </c>
      <c r="F8" s="83" t="s">
        <v>396</v>
      </c>
      <c r="G8" s="83" t="s">
        <v>53</v>
      </c>
      <c r="H8" s="83" t="s">
        <v>432</v>
      </c>
      <c r="I8" s="83"/>
      <c r="J8" s="88" t="s">
        <v>417</v>
      </c>
      <c r="K8" s="83" t="s">
        <v>433</v>
      </c>
      <c r="L8" s="88" t="s">
        <v>400</v>
      </c>
      <c r="M8" s="88" t="s">
        <v>400</v>
      </c>
      <c r="N8" s="206" t="str">
        <f>VLOOKUP($A8,'CCRA3 Risks'!$A:$R,2,FALSE)</f>
        <v>B2 Risks to business locations and infrastructure from coastal change from erosion, flooding and extreme weather events</v>
      </c>
      <c r="O8" s="206" t="str">
        <f>VLOOKUP($A8,'CCRA3 Risks'!$A:$R,3,FALSE)</f>
        <v>No</v>
      </c>
      <c r="P8" s="207">
        <f>VLOOKUP($A8,'CCRA3 Risks'!$A:$R,4,FALSE)</f>
        <v>6</v>
      </c>
      <c r="Q8" s="206" t="str">
        <f>VLOOKUP($A8,'CCRA3 Risks'!$A:$R,7,FALSE)</f>
        <v>England</v>
      </c>
      <c r="R8" s="206" t="str">
        <f>VLOOKUP($A8,'CCRA3 Risks'!$A:$R,8,FALSE)</f>
        <v>Medium</v>
      </c>
      <c r="S8" s="206" t="str">
        <f>VLOOKUP($A8,'CCRA3 Risks'!$A:$R,9,FALSE)</f>
        <v>High</v>
      </c>
      <c r="T8" s="206" t="str">
        <f>VLOOKUP($A8,'CCRA3 Risks'!$A:$R,10,FALSE)</f>
        <v>High</v>
      </c>
      <c r="U8" s="206" t="str">
        <f>VLOOKUP($A8,'CCRA3 Risks'!$A:$R,11,FALSE)</f>
        <v>High</v>
      </c>
      <c r="V8" s="206" t="str">
        <f>VLOOKUP($A8,'CCRA3 Risks'!$A:$R,12,FALSE)</f>
        <v>High</v>
      </c>
      <c r="W8" s="206" t="str">
        <f>VLOOKUP($A8,'CCRA3 Risks'!$A:$R,13,FALSE)</f>
        <v>Partially</v>
      </c>
      <c r="X8" s="206" t="str">
        <f>VLOOKUP($A8,'CCRA3 Risks'!$A:$R,14,FALSE)</f>
        <v>More action needed</v>
      </c>
      <c r="Y8" s="206" t="str">
        <f>VLOOKUP($A8,'CCRA3 Risks'!$A:$R,15,FALSE)</f>
        <v>More action needed</v>
      </c>
      <c r="Z8" s="206" t="str">
        <f>VLOOKUP($A8,'CCRA3 Risks'!$A:$R,16,FALSE)</f>
        <v>Medium (5)</v>
      </c>
      <c r="AA8" s="206" t="str">
        <f>VLOOKUP($A8,'CCRA3 Risks'!$A:$R,17,FALSE)</f>
        <v>Medium (Amber)</v>
      </c>
      <c r="AB8" s="206" t="str">
        <f>VLOOKUP($A8,'CCRA3 Risks'!$A:$R,18,FALSE)</f>
        <v>Medium (New or reviewed coastal policies and implementation of renewed flood policies)</v>
      </c>
      <c r="AC8" s="202">
        <f>VLOOKUP($A8,'CCRA3 Risks'!$A:$AG,19,FALSE)</f>
        <v>0</v>
      </c>
      <c r="AD8" s="123">
        <f>VLOOKUP($A8,'CCRA3 Risks'!$A:$AG,20,FALSE)</f>
        <v>0</v>
      </c>
      <c r="AE8" s="123">
        <f>VLOOKUP($A8,'CCRA3 Risks'!$A:$AG,21,FALSE)</f>
        <v>0</v>
      </c>
      <c r="AF8" s="123">
        <f>VLOOKUP($A8,'CCRA3 Risks'!$A:$AG,22,FALSE)</f>
        <v>0</v>
      </c>
      <c r="AG8" s="123">
        <f>VLOOKUP($A8,'CCRA3 Risks'!$A:$AG,23,FALSE)</f>
        <v>0</v>
      </c>
      <c r="AH8" s="123">
        <f>VLOOKUP($A8,'CCRA3 Risks'!$A:$AG,24,FALSE)</f>
        <v>0</v>
      </c>
      <c r="AI8" s="123">
        <f>VLOOKUP($A8,'CCRA3 Risks'!$A:$AG,25,FALSE)</f>
        <v>0</v>
      </c>
      <c r="AJ8" s="123">
        <f>VLOOKUP($A8,'CCRA3 Risks'!$A:$AG,26,FALSE)</f>
        <v>0</v>
      </c>
      <c r="AK8" s="123">
        <f>VLOOKUP($A8,'CCRA3 Risks'!$A:$AG,27,FALSE)</f>
        <v>0</v>
      </c>
      <c r="AL8" s="123">
        <f>VLOOKUP($A8,'CCRA3 Risks'!$A:$AG,28,FALSE)</f>
        <v>0</v>
      </c>
      <c r="AM8" s="123">
        <f>VLOOKUP($A8,'CCRA3 Risks'!$A:$AG,29,FALSE)</f>
        <v>0</v>
      </c>
      <c r="AN8" s="123" t="str">
        <f>VLOOKUP($A8,'CCRA3 Risks'!$A:$AG,30,FALSE)</f>
        <v>Y</v>
      </c>
      <c r="AO8" s="123">
        <f>VLOOKUP($A8,'CCRA3 Risks'!$A:$AG,31,FALSE)</f>
        <v>0</v>
      </c>
      <c r="AP8" s="123">
        <f>VLOOKUP($A8,'CCRA3 Risks'!$A:$AG,32,FALSE)</f>
        <v>0</v>
      </c>
      <c r="AQ8" s="123">
        <f>VLOOKUP($A8,'CCRA3 Risks'!$A:$AG,33,FALSE)</f>
        <v>0</v>
      </c>
    </row>
    <row r="9" spans="1:43" ht="140.25" x14ac:dyDescent="0.25">
      <c r="A9" s="88" t="s">
        <v>211</v>
      </c>
      <c r="B9" s="88" t="s">
        <v>434</v>
      </c>
      <c r="C9" s="83" t="s">
        <v>435</v>
      </c>
      <c r="D9" s="83" t="s">
        <v>403</v>
      </c>
      <c r="E9" s="88" t="s">
        <v>67</v>
      </c>
      <c r="F9" s="83" t="s">
        <v>421</v>
      </c>
      <c r="G9" s="83" t="s">
        <v>53</v>
      </c>
      <c r="H9" s="83" t="s">
        <v>436</v>
      </c>
      <c r="I9" s="83"/>
      <c r="J9" s="88" t="s">
        <v>398</v>
      </c>
      <c r="K9" s="83" t="s">
        <v>437</v>
      </c>
      <c r="L9" s="88" t="s">
        <v>400</v>
      </c>
      <c r="M9" s="88" t="s">
        <v>424</v>
      </c>
      <c r="N9" s="206" t="str">
        <f>VLOOKUP($A9,'CCRA3 Risks'!$A:$R,2,FALSE)</f>
        <v>B2 Risks to business locations and infrastructure from coastal change from erosion, flooding and extreme weather events</v>
      </c>
      <c r="O9" s="206" t="str">
        <f>VLOOKUP($A9,'CCRA3 Risks'!$A:$R,3,FALSE)</f>
        <v>No</v>
      </c>
      <c r="P9" s="207">
        <f>VLOOKUP($A9,'CCRA3 Risks'!$A:$R,4,FALSE)</f>
        <v>6</v>
      </c>
      <c r="Q9" s="206" t="str">
        <f>VLOOKUP($A9,'CCRA3 Risks'!$A:$R,7,FALSE)</f>
        <v>England</v>
      </c>
      <c r="R9" s="206" t="str">
        <f>VLOOKUP($A9,'CCRA3 Risks'!$A:$R,8,FALSE)</f>
        <v>Medium</v>
      </c>
      <c r="S9" s="206" t="str">
        <f>VLOOKUP($A9,'CCRA3 Risks'!$A:$R,9,FALSE)</f>
        <v>High</v>
      </c>
      <c r="T9" s="206" t="str">
        <f>VLOOKUP($A9,'CCRA3 Risks'!$A:$R,10,FALSE)</f>
        <v>High</v>
      </c>
      <c r="U9" s="206" t="str">
        <f>VLOOKUP($A9,'CCRA3 Risks'!$A:$R,11,FALSE)</f>
        <v>High</v>
      </c>
      <c r="V9" s="206" t="str">
        <f>VLOOKUP($A9,'CCRA3 Risks'!$A:$R,12,FALSE)</f>
        <v>High</v>
      </c>
      <c r="W9" s="206" t="str">
        <f>VLOOKUP($A9,'CCRA3 Risks'!$A:$R,13,FALSE)</f>
        <v>Partially</v>
      </c>
      <c r="X9" s="206" t="str">
        <f>VLOOKUP($A9,'CCRA3 Risks'!$A:$R,14,FALSE)</f>
        <v>More action needed</v>
      </c>
      <c r="Y9" s="206" t="str">
        <f>VLOOKUP($A9,'CCRA3 Risks'!$A:$R,15,FALSE)</f>
        <v>More action needed</v>
      </c>
      <c r="Z9" s="206" t="str">
        <f>VLOOKUP($A9,'CCRA3 Risks'!$A:$R,16,FALSE)</f>
        <v>Medium (5)</v>
      </c>
      <c r="AA9" s="206" t="str">
        <f>VLOOKUP($A9,'CCRA3 Risks'!$A:$R,17,FALSE)</f>
        <v>Medium (Amber)</v>
      </c>
      <c r="AB9" s="206" t="str">
        <f>VLOOKUP($A9,'CCRA3 Risks'!$A:$R,18,FALSE)</f>
        <v>Medium (New or reviewed coastal policies and implementation of renewed flood policies)</v>
      </c>
      <c r="AC9" s="202">
        <f>VLOOKUP($A9,'CCRA3 Risks'!$A:$AG,19,FALSE)</f>
        <v>0</v>
      </c>
      <c r="AD9" s="123">
        <f>VLOOKUP($A9,'CCRA3 Risks'!$A:$AG,20,FALSE)</f>
        <v>0</v>
      </c>
      <c r="AE9" s="123">
        <f>VLOOKUP($A9,'CCRA3 Risks'!$A:$AG,21,FALSE)</f>
        <v>0</v>
      </c>
      <c r="AF9" s="123">
        <f>VLOOKUP($A9,'CCRA3 Risks'!$A:$AG,22,FALSE)</f>
        <v>0</v>
      </c>
      <c r="AG9" s="123">
        <f>VLOOKUP($A9,'CCRA3 Risks'!$A:$AG,23,FALSE)</f>
        <v>0</v>
      </c>
      <c r="AH9" s="123">
        <f>VLOOKUP($A9,'CCRA3 Risks'!$A:$AG,24,FALSE)</f>
        <v>0</v>
      </c>
      <c r="AI9" s="123">
        <f>VLOOKUP($A9,'CCRA3 Risks'!$A:$AG,25,FALSE)</f>
        <v>0</v>
      </c>
      <c r="AJ9" s="123">
        <f>VLOOKUP($A9,'CCRA3 Risks'!$A:$AG,26,FALSE)</f>
        <v>0</v>
      </c>
      <c r="AK9" s="123">
        <f>VLOOKUP($A9,'CCRA3 Risks'!$A:$AG,27,FALSE)</f>
        <v>0</v>
      </c>
      <c r="AL9" s="123">
        <f>VLOOKUP($A9,'CCRA3 Risks'!$A:$AG,28,FALSE)</f>
        <v>0</v>
      </c>
      <c r="AM9" s="123">
        <f>VLOOKUP($A9,'CCRA3 Risks'!$A:$AG,29,FALSE)</f>
        <v>0</v>
      </c>
      <c r="AN9" s="123" t="str">
        <f>VLOOKUP($A9,'CCRA3 Risks'!$A:$AG,30,FALSE)</f>
        <v>Y</v>
      </c>
      <c r="AO9" s="123">
        <f>VLOOKUP($A9,'CCRA3 Risks'!$A:$AG,31,FALSE)</f>
        <v>0</v>
      </c>
      <c r="AP9" s="123">
        <f>VLOOKUP($A9,'CCRA3 Risks'!$A:$AG,32,FALSE)</f>
        <v>0</v>
      </c>
      <c r="AQ9" s="123">
        <f>VLOOKUP($A9,'CCRA3 Risks'!$A:$AG,33,FALSE)</f>
        <v>0</v>
      </c>
    </row>
    <row r="10" spans="1:43" ht="89.25" x14ac:dyDescent="0.25">
      <c r="A10" s="88" t="s">
        <v>211</v>
      </c>
      <c r="B10" s="88" t="s">
        <v>438</v>
      </c>
      <c r="C10" s="83" t="s">
        <v>439</v>
      </c>
      <c r="D10" s="83" t="s">
        <v>403</v>
      </c>
      <c r="E10" s="88" t="s">
        <v>67</v>
      </c>
      <c r="F10" s="83" t="s">
        <v>33</v>
      </c>
      <c r="G10" s="83" t="s">
        <v>30</v>
      </c>
      <c r="H10" s="83" t="s">
        <v>440</v>
      </c>
      <c r="I10" s="83"/>
      <c r="J10" s="88" t="s">
        <v>398</v>
      </c>
      <c r="K10" s="83" t="s">
        <v>441</v>
      </c>
      <c r="L10" s="88" t="s">
        <v>400</v>
      </c>
      <c r="M10" s="88" t="s">
        <v>424</v>
      </c>
      <c r="N10" s="206" t="str">
        <f>VLOOKUP($A10,'CCRA3 Risks'!$A:$R,2,FALSE)</f>
        <v>B2 Risks to business locations and infrastructure from coastal change from erosion, flooding and extreme weather events</v>
      </c>
      <c r="O10" s="206" t="str">
        <f>VLOOKUP($A10,'CCRA3 Risks'!$A:$R,3,FALSE)</f>
        <v>No</v>
      </c>
      <c r="P10" s="207">
        <f>VLOOKUP($A10,'CCRA3 Risks'!$A:$R,4,FALSE)</f>
        <v>6</v>
      </c>
      <c r="Q10" s="206" t="str">
        <f>VLOOKUP($A10,'CCRA3 Risks'!$A:$R,7,FALSE)</f>
        <v>England</v>
      </c>
      <c r="R10" s="206" t="str">
        <f>VLOOKUP($A10,'CCRA3 Risks'!$A:$R,8,FALSE)</f>
        <v>Medium</v>
      </c>
      <c r="S10" s="206" t="str">
        <f>VLOOKUP($A10,'CCRA3 Risks'!$A:$R,9,FALSE)</f>
        <v>High</v>
      </c>
      <c r="T10" s="206" t="str">
        <f>VLOOKUP($A10,'CCRA3 Risks'!$A:$R,10,FALSE)</f>
        <v>High</v>
      </c>
      <c r="U10" s="206" t="str">
        <f>VLOOKUP($A10,'CCRA3 Risks'!$A:$R,11,FALSE)</f>
        <v>High</v>
      </c>
      <c r="V10" s="206" t="str">
        <f>VLOOKUP($A10,'CCRA3 Risks'!$A:$R,12,FALSE)</f>
        <v>High</v>
      </c>
      <c r="W10" s="206" t="str">
        <f>VLOOKUP($A10,'CCRA3 Risks'!$A:$R,13,FALSE)</f>
        <v>Partially</v>
      </c>
      <c r="X10" s="206" t="str">
        <f>VLOOKUP($A10,'CCRA3 Risks'!$A:$R,14,FALSE)</f>
        <v>More action needed</v>
      </c>
      <c r="Y10" s="206" t="str">
        <f>VLOOKUP($A10,'CCRA3 Risks'!$A:$R,15,FALSE)</f>
        <v>More action needed</v>
      </c>
      <c r="Z10" s="206" t="str">
        <f>VLOOKUP($A10,'CCRA3 Risks'!$A:$R,16,FALSE)</f>
        <v>Medium (5)</v>
      </c>
      <c r="AA10" s="206" t="str">
        <f>VLOOKUP($A10,'CCRA3 Risks'!$A:$R,17,FALSE)</f>
        <v>Medium (Amber)</v>
      </c>
      <c r="AB10" s="206" t="str">
        <f>VLOOKUP($A10,'CCRA3 Risks'!$A:$R,18,FALSE)</f>
        <v>Medium (New or reviewed coastal policies and implementation of renewed flood policies)</v>
      </c>
      <c r="AC10" s="202">
        <f>VLOOKUP($A10,'CCRA3 Risks'!$A:$AG,19,FALSE)</f>
        <v>0</v>
      </c>
      <c r="AD10" s="123">
        <f>VLOOKUP($A10,'CCRA3 Risks'!$A:$AG,20,FALSE)</f>
        <v>0</v>
      </c>
      <c r="AE10" s="123">
        <f>VLOOKUP($A10,'CCRA3 Risks'!$A:$AG,21,FALSE)</f>
        <v>0</v>
      </c>
      <c r="AF10" s="123">
        <f>VLOOKUP($A10,'CCRA3 Risks'!$A:$AG,22,FALSE)</f>
        <v>0</v>
      </c>
      <c r="AG10" s="123">
        <f>VLOOKUP($A10,'CCRA3 Risks'!$A:$AG,23,FALSE)</f>
        <v>0</v>
      </c>
      <c r="AH10" s="123">
        <f>VLOOKUP($A10,'CCRA3 Risks'!$A:$AG,24,FALSE)</f>
        <v>0</v>
      </c>
      <c r="AI10" s="123">
        <f>VLOOKUP($A10,'CCRA3 Risks'!$A:$AG,25,FALSE)</f>
        <v>0</v>
      </c>
      <c r="AJ10" s="123">
        <f>VLOOKUP($A10,'CCRA3 Risks'!$A:$AG,26,FALSE)</f>
        <v>0</v>
      </c>
      <c r="AK10" s="123">
        <f>VLOOKUP($A10,'CCRA3 Risks'!$A:$AG,27,FALSE)</f>
        <v>0</v>
      </c>
      <c r="AL10" s="123">
        <f>VLOOKUP($A10,'CCRA3 Risks'!$A:$AG,28,FALSE)</f>
        <v>0</v>
      </c>
      <c r="AM10" s="123">
        <f>VLOOKUP($A10,'CCRA3 Risks'!$A:$AG,29,FALSE)</f>
        <v>0</v>
      </c>
      <c r="AN10" s="123" t="str">
        <f>VLOOKUP($A10,'CCRA3 Risks'!$A:$AG,30,FALSE)</f>
        <v>Y</v>
      </c>
      <c r="AO10" s="123">
        <f>VLOOKUP($A10,'CCRA3 Risks'!$A:$AG,31,FALSE)</f>
        <v>0</v>
      </c>
      <c r="AP10" s="123">
        <f>VLOOKUP($A10,'CCRA3 Risks'!$A:$AG,32,FALSE)</f>
        <v>0</v>
      </c>
      <c r="AQ10" s="123">
        <f>VLOOKUP($A10,'CCRA3 Risks'!$A:$AG,33,FALSE)</f>
        <v>0</v>
      </c>
    </row>
    <row r="11" spans="1:43" ht="51" x14ac:dyDescent="0.25">
      <c r="A11" s="88" t="s">
        <v>211</v>
      </c>
      <c r="B11" s="88" t="s">
        <v>442</v>
      </c>
      <c r="C11" s="83" t="s">
        <v>443</v>
      </c>
      <c r="D11" s="83" t="s">
        <v>403</v>
      </c>
      <c r="E11" s="88" t="s">
        <v>67</v>
      </c>
      <c r="F11" s="83" t="s">
        <v>33</v>
      </c>
      <c r="G11" s="83" t="s">
        <v>30</v>
      </c>
      <c r="H11" s="83" t="s">
        <v>444</v>
      </c>
      <c r="I11" s="83"/>
      <c r="J11" s="83" t="s">
        <v>411</v>
      </c>
      <c r="K11" s="83" t="s">
        <v>445</v>
      </c>
      <c r="L11" s="88" t="s">
        <v>400</v>
      </c>
      <c r="M11" s="88" t="s">
        <v>424</v>
      </c>
      <c r="N11" s="206" t="str">
        <f>VLOOKUP($A11,'CCRA3 Risks'!$A:$R,2,FALSE)</f>
        <v>B2 Risks to business locations and infrastructure from coastal change from erosion, flooding and extreme weather events</v>
      </c>
      <c r="O11" s="206" t="str">
        <f>VLOOKUP($A11,'CCRA3 Risks'!$A:$R,3,FALSE)</f>
        <v>No</v>
      </c>
      <c r="P11" s="207">
        <f>VLOOKUP($A11,'CCRA3 Risks'!$A:$R,4,FALSE)</f>
        <v>6</v>
      </c>
      <c r="Q11" s="206" t="str">
        <f>VLOOKUP($A11,'CCRA3 Risks'!$A:$R,7,FALSE)</f>
        <v>England</v>
      </c>
      <c r="R11" s="206" t="str">
        <f>VLOOKUP($A11,'CCRA3 Risks'!$A:$R,8,FALSE)</f>
        <v>Medium</v>
      </c>
      <c r="S11" s="206" t="str">
        <f>VLOOKUP($A11,'CCRA3 Risks'!$A:$R,9,FALSE)</f>
        <v>High</v>
      </c>
      <c r="T11" s="206" t="str">
        <f>VLOOKUP($A11,'CCRA3 Risks'!$A:$R,10,FALSE)</f>
        <v>High</v>
      </c>
      <c r="U11" s="206" t="str">
        <f>VLOOKUP($A11,'CCRA3 Risks'!$A:$R,11,FALSE)</f>
        <v>High</v>
      </c>
      <c r="V11" s="206" t="str">
        <f>VLOOKUP($A11,'CCRA3 Risks'!$A:$R,12,FALSE)</f>
        <v>High</v>
      </c>
      <c r="W11" s="206" t="str">
        <f>VLOOKUP($A11,'CCRA3 Risks'!$A:$R,13,FALSE)</f>
        <v>Partially</v>
      </c>
      <c r="X11" s="206" t="str">
        <f>VLOOKUP($A11,'CCRA3 Risks'!$A:$R,14,FALSE)</f>
        <v>More action needed</v>
      </c>
      <c r="Y11" s="206" t="str">
        <f>VLOOKUP($A11,'CCRA3 Risks'!$A:$R,15,FALSE)</f>
        <v>More action needed</v>
      </c>
      <c r="Z11" s="206" t="str">
        <f>VLOOKUP($A11,'CCRA3 Risks'!$A:$R,16,FALSE)</f>
        <v>Medium (5)</v>
      </c>
      <c r="AA11" s="206" t="str">
        <f>VLOOKUP($A11,'CCRA3 Risks'!$A:$R,17,FALSE)</f>
        <v>Medium (Amber)</v>
      </c>
      <c r="AB11" s="206" t="str">
        <f>VLOOKUP($A11,'CCRA3 Risks'!$A:$R,18,FALSE)</f>
        <v>Medium (New or reviewed coastal policies and implementation of renewed flood policies)</v>
      </c>
      <c r="AC11" s="202">
        <f>VLOOKUP($A11,'CCRA3 Risks'!$A:$AG,19,FALSE)</f>
        <v>0</v>
      </c>
      <c r="AD11" s="123">
        <f>VLOOKUP($A11,'CCRA3 Risks'!$A:$AG,20,FALSE)</f>
        <v>0</v>
      </c>
      <c r="AE11" s="123">
        <f>VLOOKUP($A11,'CCRA3 Risks'!$A:$AG,21,FALSE)</f>
        <v>0</v>
      </c>
      <c r="AF11" s="123">
        <f>VLOOKUP($A11,'CCRA3 Risks'!$A:$AG,22,FALSE)</f>
        <v>0</v>
      </c>
      <c r="AG11" s="123">
        <f>VLOOKUP($A11,'CCRA3 Risks'!$A:$AG,23,FALSE)</f>
        <v>0</v>
      </c>
      <c r="AH11" s="123">
        <f>VLOOKUP($A11,'CCRA3 Risks'!$A:$AG,24,FALSE)</f>
        <v>0</v>
      </c>
      <c r="AI11" s="123">
        <f>VLOOKUP($A11,'CCRA3 Risks'!$A:$AG,25,FALSE)</f>
        <v>0</v>
      </c>
      <c r="AJ11" s="123">
        <f>VLOOKUP($A11,'CCRA3 Risks'!$A:$AG,26,FALSE)</f>
        <v>0</v>
      </c>
      <c r="AK11" s="123">
        <f>VLOOKUP($A11,'CCRA3 Risks'!$A:$AG,27,FALSE)</f>
        <v>0</v>
      </c>
      <c r="AL11" s="123">
        <f>VLOOKUP($A11,'CCRA3 Risks'!$A:$AG,28,FALSE)</f>
        <v>0</v>
      </c>
      <c r="AM11" s="123">
        <f>VLOOKUP($A11,'CCRA3 Risks'!$A:$AG,29,FALSE)</f>
        <v>0</v>
      </c>
      <c r="AN11" s="123" t="str">
        <f>VLOOKUP($A11,'CCRA3 Risks'!$A:$AG,30,FALSE)</f>
        <v>Y</v>
      </c>
      <c r="AO11" s="123">
        <f>VLOOKUP($A11,'CCRA3 Risks'!$A:$AG,31,FALSE)</f>
        <v>0</v>
      </c>
      <c r="AP11" s="123">
        <f>VLOOKUP($A11,'CCRA3 Risks'!$A:$AG,32,FALSE)</f>
        <v>0</v>
      </c>
      <c r="AQ11" s="123">
        <f>VLOOKUP($A11,'CCRA3 Risks'!$A:$AG,33,FALSE)</f>
        <v>0</v>
      </c>
    </row>
    <row r="12" spans="1:43" ht="89.25" x14ac:dyDescent="0.25">
      <c r="A12" s="88" t="s">
        <v>211</v>
      </c>
      <c r="B12" s="88" t="s">
        <v>446</v>
      </c>
      <c r="C12" s="83" t="s">
        <v>447</v>
      </c>
      <c r="D12" s="83" t="s">
        <v>403</v>
      </c>
      <c r="E12" s="88" t="s">
        <v>67</v>
      </c>
      <c r="F12" s="83" t="s">
        <v>33</v>
      </c>
      <c r="G12" s="83" t="s">
        <v>30</v>
      </c>
      <c r="H12" s="83" t="s">
        <v>448</v>
      </c>
      <c r="I12" s="83"/>
      <c r="J12" s="88" t="s">
        <v>398</v>
      </c>
      <c r="K12" s="83" t="s">
        <v>449</v>
      </c>
      <c r="L12" s="88" t="s">
        <v>400</v>
      </c>
      <c r="M12" s="88" t="s">
        <v>35</v>
      </c>
      <c r="N12" s="206" t="str">
        <f>VLOOKUP($A12,'CCRA3 Risks'!$A:$R,2,FALSE)</f>
        <v>B2 Risks to business locations and infrastructure from coastal change from erosion, flooding and extreme weather events</v>
      </c>
      <c r="O12" s="206" t="str">
        <f>VLOOKUP($A12,'CCRA3 Risks'!$A:$R,3,FALSE)</f>
        <v>No</v>
      </c>
      <c r="P12" s="207">
        <f>VLOOKUP($A12,'CCRA3 Risks'!$A:$R,4,FALSE)</f>
        <v>6</v>
      </c>
      <c r="Q12" s="206" t="str">
        <f>VLOOKUP($A12,'CCRA3 Risks'!$A:$R,7,FALSE)</f>
        <v>England</v>
      </c>
      <c r="R12" s="206" t="str">
        <f>VLOOKUP($A12,'CCRA3 Risks'!$A:$R,8,FALSE)</f>
        <v>Medium</v>
      </c>
      <c r="S12" s="206" t="str">
        <f>VLOOKUP($A12,'CCRA3 Risks'!$A:$R,9,FALSE)</f>
        <v>High</v>
      </c>
      <c r="T12" s="206" t="str">
        <f>VLOOKUP($A12,'CCRA3 Risks'!$A:$R,10,FALSE)</f>
        <v>High</v>
      </c>
      <c r="U12" s="206" t="str">
        <f>VLOOKUP($A12,'CCRA3 Risks'!$A:$R,11,FALSE)</f>
        <v>High</v>
      </c>
      <c r="V12" s="206" t="str">
        <f>VLOOKUP($A12,'CCRA3 Risks'!$A:$R,12,FALSE)</f>
        <v>High</v>
      </c>
      <c r="W12" s="206" t="str">
        <f>VLOOKUP($A12,'CCRA3 Risks'!$A:$R,13,FALSE)</f>
        <v>Partially</v>
      </c>
      <c r="X12" s="206" t="str">
        <f>VLOOKUP($A12,'CCRA3 Risks'!$A:$R,14,FALSE)</f>
        <v>More action needed</v>
      </c>
      <c r="Y12" s="206" t="str">
        <f>VLOOKUP($A12,'CCRA3 Risks'!$A:$R,15,FALSE)</f>
        <v>More action needed</v>
      </c>
      <c r="Z12" s="206" t="str">
        <f>VLOOKUP($A12,'CCRA3 Risks'!$A:$R,16,FALSE)</f>
        <v>Medium (5)</v>
      </c>
      <c r="AA12" s="206" t="str">
        <f>VLOOKUP($A12,'CCRA3 Risks'!$A:$R,17,FALSE)</f>
        <v>Medium (Amber)</v>
      </c>
      <c r="AB12" s="206" t="str">
        <f>VLOOKUP($A12,'CCRA3 Risks'!$A:$R,18,FALSE)</f>
        <v>Medium (New or reviewed coastal policies and implementation of renewed flood policies)</v>
      </c>
      <c r="AC12" s="202">
        <f>VLOOKUP($A12,'CCRA3 Risks'!$A:$AG,19,FALSE)</f>
        <v>0</v>
      </c>
      <c r="AD12" s="123">
        <f>VLOOKUP($A12,'CCRA3 Risks'!$A:$AG,20,FALSE)</f>
        <v>0</v>
      </c>
      <c r="AE12" s="123">
        <f>VLOOKUP($A12,'CCRA3 Risks'!$A:$AG,21,FALSE)</f>
        <v>0</v>
      </c>
      <c r="AF12" s="123">
        <f>VLOOKUP($A12,'CCRA3 Risks'!$A:$AG,22,FALSE)</f>
        <v>0</v>
      </c>
      <c r="AG12" s="123">
        <f>VLOOKUP($A12,'CCRA3 Risks'!$A:$AG,23,FALSE)</f>
        <v>0</v>
      </c>
      <c r="AH12" s="123">
        <f>VLOOKUP($A12,'CCRA3 Risks'!$A:$AG,24,FALSE)</f>
        <v>0</v>
      </c>
      <c r="AI12" s="123">
        <f>VLOOKUP($A12,'CCRA3 Risks'!$A:$AG,25,FALSE)</f>
        <v>0</v>
      </c>
      <c r="AJ12" s="123">
        <f>VLOOKUP($A12,'CCRA3 Risks'!$A:$AG,26,FALSE)</f>
        <v>0</v>
      </c>
      <c r="AK12" s="123">
        <f>VLOOKUP($A12,'CCRA3 Risks'!$A:$AG,27,FALSE)</f>
        <v>0</v>
      </c>
      <c r="AL12" s="123">
        <f>VLOOKUP($A12,'CCRA3 Risks'!$A:$AG,28,FALSE)</f>
        <v>0</v>
      </c>
      <c r="AM12" s="123">
        <f>VLOOKUP($A12,'CCRA3 Risks'!$A:$AG,29,FALSE)</f>
        <v>0</v>
      </c>
      <c r="AN12" s="123" t="str">
        <f>VLOOKUP($A12,'CCRA3 Risks'!$A:$AG,30,FALSE)</f>
        <v>Y</v>
      </c>
      <c r="AO12" s="123">
        <f>VLOOKUP($A12,'CCRA3 Risks'!$A:$AG,31,FALSE)</f>
        <v>0</v>
      </c>
      <c r="AP12" s="123">
        <f>VLOOKUP($A12,'CCRA3 Risks'!$A:$AG,32,FALSE)</f>
        <v>0</v>
      </c>
      <c r="AQ12" s="123">
        <f>VLOOKUP($A12,'CCRA3 Risks'!$A:$AG,33,FALSE)</f>
        <v>0</v>
      </c>
    </row>
    <row r="13" spans="1:43" ht="63.75" x14ac:dyDescent="0.25">
      <c r="A13" s="88" t="s">
        <v>211</v>
      </c>
      <c r="B13" s="88" t="s">
        <v>450</v>
      </c>
      <c r="C13" s="83" t="s">
        <v>451</v>
      </c>
      <c r="D13" s="83" t="s">
        <v>403</v>
      </c>
      <c r="E13" s="88" t="s">
        <v>67</v>
      </c>
      <c r="F13" s="83" t="s">
        <v>33</v>
      </c>
      <c r="G13" s="83" t="s">
        <v>30</v>
      </c>
      <c r="H13" s="83" t="s">
        <v>452</v>
      </c>
      <c r="I13" s="83"/>
      <c r="J13" s="88" t="s">
        <v>417</v>
      </c>
      <c r="K13" s="83" t="s">
        <v>453</v>
      </c>
      <c r="L13" s="88" t="s">
        <v>400</v>
      </c>
      <c r="M13" s="88" t="s">
        <v>454</v>
      </c>
      <c r="N13" s="206" t="str">
        <f>VLOOKUP($A13,'CCRA3 Risks'!$A:$R,2,FALSE)</f>
        <v>B2 Risks to business locations and infrastructure from coastal change from erosion, flooding and extreme weather events</v>
      </c>
      <c r="O13" s="206" t="str">
        <f>VLOOKUP($A13,'CCRA3 Risks'!$A:$R,3,FALSE)</f>
        <v>No</v>
      </c>
      <c r="P13" s="207">
        <f>VLOOKUP($A13,'CCRA3 Risks'!$A:$R,4,FALSE)</f>
        <v>6</v>
      </c>
      <c r="Q13" s="206" t="str">
        <f>VLOOKUP($A13,'CCRA3 Risks'!$A:$R,7,FALSE)</f>
        <v>England</v>
      </c>
      <c r="R13" s="206" t="str">
        <f>VLOOKUP($A13,'CCRA3 Risks'!$A:$R,8,FALSE)</f>
        <v>Medium</v>
      </c>
      <c r="S13" s="206" t="str">
        <f>VLOOKUP($A13,'CCRA3 Risks'!$A:$R,9,FALSE)</f>
        <v>High</v>
      </c>
      <c r="T13" s="206" t="str">
        <f>VLOOKUP($A13,'CCRA3 Risks'!$A:$R,10,FALSE)</f>
        <v>High</v>
      </c>
      <c r="U13" s="206" t="str">
        <f>VLOOKUP($A13,'CCRA3 Risks'!$A:$R,11,FALSE)</f>
        <v>High</v>
      </c>
      <c r="V13" s="206" t="str">
        <f>VLOOKUP($A13,'CCRA3 Risks'!$A:$R,12,FALSE)</f>
        <v>High</v>
      </c>
      <c r="W13" s="206" t="str">
        <f>VLOOKUP($A13,'CCRA3 Risks'!$A:$R,13,FALSE)</f>
        <v>Partially</v>
      </c>
      <c r="X13" s="206" t="str">
        <f>VLOOKUP($A13,'CCRA3 Risks'!$A:$R,14,FALSE)</f>
        <v>More action needed</v>
      </c>
      <c r="Y13" s="206" t="str">
        <f>VLOOKUP($A13,'CCRA3 Risks'!$A:$R,15,FALSE)</f>
        <v>More action needed</v>
      </c>
      <c r="Z13" s="206" t="str">
        <f>VLOOKUP($A13,'CCRA3 Risks'!$A:$R,16,FALSE)</f>
        <v>Medium (5)</v>
      </c>
      <c r="AA13" s="206" t="str">
        <f>VLOOKUP($A13,'CCRA3 Risks'!$A:$R,17,FALSE)</f>
        <v>Medium (Amber)</v>
      </c>
      <c r="AB13" s="206" t="str">
        <f>VLOOKUP($A13,'CCRA3 Risks'!$A:$R,18,FALSE)</f>
        <v>Medium (New or reviewed coastal policies and implementation of renewed flood policies)</v>
      </c>
      <c r="AC13" s="202">
        <f>VLOOKUP($A13,'CCRA3 Risks'!$A:$AG,19,FALSE)</f>
        <v>0</v>
      </c>
      <c r="AD13" s="123">
        <f>VLOOKUP($A13,'CCRA3 Risks'!$A:$AG,20,FALSE)</f>
        <v>0</v>
      </c>
      <c r="AE13" s="123">
        <f>VLOOKUP($A13,'CCRA3 Risks'!$A:$AG,21,FALSE)</f>
        <v>0</v>
      </c>
      <c r="AF13" s="123">
        <f>VLOOKUP($A13,'CCRA3 Risks'!$A:$AG,22,FALSE)</f>
        <v>0</v>
      </c>
      <c r="AG13" s="123">
        <f>VLOOKUP($A13,'CCRA3 Risks'!$A:$AG,23,FALSE)</f>
        <v>0</v>
      </c>
      <c r="AH13" s="123">
        <f>VLOOKUP($A13,'CCRA3 Risks'!$A:$AG,24,FALSE)</f>
        <v>0</v>
      </c>
      <c r="AI13" s="123">
        <f>VLOOKUP($A13,'CCRA3 Risks'!$A:$AG,25,FALSE)</f>
        <v>0</v>
      </c>
      <c r="AJ13" s="123">
        <f>VLOOKUP($A13,'CCRA3 Risks'!$A:$AG,26,FALSE)</f>
        <v>0</v>
      </c>
      <c r="AK13" s="123">
        <f>VLOOKUP($A13,'CCRA3 Risks'!$A:$AG,27,FALSE)</f>
        <v>0</v>
      </c>
      <c r="AL13" s="123">
        <f>VLOOKUP($A13,'CCRA3 Risks'!$A:$AG,28,FALSE)</f>
        <v>0</v>
      </c>
      <c r="AM13" s="123">
        <f>VLOOKUP($A13,'CCRA3 Risks'!$A:$AG,29,FALSE)</f>
        <v>0</v>
      </c>
      <c r="AN13" s="123" t="str">
        <f>VLOOKUP($A13,'CCRA3 Risks'!$A:$AG,30,FALSE)</f>
        <v>Y</v>
      </c>
      <c r="AO13" s="123">
        <f>VLOOKUP($A13,'CCRA3 Risks'!$A:$AG,31,FALSE)</f>
        <v>0</v>
      </c>
      <c r="AP13" s="123">
        <f>VLOOKUP($A13,'CCRA3 Risks'!$A:$AG,32,FALSE)</f>
        <v>0</v>
      </c>
      <c r="AQ13" s="123">
        <f>VLOOKUP($A13,'CCRA3 Risks'!$A:$AG,33,FALSE)</f>
        <v>0</v>
      </c>
    </row>
    <row r="14" spans="1:43" ht="127.5" x14ac:dyDescent="0.25">
      <c r="A14" s="88" t="s">
        <v>211</v>
      </c>
      <c r="B14" s="88" t="s">
        <v>455</v>
      </c>
      <c r="C14" s="83" t="s">
        <v>456</v>
      </c>
      <c r="D14" s="83" t="s">
        <v>403</v>
      </c>
      <c r="E14" s="88" t="s">
        <v>67</v>
      </c>
      <c r="F14" s="83" t="s">
        <v>421</v>
      </c>
      <c r="G14" s="83" t="s">
        <v>53</v>
      </c>
      <c r="H14" s="83" t="s">
        <v>457</v>
      </c>
      <c r="I14" s="83"/>
      <c r="J14" s="88" t="s">
        <v>417</v>
      </c>
      <c r="K14" s="83" t="s">
        <v>458</v>
      </c>
      <c r="L14" s="88" t="s">
        <v>400</v>
      </c>
      <c r="M14" s="88" t="s">
        <v>424</v>
      </c>
      <c r="N14" s="206" t="str">
        <f>VLOOKUP($A14,'CCRA3 Risks'!$A:$R,2,FALSE)</f>
        <v>B2 Risks to business locations and infrastructure from coastal change from erosion, flooding and extreme weather events</v>
      </c>
      <c r="O14" s="206" t="str">
        <f>VLOOKUP($A14,'CCRA3 Risks'!$A:$R,3,FALSE)</f>
        <v>No</v>
      </c>
      <c r="P14" s="207">
        <f>VLOOKUP($A14,'CCRA3 Risks'!$A:$R,4,FALSE)</f>
        <v>6</v>
      </c>
      <c r="Q14" s="206" t="str">
        <f>VLOOKUP($A14,'CCRA3 Risks'!$A:$R,7,FALSE)</f>
        <v>England</v>
      </c>
      <c r="R14" s="206" t="str">
        <f>VLOOKUP($A14,'CCRA3 Risks'!$A:$R,8,FALSE)</f>
        <v>Medium</v>
      </c>
      <c r="S14" s="206" t="str">
        <f>VLOOKUP($A14,'CCRA3 Risks'!$A:$R,9,FALSE)</f>
        <v>High</v>
      </c>
      <c r="T14" s="206" t="str">
        <f>VLOOKUP($A14,'CCRA3 Risks'!$A:$R,10,FALSE)</f>
        <v>High</v>
      </c>
      <c r="U14" s="206" t="str">
        <f>VLOOKUP($A14,'CCRA3 Risks'!$A:$R,11,FALSE)</f>
        <v>High</v>
      </c>
      <c r="V14" s="206" t="str">
        <f>VLOOKUP($A14,'CCRA3 Risks'!$A:$R,12,FALSE)</f>
        <v>High</v>
      </c>
      <c r="W14" s="206" t="str">
        <f>VLOOKUP($A14,'CCRA3 Risks'!$A:$R,13,FALSE)</f>
        <v>Partially</v>
      </c>
      <c r="X14" s="206" t="str">
        <f>VLOOKUP($A14,'CCRA3 Risks'!$A:$R,14,FALSE)</f>
        <v>More action needed</v>
      </c>
      <c r="Y14" s="206" t="str">
        <f>VLOOKUP($A14,'CCRA3 Risks'!$A:$R,15,FALSE)</f>
        <v>More action needed</v>
      </c>
      <c r="Z14" s="206" t="str">
        <f>VLOOKUP($A14,'CCRA3 Risks'!$A:$R,16,FALSE)</f>
        <v>Medium (5)</v>
      </c>
      <c r="AA14" s="206" t="str">
        <f>VLOOKUP($A14,'CCRA3 Risks'!$A:$R,17,FALSE)</f>
        <v>Medium (Amber)</v>
      </c>
      <c r="AB14" s="206" t="str">
        <f>VLOOKUP($A14,'CCRA3 Risks'!$A:$R,18,FALSE)</f>
        <v>Medium (New or reviewed coastal policies and implementation of renewed flood policies)</v>
      </c>
      <c r="AC14" s="202">
        <f>VLOOKUP($A14,'CCRA3 Risks'!$A:$AG,19,FALSE)</f>
        <v>0</v>
      </c>
      <c r="AD14" s="123">
        <f>VLOOKUP($A14,'CCRA3 Risks'!$A:$AG,20,FALSE)</f>
        <v>0</v>
      </c>
      <c r="AE14" s="123">
        <f>VLOOKUP($A14,'CCRA3 Risks'!$A:$AG,21,FALSE)</f>
        <v>0</v>
      </c>
      <c r="AF14" s="123">
        <f>VLOOKUP($A14,'CCRA3 Risks'!$A:$AG,22,FALSE)</f>
        <v>0</v>
      </c>
      <c r="AG14" s="123">
        <f>VLOOKUP($A14,'CCRA3 Risks'!$A:$AG,23,FALSE)</f>
        <v>0</v>
      </c>
      <c r="AH14" s="123">
        <f>VLOOKUP($A14,'CCRA3 Risks'!$A:$AG,24,FALSE)</f>
        <v>0</v>
      </c>
      <c r="AI14" s="123">
        <f>VLOOKUP($A14,'CCRA3 Risks'!$A:$AG,25,FALSE)</f>
        <v>0</v>
      </c>
      <c r="AJ14" s="123">
        <f>VLOOKUP($A14,'CCRA3 Risks'!$A:$AG,26,FALSE)</f>
        <v>0</v>
      </c>
      <c r="AK14" s="123">
        <f>VLOOKUP($A14,'CCRA3 Risks'!$A:$AG,27,FALSE)</f>
        <v>0</v>
      </c>
      <c r="AL14" s="123">
        <f>VLOOKUP($A14,'CCRA3 Risks'!$A:$AG,28,FALSE)</f>
        <v>0</v>
      </c>
      <c r="AM14" s="123">
        <f>VLOOKUP($A14,'CCRA3 Risks'!$A:$AG,29,FALSE)</f>
        <v>0</v>
      </c>
      <c r="AN14" s="123" t="str">
        <f>VLOOKUP($A14,'CCRA3 Risks'!$A:$AG,30,FALSE)</f>
        <v>Y</v>
      </c>
      <c r="AO14" s="123">
        <f>VLOOKUP($A14,'CCRA3 Risks'!$A:$AG,31,FALSE)</f>
        <v>0</v>
      </c>
      <c r="AP14" s="123">
        <f>VLOOKUP($A14,'CCRA3 Risks'!$A:$AG,32,FALSE)</f>
        <v>0</v>
      </c>
      <c r="AQ14" s="123">
        <f>VLOOKUP($A14,'CCRA3 Risks'!$A:$AG,33,FALSE)</f>
        <v>0</v>
      </c>
    </row>
    <row r="15" spans="1:43" ht="140.25" x14ac:dyDescent="0.25">
      <c r="A15" s="88" t="s">
        <v>211</v>
      </c>
      <c r="B15" s="88" t="s">
        <v>459</v>
      </c>
      <c r="C15" s="83" t="s">
        <v>460</v>
      </c>
      <c r="D15" s="83" t="s">
        <v>461</v>
      </c>
      <c r="E15" s="88" t="s">
        <v>67</v>
      </c>
      <c r="F15" s="83" t="s">
        <v>33</v>
      </c>
      <c r="G15" s="83" t="s">
        <v>30</v>
      </c>
      <c r="H15" s="83" t="s">
        <v>462</v>
      </c>
      <c r="I15" s="83"/>
      <c r="J15" s="88" t="s">
        <v>463</v>
      </c>
      <c r="K15" s="83" t="s">
        <v>464</v>
      </c>
      <c r="L15" s="88" t="s">
        <v>400</v>
      </c>
      <c r="M15" s="88" t="s">
        <v>424</v>
      </c>
      <c r="N15" s="206" t="str">
        <f>VLOOKUP($A15,'CCRA3 Risks'!$A:$R,2,FALSE)</f>
        <v>B2 Risks to business locations and infrastructure from coastal change from erosion, flooding and extreme weather events</v>
      </c>
      <c r="O15" s="206" t="str">
        <f>VLOOKUP($A15,'CCRA3 Risks'!$A:$R,3,FALSE)</f>
        <v>No</v>
      </c>
      <c r="P15" s="207">
        <f>VLOOKUP($A15,'CCRA3 Risks'!$A:$R,4,FALSE)</f>
        <v>6</v>
      </c>
      <c r="Q15" s="206" t="str">
        <f>VLOOKUP($A15,'CCRA3 Risks'!$A:$R,7,FALSE)</f>
        <v>England</v>
      </c>
      <c r="R15" s="206" t="str">
        <f>VLOOKUP($A15,'CCRA3 Risks'!$A:$R,8,FALSE)</f>
        <v>Medium</v>
      </c>
      <c r="S15" s="206" t="str">
        <f>VLOOKUP($A15,'CCRA3 Risks'!$A:$R,9,FALSE)</f>
        <v>High</v>
      </c>
      <c r="T15" s="206" t="str">
        <f>VLOOKUP($A15,'CCRA3 Risks'!$A:$R,10,FALSE)</f>
        <v>High</v>
      </c>
      <c r="U15" s="206" t="str">
        <f>VLOOKUP($A15,'CCRA3 Risks'!$A:$R,11,FALSE)</f>
        <v>High</v>
      </c>
      <c r="V15" s="206" t="str">
        <f>VLOOKUP($A15,'CCRA3 Risks'!$A:$R,12,FALSE)</f>
        <v>High</v>
      </c>
      <c r="W15" s="206" t="str">
        <f>VLOOKUP($A15,'CCRA3 Risks'!$A:$R,13,FALSE)</f>
        <v>Partially</v>
      </c>
      <c r="X15" s="206" t="str">
        <f>VLOOKUP($A15,'CCRA3 Risks'!$A:$R,14,FALSE)</f>
        <v>More action needed</v>
      </c>
      <c r="Y15" s="206" t="str">
        <f>VLOOKUP($A15,'CCRA3 Risks'!$A:$R,15,FALSE)</f>
        <v>More action needed</v>
      </c>
      <c r="Z15" s="206" t="str">
        <f>VLOOKUP($A15,'CCRA3 Risks'!$A:$R,16,FALSE)</f>
        <v>Medium (5)</v>
      </c>
      <c r="AA15" s="206" t="str">
        <f>VLOOKUP($A15,'CCRA3 Risks'!$A:$R,17,FALSE)</f>
        <v>Medium (Amber)</v>
      </c>
      <c r="AB15" s="206" t="str">
        <f>VLOOKUP($A15,'CCRA3 Risks'!$A:$R,18,FALSE)</f>
        <v>Medium (New or reviewed coastal policies and implementation of renewed flood policies)</v>
      </c>
      <c r="AC15" s="202">
        <f>VLOOKUP($A15,'CCRA3 Risks'!$A:$AG,19,FALSE)</f>
        <v>0</v>
      </c>
      <c r="AD15" s="123">
        <f>VLOOKUP($A15,'CCRA3 Risks'!$A:$AG,20,FALSE)</f>
        <v>0</v>
      </c>
      <c r="AE15" s="123">
        <f>VLOOKUP($A15,'CCRA3 Risks'!$A:$AG,21,FALSE)</f>
        <v>0</v>
      </c>
      <c r="AF15" s="123">
        <f>VLOOKUP($A15,'CCRA3 Risks'!$A:$AG,22,FALSE)</f>
        <v>0</v>
      </c>
      <c r="AG15" s="123">
        <f>VLOOKUP($A15,'CCRA3 Risks'!$A:$AG,23,FALSE)</f>
        <v>0</v>
      </c>
      <c r="AH15" s="123">
        <f>VLOOKUP($A15,'CCRA3 Risks'!$A:$AG,24,FALSE)</f>
        <v>0</v>
      </c>
      <c r="AI15" s="123">
        <f>VLOOKUP($A15,'CCRA3 Risks'!$A:$AG,25,FALSE)</f>
        <v>0</v>
      </c>
      <c r="AJ15" s="123">
        <f>VLOOKUP($A15,'CCRA3 Risks'!$A:$AG,26,FALSE)</f>
        <v>0</v>
      </c>
      <c r="AK15" s="123">
        <f>VLOOKUP($A15,'CCRA3 Risks'!$A:$AG,27,FALSE)</f>
        <v>0</v>
      </c>
      <c r="AL15" s="123">
        <f>VLOOKUP($A15,'CCRA3 Risks'!$A:$AG,28,FALSE)</f>
        <v>0</v>
      </c>
      <c r="AM15" s="123">
        <f>VLOOKUP($A15,'CCRA3 Risks'!$A:$AG,29,FALSE)</f>
        <v>0</v>
      </c>
      <c r="AN15" s="123" t="str">
        <f>VLOOKUP($A15,'CCRA3 Risks'!$A:$AG,30,FALSE)</f>
        <v>Y</v>
      </c>
      <c r="AO15" s="123">
        <f>VLOOKUP($A15,'CCRA3 Risks'!$A:$AG,31,FALSE)</f>
        <v>0</v>
      </c>
      <c r="AP15" s="123">
        <f>VLOOKUP($A15,'CCRA3 Risks'!$A:$AG,32,FALSE)</f>
        <v>0</v>
      </c>
      <c r="AQ15" s="123">
        <f>VLOOKUP($A15,'CCRA3 Risks'!$A:$AG,33,FALSE)</f>
        <v>0</v>
      </c>
    </row>
    <row r="16" spans="1:43" ht="102" x14ac:dyDescent="0.25">
      <c r="A16" s="88" t="s">
        <v>214</v>
      </c>
      <c r="B16" s="88" t="s">
        <v>465</v>
      </c>
      <c r="C16" s="83" t="s">
        <v>466</v>
      </c>
      <c r="D16" s="83" t="s">
        <v>461</v>
      </c>
      <c r="E16" s="88" t="s">
        <v>19</v>
      </c>
      <c r="F16" s="83" t="s">
        <v>396</v>
      </c>
      <c r="G16" s="83" t="s">
        <v>53</v>
      </c>
      <c r="H16" s="83" t="s">
        <v>467</v>
      </c>
      <c r="I16" s="88"/>
      <c r="J16" s="88" t="s">
        <v>398</v>
      </c>
      <c r="K16" s="203" t="s">
        <v>468</v>
      </c>
      <c r="L16" s="88" t="s">
        <v>400</v>
      </c>
      <c r="M16" s="83" t="s">
        <v>469</v>
      </c>
      <c r="N16" s="206" t="str">
        <f>VLOOKUP($A16,'CCRA3 Risks'!$A:$R,2,FALSE)</f>
        <v>B3 Risks to businesses from water scarcity</v>
      </c>
      <c r="O16" s="206" t="str">
        <f>VLOOKUP($A16,'CCRA3 Risks'!$A:$R,3,FALSE)</f>
        <v>No</v>
      </c>
      <c r="P16" s="207">
        <f>VLOOKUP($A16,'CCRA3 Risks'!$A:$R,4,FALSE)</f>
        <v>6</v>
      </c>
      <c r="Q16" s="206" t="str">
        <f>VLOOKUP($A16,'CCRA3 Risks'!$A:$R,7,FALSE)</f>
        <v>England</v>
      </c>
      <c r="R16" s="206" t="str">
        <f>VLOOKUP($A16,'CCRA3 Risks'!$A:$R,8,FALSE)</f>
        <v>Low</v>
      </c>
      <c r="S16" s="206" t="str">
        <f>VLOOKUP($A16,'CCRA3 Risks'!$A:$R,9,FALSE)</f>
        <v>Medium</v>
      </c>
      <c r="T16" s="206" t="str">
        <f>VLOOKUP($A16,'CCRA3 Risks'!$A:$R,10,FALSE)</f>
        <v>Medium</v>
      </c>
      <c r="U16" s="206" t="str">
        <f>VLOOKUP($A16,'CCRA3 Risks'!$A:$R,11,FALSE)</f>
        <v>Medium</v>
      </c>
      <c r="V16" s="206" t="str">
        <f>VLOOKUP($A16,'CCRA3 Risks'!$A:$R,12,FALSE)</f>
        <v>High</v>
      </c>
      <c r="W16" s="206" t="str">
        <f>VLOOKUP($A16,'CCRA3 Risks'!$A:$R,13,FALSE)</f>
        <v>Partially</v>
      </c>
      <c r="X16" s="206" t="str">
        <f>VLOOKUP($A16,'CCRA3 Risks'!$A:$R,14,FALSE)</f>
        <v>Further investigation</v>
      </c>
      <c r="Y16" s="206" t="str">
        <f>VLOOKUP($A16,'CCRA3 Risks'!$A:$R,15,FALSE)</f>
        <v>Further Investigation</v>
      </c>
      <c r="Z16" s="206" t="str">
        <f>VLOOKUP($A16,'CCRA3 Risks'!$A:$R,16,FALSE)</f>
        <v>Medium (5)</v>
      </c>
      <c r="AA16" s="206" t="str">
        <f>VLOOKUP($A16,'CCRA3 Risks'!$A:$R,17,FALSE)</f>
        <v>High (Green)</v>
      </c>
      <c r="AB16" s="206" t="str">
        <f>VLOOKUP($A16,'CCRA3 Risks'!$A:$R,18,FALSE)</f>
        <v>Low (no key policies in the next two years)</v>
      </c>
      <c r="AC16" s="202">
        <f>VLOOKUP($A16,'CCRA3 Risks'!$A:$AG,19,FALSE)</f>
        <v>0</v>
      </c>
      <c r="AD16" s="123">
        <f>VLOOKUP($A16,'CCRA3 Risks'!$A:$AG,20,FALSE)</f>
        <v>0</v>
      </c>
      <c r="AE16" s="123">
        <f>VLOOKUP($A16,'CCRA3 Risks'!$A:$AG,21,FALSE)</f>
        <v>0</v>
      </c>
      <c r="AF16" s="123">
        <f>VLOOKUP($A16,'CCRA3 Risks'!$A:$AG,22,FALSE)</f>
        <v>0</v>
      </c>
      <c r="AG16" s="123">
        <f>VLOOKUP($A16,'CCRA3 Risks'!$A:$AG,23,FALSE)</f>
        <v>0</v>
      </c>
      <c r="AH16" s="123">
        <f>VLOOKUP($A16,'CCRA3 Risks'!$A:$AG,24,FALSE)</f>
        <v>0</v>
      </c>
      <c r="AI16" s="123">
        <f>VLOOKUP($A16,'CCRA3 Risks'!$A:$AG,25,FALSE)</f>
        <v>0</v>
      </c>
      <c r="AJ16" s="123">
        <f>VLOOKUP($A16,'CCRA3 Risks'!$A:$AG,26,FALSE)</f>
        <v>0</v>
      </c>
      <c r="AK16" s="123">
        <f>VLOOKUP($A16,'CCRA3 Risks'!$A:$AG,27,FALSE)</f>
        <v>0</v>
      </c>
      <c r="AL16" s="123">
        <f>VLOOKUP($A16,'CCRA3 Risks'!$A:$AG,28,FALSE)</f>
        <v>0</v>
      </c>
      <c r="AM16" s="123">
        <f>VLOOKUP($A16,'CCRA3 Risks'!$A:$AG,29,FALSE)</f>
        <v>0</v>
      </c>
      <c r="AN16" s="123" t="str">
        <f>VLOOKUP($A16,'CCRA3 Risks'!$A:$AG,30,FALSE)</f>
        <v>Y</v>
      </c>
      <c r="AO16" s="123">
        <f>VLOOKUP($A16,'CCRA3 Risks'!$A:$AG,31,FALSE)</f>
        <v>0</v>
      </c>
      <c r="AP16" s="123">
        <f>VLOOKUP($A16,'CCRA3 Risks'!$A:$AG,32,FALSE)</f>
        <v>0</v>
      </c>
      <c r="AQ16" s="123">
        <f>VLOOKUP($A16,'CCRA3 Risks'!$A:$AG,33,FALSE)</f>
        <v>0</v>
      </c>
    </row>
    <row r="17" spans="1:43" ht="216.75" x14ac:dyDescent="0.25">
      <c r="A17" s="88" t="s">
        <v>214</v>
      </c>
      <c r="B17" s="88" t="s">
        <v>470</v>
      </c>
      <c r="C17" s="83" t="s">
        <v>471</v>
      </c>
      <c r="D17" s="83" t="s">
        <v>461</v>
      </c>
      <c r="E17" s="88" t="s">
        <v>67</v>
      </c>
      <c r="F17" s="83" t="s">
        <v>472</v>
      </c>
      <c r="G17" s="83" t="s">
        <v>53</v>
      </c>
      <c r="H17" s="83" t="s">
        <v>473</v>
      </c>
      <c r="I17" s="88"/>
      <c r="J17" s="88" t="s">
        <v>463</v>
      </c>
      <c r="K17" s="83" t="s">
        <v>474</v>
      </c>
      <c r="L17" s="88" t="s">
        <v>400</v>
      </c>
      <c r="M17" s="83" t="s">
        <v>475</v>
      </c>
      <c r="N17" s="206" t="str">
        <f>VLOOKUP($A17,'CCRA3 Risks'!$A:$R,2,FALSE)</f>
        <v>B3 Risks to businesses from water scarcity</v>
      </c>
      <c r="O17" s="206" t="str">
        <f>VLOOKUP($A17,'CCRA3 Risks'!$A:$R,3,FALSE)</f>
        <v>No</v>
      </c>
      <c r="P17" s="207">
        <f>VLOOKUP($A17,'CCRA3 Risks'!$A:$R,4,FALSE)</f>
        <v>6</v>
      </c>
      <c r="Q17" s="206" t="str">
        <f>VLOOKUP($A17,'CCRA3 Risks'!$A:$R,7,FALSE)</f>
        <v>England</v>
      </c>
      <c r="R17" s="206" t="str">
        <f>VLOOKUP($A17,'CCRA3 Risks'!$A:$R,8,FALSE)</f>
        <v>Low</v>
      </c>
      <c r="S17" s="206" t="str">
        <f>VLOOKUP($A17,'CCRA3 Risks'!$A:$R,9,FALSE)</f>
        <v>Medium</v>
      </c>
      <c r="T17" s="206" t="str">
        <f>VLOOKUP($A17,'CCRA3 Risks'!$A:$R,10,FALSE)</f>
        <v>Medium</v>
      </c>
      <c r="U17" s="206" t="str">
        <f>VLOOKUP($A17,'CCRA3 Risks'!$A:$R,11,FALSE)</f>
        <v>Medium</v>
      </c>
      <c r="V17" s="206" t="str">
        <f>VLOOKUP($A17,'CCRA3 Risks'!$A:$R,12,FALSE)</f>
        <v>High</v>
      </c>
      <c r="W17" s="206" t="str">
        <f>VLOOKUP($A17,'CCRA3 Risks'!$A:$R,13,FALSE)</f>
        <v>Partially</v>
      </c>
      <c r="X17" s="206" t="str">
        <f>VLOOKUP($A17,'CCRA3 Risks'!$A:$R,14,FALSE)</f>
        <v>Further investigation</v>
      </c>
      <c r="Y17" s="206" t="str">
        <f>VLOOKUP($A17,'CCRA3 Risks'!$A:$R,15,FALSE)</f>
        <v>Further Investigation</v>
      </c>
      <c r="Z17" s="206" t="str">
        <f>VLOOKUP($A17,'CCRA3 Risks'!$A:$R,16,FALSE)</f>
        <v>Medium (5)</v>
      </c>
      <c r="AA17" s="206" t="str">
        <f>VLOOKUP($A17,'CCRA3 Risks'!$A:$R,17,FALSE)</f>
        <v>High (Green)</v>
      </c>
      <c r="AB17" s="206" t="str">
        <f>VLOOKUP($A17,'CCRA3 Risks'!$A:$R,18,FALSE)</f>
        <v>Low (no key policies in the next two years)</v>
      </c>
      <c r="AC17" s="202">
        <f>VLOOKUP($A17,'CCRA3 Risks'!$A:$AG,19,FALSE)</f>
        <v>0</v>
      </c>
      <c r="AD17" s="123">
        <f>VLOOKUP($A17,'CCRA3 Risks'!$A:$AG,20,FALSE)</f>
        <v>0</v>
      </c>
      <c r="AE17" s="123">
        <f>VLOOKUP($A17,'CCRA3 Risks'!$A:$AG,21,FALSE)</f>
        <v>0</v>
      </c>
      <c r="AF17" s="123">
        <f>VLOOKUP($A17,'CCRA3 Risks'!$A:$AG,22,FALSE)</f>
        <v>0</v>
      </c>
      <c r="AG17" s="123">
        <f>VLOOKUP($A17,'CCRA3 Risks'!$A:$AG,23,FALSE)</f>
        <v>0</v>
      </c>
      <c r="AH17" s="123">
        <f>VLOOKUP($A17,'CCRA3 Risks'!$A:$AG,24,FALSE)</f>
        <v>0</v>
      </c>
      <c r="AI17" s="123">
        <f>VLOOKUP($A17,'CCRA3 Risks'!$A:$AG,25,FALSE)</f>
        <v>0</v>
      </c>
      <c r="AJ17" s="123">
        <f>VLOOKUP($A17,'CCRA3 Risks'!$A:$AG,26,FALSE)</f>
        <v>0</v>
      </c>
      <c r="AK17" s="123">
        <f>VLOOKUP($A17,'CCRA3 Risks'!$A:$AG,27,FALSE)</f>
        <v>0</v>
      </c>
      <c r="AL17" s="123">
        <f>VLOOKUP($A17,'CCRA3 Risks'!$A:$AG,28,FALSE)</f>
        <v>0</v>
      </c>
      <c r="AM17" s="123">
        <f>VLOOKUP($A17,'CCRA3 Risks'!$A:$AG,29,FALSE)</f>
        <v>0</v>
      </c>
      <c r="AN17" s="123" t="str">
        <f>VLOOKUP($A17,'CCRA3 Risks'!$A:$AG,30,FALSE)</f>
        <v>Y</v>
      </c>
      <c r="AO17" s="123">
        <f>VLOOKUP($A17,'CCRA3 Risks'!$A:$AG,31,FALSE)</f>
        <v>0</v>
      </c>
      <c r="AP17" s="123">
        <f>VLOOKUP($A17,'CCRA3 Risks'!$A:$AG,32,FALSE)</f>
        <v>0</v>
      </c>
      <c r="AQ17" s="123">
        <f>VLOOKUP($A17,'CCRA3 Risks'!$A:$AG,33,FALSE)</f>
        <v>0</v>
      </c>
    </row>
    <row r="18" spans="1:43" ht="51" x14ac:dyDescent="0.25">
      <c r="A18" s="88" t="s">
        <v>214</v>
      </c>
      <c r="B18" s="88" t="s">
        <v>476</v>
      </c>
      <c r="C18" s="83" t="s">
        <v>477</v>
      </c>
      <c r="D18" s="83" t="s">
        <v>461</v>
      </c>
      <c r="E18" s="88" t="s">
        <v>67</v>
      </c>
      <c r="F18" s="83" t="s">
        <v>396</v>
      </c>
      <c r="G18" s="83" t="s">
        <v>53</v>
      </c>
      <c r="H18" s="82" t="s">
        <v>478</v>
      </c>
      <c r="I18" s="88"/>
      <c r="J18" s="88" t="s">
        <v>417</v>
      </c>
      <c r="K18" s="83" t="s">
        <v>479</v>
      </c>
      <c r="L18" s="88" t="s">
        <v>400</v>
      </c>
      <c r="M18" s="88" t="s">
        <v>480</v>
      </c>
      <c r="N18" s="206" t="str">
        <f>VLOOKUP($A18,'CCRA3 Risks'!$A:$R,2,FALSE)</f>
        <v>B3 Risks to businesses from water scarcity</v>
      </c>
      <c r="O18" s="206" t="str">
        <f>VLOOKUP($A18,'CCRA3 Risks'!$A:$R,3,FALSE)</f>
        <v>No</v>
      </c>
      <c r="P18" s="207">
        <f>VLOOKUP($A18,'CCRA3 Risks'!$A:$R,4,FALSE)</f>
        <v>6</v>
      </c>
      <c r="Q18" s="206" t="str">
        <f>VLOOKUP($A18,'CCRA3 Risks'!$A:$R,7,FALSE)</f>
        <v>England</v>
      </c>
      <c r="R18" s="206" t="str">
        <f>VLOOKUP($A18,'CCRA3 Risks'!$A:$R,8,FALSE)</f>
        <v>Low</v>
      </c>
      <c r="S18" s="206" t="str">
        <f>VLOOKUP($A18,'CCRA3 Risks'!$A:$R,9,FALSE)</f>
        <v>Medium</v>
      </c>
      <c r="T18" s="206" t="str">
        <f>VLOOKUP($A18,'CCRA3 Risks'!$A:$R,10,FALSE)</f>
        <v>Medium</v>
      </c>
      <c r="U18" s="206" t="str">
        <f>VLOOKUP($A18,'CCRA3 Risks'!$A:$R,11,FALSE)</f>
        <v>Medium</v>
      </c>
      <c r="V18" s="206" t="str">
        <f>VLOOKUP($A18,'CCRA3 Risks'!$A:$R,12,FALSE)</f>
        <v>High</v>
      </c>
      <c r="W18" s="206" t="str">
        <f>VLOOKUP($A18,'CCRA3 Risks'!$A:$R,13,FALSE)</f>
        <v>Partially</v>
      </c>
      <c r="X18" s="206" t="str">
        <f>VLOOKUP($A18,'CCRA3 Risks'!$A:$R,14,FALSE)</f>
        <v>Further investigation</v>
      </c>
      <c r="Y18" s="206" t="str">
        <f>VLOOKUP($A18,'CCRA3 Risks'!$A:$R,15,FALSE)</f>
        <v>Further Investigation</v>
      </c>
      <c r="Z18" s="206" t="str">
        <f>VLOOKUP($A18,'CCRA3 Risks'!$A:$R,16,FALSE)</f>
        <v>Medium (5)</v>
      </c>
      <c r="AA18" s="206" t="str">
        <f>VLOOKUP($A18,'CCRA3 Risks'!$A:$R,17,FALSE)</f>
        <v>High (Green)</v>
      </c>
      <c r="AB18" s="206" t="str">
        <f>VLOOKUP($A18,'CCRA3 Risks'!$A:$R,18,FALSE)</f>
        <v>Low (no key policies in the next two years)</v>
      </c>
      <c r="AC18" s="202">
        <f>VLOOKUP($A18,'CCRA3 Risks'!$A:$AG,19,FALSE)</f>
        <v>0</v>
      </c>
      <c r="AD18" s="123">
        <f>VLOOKUP($A18,'CCRA3 Risks'!$A:$AG,20,FALSE)</f>
        <v>0</v>
      </c>
      <c r="AE18" s="123">
        <f>VLOOKUP($A18,'CCRA3 Risks'!$A:$AG,21,FALSE)</f>
        <v>0</v>
      </c>
      <c r="AF18" s="123">
        <f>VLOOKUP($A18,'CCRA3 Risks'!$A:$AG,22,FALSE)</f>
        <v>0</v>
      </c>
      <c r="AG18" s="123">
        <f>VLOOKUP($A18,'CCRA3 Risks'!$A:$AG,23,FALSE)</f>
        <v>0</v>
      </c>
      <c r="AH18" s="123">
        <f>VLOOKUP($A18,'CCRA3 Risks'!$A:$AG,24,FALSE)</f>
        <v>0</v>
      </c>
      <c r="AI18" s="123">
        <f>VLOOKUP($A18,'CCRA3 Risks'!$A:$AG,25,FALSE)</f>
        <v>0</v>
      </c>
      <c r="AJ18" s="123">
        <f>VLOOKUP($A18,'CCRA3 Risks'!$A:$AG,26,FALSE)</f>
        <v>0</v>
      </c>
      <c r="AK18" s="123">
        <f>VLOOKUP($A18,'CCRA3 Risks'!$A:$AG,27,FALSE)</f>
        <v>0</v>
      </c>
      <c r="AL18" s="123">
        <f>VLOOKUP($A18,'CCRA3 Risks'!$A:$AG,28,FALSE)</f>
        <v>0</v>
      </c>
      <c r="AM18" s="123">
        <f>VLOOKUP($A18,'CCRA3 Risks'!$A:$AG,29,FALSE)</f>
        <v>0</v>
      </c>
      <c r="AN18" s="123" t="str">
        <f>VLOOKUP($A18,'CCRA3 Risks'!$A:$AG,30,FALSE)</f>
        <v>Y</v>
      </c>
      <c r="AO18" s="123">
        <f>VLOOKUP($A18,'CCRA3 Risks'!$A:$AG,31,FALSE)</f>
        <v>0</v>
      </c>
      <c r="AP18" s="123">
        <f>VLOOKUP($A18,'CCRA3 Risks'!$A:$AG,32,FALSE)</f>
        <v>0</v>
      </c>
      <c r="AQ18" s="123">
        <f>VLOOKUP($A18,'CCRA3 Risks'!$A:$AG,33,FALSE)</f>
        <v>0</v>
      </c>
    </row>
    <row r="19" spans="1:43" ht="213" customHeight="1" x14ac:dyDescent="0.25">
      <c r="A19" s="88" t="s">
        <v>214</v>
      </c>
      <c r="B19" s="88" t="s">
        <v>481</v>
      </c>
      <c r="C19" s="83" t="s">
        <v>482</v>
      </c>
      <c r="D19" s="83" t="s">
        <v>403</v>
      </c>
      <c r="E19" s="88" t="s">
        <v>67</v>
      </c>
      <c r="F19" s="83" t="s">
        <v>396</v>
      </c>
      <c r="G19" s="83" t="s">
        <v>53</v>
      </c>
      <c r="H19" s="83" t="s">
        <v>483</v>
      </c>
      <c r="I19" s="88"/>
      <c r="J19" s="83" t="s">
        <v>398</v>
      </c>
      <c r="K19" s="83" t="s">
        <v>484</v>
      </c>
      <c r="L19" s="88" t="s">
        <v>400</v>
      </c>
      <c r="M19" s="83" t="s">
        <v>413</v>
      </c>
      <c r="N19" s="206" t="str">
        <f>VLOOKUP($A19,'CCRA3 Risks'!$A:$R,2,FALSE)</f>
        <v>B3 Risks to businesses from water scarcity</v>
      </c>
      <c r="O19" s="206" t="str">
        <f>VLOOKUP($A19,'CCRA3 Risks'!$A:$R,3,FALSE)</f>
        <v>No</v>
      </c>
      <c r="P19" s="207">
        <f>VLOOKUP($A19,'CCRA3 Risks'!$A:$R,4,FALSE)</f>
        <v>6</v>
      </c>
      <c r="Q19" s="206" t="str">
        <f>VLOOKUP($A19,'CCRA3 Risks'!$A:$R,7,FALSE)</f>
        <v>England</v>
      </c>
      <c r="R19" s="206" t="str">
        <f>VLOOKUP($A19,'CCRA3 Risks'!$A:$R,8,FALSE)</f>
        <v>Low</v>
      </c>
      <c r="S19" s="206" t="str">
        <f>VLOOKUP($A19,'CCRA3 Risks'!$A:$R,9,FALSE)</f>
        <v>Medium</v>
      </c>
      <c r="T19" s="206" t="str">
        <f>VLOOKUP($A19,'CCRA3 Risks'!$A:$R,10,FALSE)</f>
        <v>Medium</v>
      </c>
      <c r="U19" s="206" t="str">
        <f>VLOOKUP($A19,'CCRA3 Risks'!$A:$R,11,FALSE)</f>
        <v>Medium</v>
      </c>
      <c r="V19" s="206" t="str">
        <f>VLOOKUP($A19,'CCRA3 Risks'!$A:$R,12,FALSE)</f>
        <v>High</v>
      </c>
      <c r="W19" s="206" t="str">
        <f>VLOOKUP($A19,'CCRA3 Risks'!$A:$R,13,FALSE)</f>
        <v>Partially</v>
      </c>
      <c r="X19" s="206" t="str">
        <f>VLOOKUP($A19,'CCRA3 Risks'!$A:$R,14,FALSE)</f>
        <v>Further investigation</v>
      </c>
      <c r="Y19" s="206" t="str">
        <f>VLOOKUP($A19,'CCRA3 Risks'!$A:$R,15,FALSE)</f>
        <v>Further Investigation</v>
      </c>
      <c r="Z19" s="206" t="str">
        <f>VLOOKUP($A19,'CCRA3 Risks'!$A:$R,16,FALSE)</f>
        <v>Medium (5)</v>
      </c>
      <c r="AA19" s="206" t="str">
        <f>VLOOKUP($A19,'CCRA3 Risks'!$A:$R,17,FALSE)</f>
        <v>High (Green)</v>
      </c>
      <c r="AB19" s="206" t="str">
        <f>VLOOKUP($A19,'CCRA3 Risks'!$A:$R,18,FALSE)</f>
        <v>Low (no key policies in the next two years)</v>
      </c>
      <c r="AC19" s="202">
        <f>VLOOKUP($A19,'CCRA3 Risks'!$A:$AG,19,FALSE)</f>
        <v>0</v>
      </c>
      <c r="AD19" s="123">
        <f>VLOOKUP($A19,'CCRA3 Risks'!$A:$AG,20,FALSE)</f>
        <v>0</v>
      </c>
      <c r="AE19" s="123">
        <f>VLOOKUP($A19,'CCRA3 Risks'!$A:$AG,21,FALSE)</f>
        <v>0</v>
      </c>
      <c r="AF19" s="123">
        <f>VLOOKUP($A19,'CCRA3 Risks'!$A:$AG,22,FALSE)</f>
        <v>0</v>
      </c>
      <c r="AG19" s="123">
        <f>VLOOKUP($A19,'CCRA3 Risks'!$A:$AG,23,FALSE)</f>
        <v>0</v>
      </c>
      <c r="AH19" s="123">
        <f>VLOOKUP($A19,'CCRA3 Risks'!$A:$AG,24,FALSE)</f>
        <v>0</v>
      </c>
      <c r="AI19" s="123">
        <f>VLOOKUP($A19,'CCRA3 Risks'!$A:$AG,25,FALSE)</f>
        <v>0</v>
      </c>
      <c r="AJ19" s="123">
        <f>VLOOKUP($A19,'CCRA3 Risks'!$A:$AG,26,FALSE)</f>
        <v>0</v>
      </c>
      <c r="AK19" s="123">
        <f>VLOOKUP($A19,'CCRA3 Risks'!$A:$AG,27,FALSE)</f>
        <v>0</v>
      </c>
      <c r="AL19" s="123">
        <f>VLOOKUP($A19,'CCRA3 Risks'!$A:$AG,28,FALSE)</f>
        <v>0</v>
      </c>
      <c r="AM19" s="123">
        <f>VLOOKUP($A19,'CCRA3 Risks'!$A:$AG,29,FALSE)</f>
        <v>0</v>
      </c>
      <c r="AN19" s="123" t="str">
        <f>VLOOKUP($A19,'CCRA3 Risks'!$A:$AG,30,FALSE)</f>
        <v>Y</v>
      </c>
      <c r="AO19" s="123">
        <f>VLOOKUP($A19,'CCRA3 Risks'!$A:$AG,31,FALSE)</f>
        <v>0</v>
      </c>
      <c r="AP19" s="123">
        <f>VLOOKUP($A19,'CCRA3 Risks'!$A:$AG,32,FALSE)</f>
        <v>0</v>
      </c>
      <c r="AQ19" s="123">
        <f>VLOOKUP($A19,'CCRA3 Risks'!$A:$AG,33,FALSE)</f>
        <v>0</v>
      </c>
    </row>
    <row r="20" spans="1:43" ht="54" customHeight="1" x14ac:dyDescent="0.25">
      <c r="A20" s="88" t="s">
        <v>214</v>
      </c>
      <c r="B20" s="88" t="s">
        <v>485</v>
      </c>
      <c r="C20" s="83" t="s">
        <v>486</v>
      </c>
      <c r="D20" s="83" t="s">
        <v>403</v>
      </c>
      <c r="E20" s="88" t="s">
        <v>19</v>
      </c>
      <c r="F20" s="83" t="s">
        <v>421</v>
      </c>
      <c r="G20" s="83" t="s">
        <v>53</v>
      </c>
      <c r="H20" s="82" t="s">
        <v>478</v>
      </c>
      <c r="I20" s="88"/>
      <c r="J20" s="88" t="s">
        <v>417</v>
      </c>
      <c r="K20" s="83" t="s">
        <v>487</v>
      </c>
      <c r="L20" s="88" t="s">
        <v>400</v>
      </c>
      <c r="M20" s="88" t="s">
        <v>35</v>
      </c>
      <c r="N20" s="206" t="str">
        <f>VLOOKUP($A20,'CCRA3 Risks'!$A:$R,2,FALSE)</f>
        <v>B3 Risks to businesses from water scarcity</v>
      </c>
      <c r="O20" s="206" t="str">
        <f>VLOOKUP($A20,'CCRA3 Risks'!$A:$R,3,FALSE)</f>
        <v>No</v>
      </c>
      <c r="P20" s="207">
        <f>VLOOKUP($A20,'CCRA3 Risks'!$A:$R,4,FALSE)</f>
        <v>6</v>
      </c>
      <c r="Q20" s="206" t="str">
        <f>VLOOKUP($A20,'CCRA3 Risks'!$A:$R,7,FALSE)</f>
        <v>England</v>
      </c>
      <c r="R20" s="206" t="str">
        <f>VLOOKUP($A20,'CCRA3 Risks'!$A:$R,8,FALSE)</f>
        <v>Low</v>
      </c>
      <c r="S20" s="206" t="str">
        <f>VLOOKUP($A20,'CCRA3 Risks'!$A:$R,9,FALSE)</f>
        <v>Medium</v>
      </c>
      <c r="T20" s="206" t="str">
        <f>VLOOKUP($A20,'CCRA3 Risks'!$A:$R,10,FALSE)</f>
        <v>Medium</v>
      </c>
      <c r="U20" s="206" t="str">
        <f>VLOOKUP($A20,'CCRA3 Risks'!$A:$R,11,FALSE)</f>
        <v>Medium</v>
      </c>
      <c r="V20" s="206" t="str">
        <f>VLOOKUP($A20,'CCRA3 Risks'!$A:$R,12,FALSE)</f>
        <v>High</v>
      </c>
      <c r="W20" s="206" t="str">
        <f>VLOOKUP($A20,'CCRA3 Risks'!$A:$R,13,FALSE)</f>
        <v>Partially</v>
      </c>
      <c r="X20" s="206" t="str">
        <f>VLOOKUP($A20,'CCRA3 Risks'!$A:$R,14,FALSE)</f>
        <v>Further investigation</v>
      </c>
      <c r="Y20" s="206" t="str">
        <f>VLOOKUP($A20,'CCRA3 Risks'!$A:$R,15,FALSE)</f>
        <v>Further Investigation</v>
      </c>
      <c r="Z20" s="206" t="str">
        <f>VLOOKUP($A20,'CCRA3 Risks'!$A:$R,16,FALSE)</f>
        <v>Medium (5)</v>
      </c>
      <c r="AA20" s="206" t="str">
        <f>VLOOKUP($A20,'CCRA3 Risks'!$A:$R,17,FALSE)</f>
        <v>High (Green)</v>
      </c>
      <c r="AB20" s="206" t="str">
        <f>VLOOKUP($A20,'CCRA3 Risks'!$A:$R,18,FALSE)</f>
        <v>Low (no key policies in the next two years)</v>
      </c>
      <c r="AC20" s="202">
        <f>VLOOKUP($A20,'CCRA3 Risks'!$A:$AG,19,FALSE)</f>
        <v>0</v>
      </c>
      <c r="AD20" s="123">
        <f>VLOOKUP($A20,'CCRA3 Risks'!$A:$AG,20,FALSE)</f>
        <v>0</v>
      </c>
      <c r="AE20" s="123">
        <f>VLOOKUP($A20,'CCRA3 Risks'!$A:$AG,21,FALSE)</f>
        <v>0</v>
      </c>
      <c r="AF20" s="123">
        <f>VLOOKUP($A20,'CCRA3 Risks'!$A:$AG,22,FALSE)</f>
        <v>0</v>
      </c>
      <c r="AG20" s="123">
        <f>VLOOKUP($A20,'CCRA3 Risks'!$A:$AG,23,FALSE)</f>
        <v>0</v>
      </c>
      <c r="AH20" s="123">
        <f>VLOOKUP($A20,'CCRA3 Risks'!$A:$AG,24,FALSE)</f>
        <v>0</v>
      </c>
      <c r="AI20" s="123">
        <f>VLOOKUP($A20,'CCRA3 Risks'!$A:$AG,25,FALSE)</f>
        <v>0</v>
      </c>
      <c r="AJ20" s="123">
        <f>VLOOKUP($A20,'CCRA3 Risks'!$A:$AG,26,FALSE)</f>
        <v>0</v>
      </c>
      <c r="AK20" s="123">
        <f>VLOOKUP($A20,'CCRA3 Risks'!$A:$AG,27,FALSE)</f>
        <v>0</v>
      </c>
      <c r="AL20" s="123">
        <f>VLOOKUP($A20,'CCRA3 Risks'!$A:$AG,28,FALSE)</f>
        <v>0</v>
      </c>
      <c r="AM20" s="123">
        <f>VLOOKUP($A20,'CCRA3 Risks'!$A:$AG,29,FALSE)</f>
        <v>0</v>
      </c>
      <c r="AN20" s="123" t="str">
        <f>VLOOKUP($A20,'CCRA3 Risks'!$A:$AG,30,FALSE)</f>
        <v>Y</v>
      </c>
      <c r="AO20" s="123">
        <f>VLOOKUP($A20,'CCRA3 Risks'!$A:$AG,31,FALSE)</f>
        <v>0</v>
      </c>
      <c r="AP20" s="123">
        <f>VLOOKUP($A20,'CCRA3 Risks'!$A:$AG,32,FALSE)</f>
        <v>0</v>
      </c>
      <c r="AQ20" s="123">
        <f>VLOOKUP($A20,'CCRA3 Risks'!$A:$AG,33,FALSE)</f>
        <v>0</v>
      </c>
    </row>
    <row r="21" spans="1:43" ht="39" customHeight="1" x14ac:dyDescent="0.2">
      <c r="A21" s="88" t="s">
        <v>214</v>
      </c>
      <c r="B21" s="88" t="s">
        <v>488</v>
      </c>
      <c r="C21" s="204" t="s">
        <v>489</v>
      </c>
      <c r="D21" s="204" t="s">
        <v>403</v>
      </c>
      <c r="E21" s="88" t="s">
        <v>67</v>
      </c>
      <c r="F21" s="83" t="s">
        <v>421</v>
      </c>
      <c r="G21" s="83" t="s">
        <v>53</v>
      </c>
      <c r="H21" s="82" t="s">
        <v>478</v>
      </c>
      <c r="I21" s="88"/>
      <c r="J21" s="88" t="s">
        <v>417</v>
      </c>
      <c r="K21" s="83" t="s">
        <v>490</v>
      </c>
      <c r="L21" s="88" t="s">
        <v>400</v>
      </c>
      <c r="M21" s="88" t="s">
        <v>35</v>
      </c>
      <c r="N21" s="206" t="str">
        <f>VLOOKUP($A21,'CCRA3 Risks'!$A:$R,2,FALSE)</f>
        <v>B3 Risks to businesses from water scarcity</v>
      </c>
      <c r="O21" s="206" t="str">
        <f>VLOOKUP($A21,'CCRA3 Risks'!$A:$R,3,FALSE)</f>
        <v>No</v>
      </c>
      <c r="P21" s="207">
        <f>VLOOKUP($A21,'CCRA3 Risks'!$A:$R,4,FALSE)</f>
        <v>6</v>
      </c>
      <c r="Q21" s="206" t="str">
        <f>VLOOKUP($A21,'CCRA3 Risks'!$A:$R,7,FALSE)</f>
        <v>England</v>
      </c>
      <c r="R21" s="206" t="str">
        <f>VLOOKUP($A21,'CCRA3 Risks'!$A:$R,8,FALSE)</f>
        <v>Low</v>
      </c>
      <c r="S21" s="206" t="str">
        <f>VLOOKUP($A21,'CCRA3 Risks'!$A:$R,9,FALSE)</f>
        <v>Medium</v>
      </c>
      <c r="T21" s="206" t="str">
        <f>VLOOKUP($A21,'CCRA3 Risks'!$A:$R,10,FALSE)</f>
        <v>Medium</v>
      </c>
      <c r="U21" s="206" t="str">
        <f>VLOOKUP($A21,'CCRA3 Risks'!$A:$R,11,FALSE)</f>
        <v>Medium</v>
      </c>
      <c r="V21" s="206" t="str">
        <f>VLOOKUP($A21,'CCRA3 Risks'!$A:$R,12,FALSE)</f>
        <v>High</v>
      </c>
      <c r="W21" s="206" t="str">
        <f>VLOOKUP($A21,'CCRA3 Risks'!$A:$R,13,FALSE)</f>
        <v>Partially</v>
      </c>
      <c r="X21" s="206" t="str">
        <f>VLOOKUP($A21,'CCRA3 Risks'!$A:$R,14,FALSE)</f>
        <v>Further investigation</v>
      </c>
      <c r="Y21" s="206" t="str">
        <f>VLOOKUP($A21,'CCRA3 Risks'!$A:$R,15,FALSE)</f>
        <v>Further Investigation</v>
      </c>
      <c r="Z21" s="206" t="str">
        <f>VLOOKUP($A21,'CCRA3 Risks'!$A:$R,16,FALSE)</f>
        <v>Medium (5)</v>
      </c>
      <c r="AA21" s="206" t="str">
        <f>VLOOKUP($A21,'CCRA3 Risks'!$A:$R,17,FALSE)</f>
        <v>High (Green)</v>
      </c>
      <c r="AB21" s="206" t="str">
        <f>VLOOKUP($A21,'CCRA3 Risks'!$A:$R,18,FALSE)</f>
        <v>Low (no key policies in the next two years)</v>
      </c>
      <c r="AC21" s="202">
        <f>VLOOKUP($A21,'CCRA3 Risks'!$A:$AG,19,FALSE)</f>
        <v>0</v>
      </c>
      <c r="AD21" s="123">
        <f>VLOOKUP($A21,'CCRA3 Risks'!$A:$AG,20,FALSE)</f>
        <v>0</v>
      </c>
      <c r="AE21" s="123">
        <f>VLOOKUP($A21,'CCRA3 Risks'!$A:$AG,21,FALSE)</f>
        <v>0</v>
      </c>
      <c r="AF21" s="123">
        <f>VLOOKUP($A21,'CCRA3 Risks'!$A:$AG,22,FALSE)</f>
        <v>0</v>
      </c>
      <c r="AG21" s="123">
        <f>VLOOKUP($A21,'CCRA3 Risks'!$A:$AG,23,FALSE)</f>
        <v>0</v>
      </c>
      <c r="AH21" s="123">
        <f>VLOOKUP($A21,'CCRA3 Risks'!$A:$AG,24,FALSE)</f>
        <v>0</v>
      </c>
      <c r="AI21" s="123">
        <f>VLOOKUP($A21,'CCRA3 Risks'!$A:$AG,25,FALSE)</f>
        <v>0</v>
      </c>
      <c r="AJ21" s="123">
        <f>VLOOKUP($A21,'CCRA3 Risks'!$A:$AG,26,FALSE)</f>
        <v>0</v>
      </c>
      <c r="AK21" s="123">
        <f>VLOOKUP($A21,'CCRA3 Risks'!$A:$AG,27,FALSE)</f>
        <v>0</v>
      </c>
      <c r="AL21" s="123">
        <f>VLOOKUP($A21,'CCRA3 Risks'!$A:$AG,28,FALSE)</f>
        <v>0</v>
      </c>
      <c r="AM21" s="123">
        <f>VLOOKUP($A21,'CCRA3 Risks'!$A:$AG,29,FALSE)</f>
        <v>0</v>
      </c>
      <c r="AN21" s="123" t="str">
        <f>VLOOKUP($A21,'CCRA3 Risks'!$A:$AG,30,FALSE)</f>
        <v>Y</v>
      </c>
      <c r="AO21" s="123">
        <f>VLOOKUP($A21,'CCRA3 Risks'!$A:$AG,31,FALSE)</f>
        <v>0</v>
      </c>
      <c r="AP21" s="123">
        <f>VLOOKUP($A21,'CCRA3 Risks'!$A:$AG,32,FALSE)</f>
        <v>0</v>
      </c>
      <c r="AQ21" s="123">
        <f>VLOOKUP($A21,'CCRA3 Risks'!$A:$AG,33,FALSE)</f>
        <v>0</v>
      </c>
    </row>
    <row r="22" spans="1:43" ht="38.25" x14ac:dyDescent="0.25">
      <c r="A22" s="88" t="s">
        <v>214</v>
      </c>
      <c r="B22" s="88" t="s">
        <v>491</v>
      </c>
      <c r="C22" s="83" t="s">
        <v>492</v>
      </c>
      <c r="D22" s="83" t="s">
        <v>461</v>
      </c>
      <c r="E22" s="83" t="s">
        <v>493</v>
      </c>
      <c r="F22" s="83" t="s">
        <v>421</v>
      </c>
      <c r="G22" s="83" t="s">
        <v>53</v>
      </c>
      <c r="H22" s="82" t="s">
        <v>478</v>
      </c>
      <c r="I22" s="88"/>
      <c r="J22" s="88" t="s">
        <v>417</v>
      </c>
      <c r="K22" s="83" t="s">
        <v>494</v>
      </c>
      <c r="L22" s="88" t="s">
        <v>400</v>
      </c>
      <c r="M22" s="88" t="s">
        <v>35</v>
      </c>
      <c r="N22" s="206" t="str">
        <f>VLOOKUP($A22,'CCRA3 Risks'!$A:$R,2,FALSE)</f>
        <v>B3 Risks to businesses from water scarcity</v>
      </c>
      <c r="O22" s="206" t="str">
        <f>VLOOKUP($A22,'CCRA3 Risks'!$A:$R,3,FALSE)</f>
        <v>No</v>
      </c>
      <c r="P22" s="207">
        <f>VLOOKUP($A22,'CCRA3 Risks'!$A:$R,4,FALSE)</f>
        <v>6</v>
      </c>
      <c r="Q22" s="206" t="str">
        <f>VLOOKUP($A22,'CCRA3 Risks'!$A:$R,7,FALSE)</f>
        <v>England</v>
      </c>
      <c r="R22" s="206" t="str">
        <f>VLOOKUP($A22,'CCRA3 Risks'!$A:$R,8,FALSE)</f>
        <v>Low</v>
      </c>
      <c r="S22" s="206" t="str">
        <f>VLOOKUP($A22,'CCRA3 Risks'!$A:$R,9,FALSE)</f>
        <v>Medium</v>
      </c>
      <c r="T22" s="206" t="str">
        <f>VLOOKUP($A22,'CCRA3 Risks'!$A:$R,10,FALSE)</f>
        <v>Medium</v>
      </c>
      <c r="U22" s="206" t="str">
        <f>VLOOKUP($A22,'CCRA3 Risks'!$A:$R,11,FALSE)</f>
        <v>Medium</v>
      </c>
      <c r="V22" s="206" t="str">
        <f>VLOOKUP($A22,'CCRA3 Risks'!$A:$R,12,FALSE)</f>
        <v>High</v>
      </c>
      <c r="W22" s="206" t="str">
        <f>VLOOKUP($A22,'CCRA3 Risks'!$A:$R,13,FALSE)</f>
        <v>Partially</v>
      </c>
      <c r="X22" s="206" t="str">
        <f>VLOOKUP($A22,'CCRA3 Risks'!$A:$R,14,FALSE)</f>
        <v>Further investigation</v>
      </c>
      <c r="Y22" s="206" t="str">
        <f>VLOOKUP($A22,'CCRA3 Risks'!$A:$R,15,FALSE)</f>
        <v>Further Investigation</v>
      </c>
      <c r="Z22" s="206" t="str">
        <f>VLOOKUP($A22,'CCRA3 Risks'!$A:$R,16,FALSE)</f>
        <v>Medium (5)</v>
      </c>
      <c r="AA22" s="206" t="str">
        <f>VLOOKUP($A22,'CCRA3 Risks'!$A:$R,17,FALSE)</f>
        <v>High (Green)</v>
      </c>
      <c r="AB22" s="206" t="str">
        <f>VLOOKUP($A22,'CCRA3 Risks'!$A:$R,18,FALSE)</f>
        <v>Low (no key policies in the next two years)</v>
      </c>
      <c r="AC22" s="202">
        <f>VLOOKUP($A22,'CCRA3 Risks'!$A:$AG,19,FALSE)</f>
        <v>0</v>
      </c>
      <c r="AD22" s="123">
        <f>VLOOKUP($A22,'CCRA3 Risks'!$A:$AG,20,FALSE)</f>
        <v>0</v>
      </c>
      <c r="AE22" s="123">
        <f>VLOOKUP($A22,'CCRA3 Risks'!$A:$AG,21,FALSE)</f>
        <v>0</v>
      </c>
      <c r="AF22" s="123">
        <f>VLOOKUP($A22,'CCRA3 Risks'!$A:$AG,22,FALSE)</f>
        <v>0</v>
      </c>
      <c r="AG22" s="123">
        <f>VLOOKUP($A22,'CCRA3 Risks'!$A:$AG,23,FALSE)</f>
        <v>0</v>
      </c>
      <c r="AH22" s="123">
        <f>VLOOKUP($A22,'CCRA3 Risks'!$A:$AG,24,FALSE)</f>
        <v>0</v>
      </c>
      <c r="AI22" s="123">
        <f>VLOOKUP($A22,'CCRA3 Risks'!$A:$AG,25,FALSE)</f>
        <v>0</v>
      </c>
      <c r="AJ22" s="123">
        <f>VLOOKUP($A22,'CCRA3 Risks'!$A:$AG,26,FALSE)</f>
        <v>0</v>
      </c>
      <c r="AK22" s="123">
        <f>VLOOKUP($A22,'CCRA3 Risks'!$A:$AG,27,FALSE)</f>
        <v>0</v>
      </c>
      <c r="AL22" s="123">
        <f>VLOOKUP($A22,'CCRA3 Risks'!$A:$AG,28,FALSE)</f>
        <v>0</v>
      </c>
      <c r="AM22" s="123">
        <f>VLOOKUP($A22,'CCRA3 Risks'!$A:$AG,29,FALSE)</f>
        <v>0</v>
      </c>
      <c r="AN22" s="123" t="str">
        <f>VLOOKUP($A22,'CCRA3 Risks'!$A:$AG,30,FALSE)</f>
        <v>Y</v>
      </c>
      <c r="AO22" s="123">
        <f>VLOOKUP($A22,'CCRA3 Risks'!$A:$AG,31,FALSE)</f>
        <v>0</v>
      </c>
      <c r="AP22" s="123">
        <f>VLOOKUP($A22,'CCRA3 Risks'!$A:$AG,32,FALSE)</f>
        <v>0</v>
      </c>
      <c r="AQ22" s="123">
        <f>VLOOKUP($A22,'CCRA3 Risks'!$A:$AG,33,FALSE)</f>
        <v>0</v>
      </c>
    </row>
    <row r="23" spans="1:43" ht="102" x14ac:dyDescent="0.25">
      <c r="A23" s="88" t="s">
        <v>214</v>
      </c>
      <c r="B23" s="88" t="s">
        <v>495</v>
      </c>
      <c r="C23" s="83" t="s">
        <v>496</v>
      </c>
      <c r="D23" s="83" t="s">
        <v>461</v>
      </c>
      <c r="E23" s="88" t="s">
        <v>67</v>
      </c>
      <c r="F23" s="83" t="s">
        <v>421</v>
      </c>
      <c r="G23" s="83" t="s">
        <v>53</v>
      </c>
      <c r="H23" s="83" t="s">
        <v>497</v>
      </c>
      <c r="I23" s="88"/>
      <c r="J23" s="88" t="s">
        <v>417</v>
      </c>
      <c r="K23" s="83" t="s">
        <v>498</v>
      </c>
      <c r="L23" s="88" t="s">
        <v>400</v>
      </c>
      <c r="M23" s="88" t="s">
        <v>35</v>
      </c>
      <c r="N23" s="206" t="str">
        <f>VLOOKUP($A23,'CCRA3 Risks'!$A:$R,2,FALSE)</f>
        <v>B3 Risks to businesses from water scarcity</v>
      </c>
      <c r="O23" s="206" t="str">
        <f>VLOOKUP($A23,'CCRA3 Risks'!$A:$R,3,FALSE)</f>
        <v>No</v>
      </c>
      <c r="P23" s="207">
        <f>VLOOKUP($A23,'CCRA3 Risks'!$A:$R,4,FALSE)</f>
        <v>6</v>
      </c>
      <c r="Q23" s="206" t="str">
        <f>VLOOKUP($A23,'CCRA3 Risks'!$A:$R,7,FALSE)</f>
        <v>England</v>
      </c>
      <c r="R23" s="206" t="str">
        <f>VLOOKUP($A23,'CCRA3 Risks'!$A:$R,8,FALSE)</f>
        <v>Low</v>
      </c>
      <c r="S23" s="206" t="str">
        <f>VLOOKUP($A23,'CCRA3 Risks'!$A:$R,9,FALSE)</f>
        <v>Medium</v>
      </c>
      <c r="T23" s="206" t="str">
        <f>VLOOKUP($A23,'CCRA3 Risks'!$A:$R,10,FALSE)</f>
        <v>Medium</v>
      </c>
      <c r="U23" s="206" t="str">
        <f>VLOOKUP($A23,'CCRA3 Risks'!$A:$R,11,FALSE)</f>
        <v>Medium</v>
      </c>
      <c r="V23" s="206" t="str">
        <f>VLOOKUP($A23,'CCRA3 Risks'!$A:$R,12,FALSE)</f>
        <v>High</v>
      </c>
      <c r="W23" s="206" t="str">
        <f>VLOOKUP($A23,'CCRA3 Risks'!$A:$R,13,FALSE)</f>
        <v>Partially</v>
      </c>
      <c r="X23" s="206" t="str">
        <f>VLOOKUP($A23,'CCRA3 Risks'!$A:$R,14,FALSE)</f>
        <v>Further investigation</v>
      </c>
      <c r="Y23" s="206" t="str">
        <f>VLOOKUP($A23,'CCRA3 Risks'!$A:$R,15,FALSE)</f>
        <v>Further Investigation</v>
      </c>
      <c r="Z23" s="206" t="str">
        <f>VLOOKUP($A23,'CCRA3 Risks'!$A:$R,16,FALSE)</f>
        <v>Medium (5)</v>
      </c>
      <c r="AA23" s="206" t="str">
        <f>VLOOKUP($A23,'CCRA3 Risks'!$A:$R,17,FALSE)</f>
        <v>High (Green)</v>
      </c>
      <c r="AB23" s="206" t="str">
        <f>VLOOKUP($A23,'CCRA3 Risks'!$A:$R,18,FALSE)</f>
        <v>Low (no key policies in the next two years)</v>
      </c>
      <c r="AC23" s="202">
        <f>VLOOKUP($A23,'CCRA3 Risks'!$A:$AG,19,FALSE)</f>
        <v>0</v>
      </c>
      <c r="AD23" s="123">
        <f>VLOOKUP($A23,'CCRA3 Risks'!$A:$AG,20,FALSE)</f>
        <v>0</v>
      </c>
      <c r="AE23" s="123">
        <f>VLOOKUP($A23,'CCRA3 Risks'!$A:$AG,21,FALSE)</f>
        <v>0</v>
      </c>
      <c r="AF23" s="123">
        <f>VLOOKUP($A23,'CCRA3 Risks'!$A:$AG,22,FALSE)</f>
        <v>0</v>
      </c>
      <c r="AG23" s="123">
        <f>VLOOKUP($A23,'CCRA3 Risks'!$A:$AG,23,FALSE)</f>
        <v>0</v>
      </c>
      <c r="AH23" s="123">
        <f>VLOOKUP($A23,'CCRA3 Risks'!$A:$AG,24,FALSE)</f>
        <v>0</v>
      </c>
      <c r="AI23" s="123">
        <f>VLOOKUP($A23,'CCRA3 Risks'!$A:$AG,25,FALSE)</f>
        <v>0</v>
      </c>
      <c r="AJ23" s="123">
        <f>VLOOKUP($A23,'CCRA3 Risks'!$A:$AG,26,FALSE)</f>
        <v>0</v>
      </c>
      <c r="AK23" s="123">
        <f>VLOOKUP($A23,'CCRA3 Risks'!$A:$AG,27,FALSE)</f>
        <v>0</v>
      </c>
      <c r="AL23" s="123">
        <f>VLOOKUP($A23,'CCRA3 Risks'!$A:$AG,28,FALSE)</f>
        <v>0</v>
      </c>
      <c r="AM23" s="123">
        <f>VLOOKUP($A23,'CCRA3 Risks'!$A:$AG,29,FALSE)</f>
        <v>0</v>
      </c>
      <c r="AN23" s="123" t="str">
        <f>VLOOKUP($A23,'CCRA3 Risks'!$A:$AG,30,FALSE)</f>
        <v>Y</v>
      </c>
      <c r="AO23" s="123">
        <f>VLOOKUP($A23,'CCRA3 Risks'!$A:$AG,31,FALSE)</f>
        <v>0</v>
      </c>
      <c r="AP23" s="123">
        <f>VLOOKUP($A23,'CCRA3 Risks'!$A:$AG,32,FALSE)</f>
        <v>0</v>
      </c>
      <c r="AQ23" s="123">
        <f>VLOOKUP($A23,'CCRA3 Risks'!$A:$AG,33,FALSE)</f>
        <v>0</v>
      </c>
    </row>
    <row r="24" spans="1:43" ht="89.25" x14ac:dyDescent="0.25">
      <c r="A24" s="88" t="s">
        <v>214</v>
      </c>
      <c r="B24" s="88" t="s">
        <v>499</v>
      </c>
      <c r="C24" s="83" t="s">
        <v>500</v>
      </c>
      <c r="D24" s="83" t="s">
        <v>403</v>
      </c>
      <c r="E24" s="88" t="s">
        <v>67</v>
      </c>
      <c r="F24" s="83" t="s">
        <v>396</v>
      </c>
      <c r="G24" s="83" t="s">
        <v>53</v>
      </c>
      <c r="H24" s="83" t="s">
        <v>501</v>
      </c>
      <c r="I24" s="88"/>
      <c r="J24" s="83" t="s">
        <v>411</v>
      </c>
      <c r="K24" s="83" t="s">
        <v>502</v>
      </c>
      <c r="L24" s="88" t="s">
        <v>400</v>
      </c>
      <c r="M24" s="83" t="s">
        <v>503</v>
      </c>
      <c r="N24" s="206" t="str">
        <f>VLOOKUP($A24,'CCRA3 Risks'!$A:$R,2,FALSE)</f>
        <v>B3 Risks to businesses from water scarcity</v>
      </c>
      <c r="O24" s="206" t="str">
        <f>VLOOKUP($A24,'CCRA3 Risks'!$A:$R,3,FALSE)</f>
        <v>No</v>
      </c>
      <c r="P24" s="207">
        <f>VLOOKUP($A24,'CCRA3 Risks'!$A:$R,4,FALSE)</f>
        <v>6</v>
      </c>
      <c r="Q24" s="206" t="str">
        <f>VLOOKUP($A24,'CCRA3 Risks'!$A:$R,7,FALSE)</f>
        <v>England</v>
      </c>
      <c r="R24" s="206" t="str">
        <f>VLOOKUP($A24,'CCRA3 Risks'!$A:$R,8,FALSE)</f>
        <v>Low</v>
      </c>
      <c r="S24" s="206" t="str">
        <f>VLOOKUP($A24,'CCRA3 Risks'!$A:$R,9,FALSE)</f>
        <v>Medium</v>
      </c>
      <c r="T24" s="206" t="str">
        <f>VLOOKUP($A24,'CCRA3 Risks'!$A:$R,10,FALSE)</f>
        <v>Medium</v>
      </c>
      <c r="U24" s="206" t="str">
        <f>VLOOKUP($A24,'CCRA3 Risks'!$A:$R,11,FALSE)</f>
        <v>Medium</v>
      </c>
      <c r="V24" s="206" t="str">
        <f>VLOOKUP($A24,'CCRA3 Risks'!$A:$R,12,FALSE)</f>
        <v>High</v>
      </c>
      <c r="W24" s="206" t="str">
        <f>VLOOKUP($A24,'CCRA3 Risks'!$A:$R,13,FALSE)</f>
        <v>Partially</v>
      </c>
      <c r="X24" s="206" t="str">
        <f>VLOOKUP($A24,'CCRA3 Risks'!$A:$R,14,FALSE)</f>
        <v>Further investigation</v>
      </c>
      <c r="Y24" s="206" t="str">
        <f>VLOOKUP($A24,'CCRA3 Risks'!$A:$R,15,FALSE)</f>
        <v>Further Investigation</v>
      </c>
      <c r="Z24" s="206" t="str">
        <f>VLOOKUP($A24,'CCRA3 Risks'!$A:$R,16,FALSE)</f>
        <v>Medium (5)</v>
      </c>
      <c r="AA24" s="206" t="str">
        <f>VLOOKUP($A24,'CCRA3 Risks'!$A:$R,17,FALSE)</f>
        <v>High (Green)</v>
      </c>
      <c r="AB24" s="206" t="str">
        <f>VLOOKUP($A24,'CCRA3 Risks'!$A:$R,18,FALSE)</f>
        <v>Low (no key policies in the next two years)</v>
      </c>
      <c r="AC24" s="202">
        <f>VLOOKUP($A24,'CCRA3 Risks'!$A:$AG,19,FALSE)</f>
        <v>0</v>
      </c>
      <c r="AD24" s="123">
        <f>VLOOKUP($A24,'CCRA3 Risks'!$A:$AG,20,FALSE)</f>
        <v>0</v>
      </c>
      <c r="AE24" s="123">
        <f>VLOOKUP($A24,'CCRA3 Risks'!$A:$AG,21,FALSE)</f>
        <v>0</v>
      </c>
      <c r="AF24" s="123">
        <f>VLOOKUP($A24,'CCRA3 Risks'!$A:$AG,22,FALSE)</f>
        <v>0</v>
      </c>
      <c r="AG24" s="123">
        <f>VLOOKUP($A24,'CCRA3 Risks'!$A:$AG,23,FALSE)</f>
        <v>0</v>
      </c>
      <c r="AH24" s="123">
        <f>VLOOKUP($A24,'CCRA3 Risks'!$A:$AG,24,FALSE)</f>
        <v>0</v>
      </c>
      <c r="AI24" s="123">
        <f>VLOOKUP($A24,'CCRA3 Risks'!$A:$AG,25,FALSE)</f>
        <v>0</v>
      </c>
      <c r="AJ24" s="123">
        <f>VLOOKUP($A24,'CCRA3 Risks'!$A:$AG,26,FALSE)</f>
        <v>0</v>
      </c>
      <c r="AK24" s="123">
        <f>VLOOKUP($A24,'CCRA3 Risks'!$A:$AG,27,FALSE)</f>
        <v>0</v>
      </c>
      <c r="AL24" s="123">
        <f>VLOOKUP($A24,'CCRA3 Risks'!$A:$AG,28,FALSE)</f>
        <v>0</v>
      </c>
      <c r="AM24" s="123">
        <f>VLOOKUP($A24,'CCRA3 Risks'!$A:$AG,29,FALSE)</f>
        <v>0</v>
      </c>
      <c r="AN24" s="123" t="str">
        <f>VLOOKUP($A24,'CCRA3 Risks'!$A:$AG,30,FALSE)</f>
        <v>Y</v>
      </c>
      <c r="AO24" s="123">
        <f>VLOOKUP($A24,'CCRA3 Risks'!$A:$AG,31,FALSE)</f>
        <v>0</v>
      </c>
      <c r="AP24" s="123">
        <f>VLOOKUP($A24,'CCRA3 Risks'!$A:$AG,32,FALSE)</f>
        <v>0</v>
      </c>
      <c r="AQ24" s="123">
        <f>VLOOKUP($A24,'CCRA3 Risks'!$A:$AG,33,FALSE)</f>
        <v>0</v>
      </c>
    </row>
    <row r="25" spans="1:43" ht="372.95" customHeight="1" x14ac:dyDescent="0.25">
      <c r="A25" s="88" t="s">
        <v>217</v>
      </c>
      <c r="B25" s="88" t="s">
        <v>504</v>
      </c>
      <c r="C25" s="83" t="s">
        <v>505</v>
      </c>
      <c r="D25" s="83" t="s">
        <v>403</v>
      </c>
      <c r="E25" s="88" t="s">
        <v>67</v>
      </c>
      <c r="F25" s="83" t="s">
        <v>421</v>
      </c>
      <c r="G25" s="83" t="s">
        <v>53</v>
      </c>
      <c r="H25" s="83" t="s">
        <v>506</v>
      </c>
      <c r="I25" s="88"/>
      <c r="J25" s="88" t="s">
        <v>463</v>
      </c>
      <c r="K25" s="83" t="s">
        <v>507</v>
      </c>
      <c r="L25" s="88" t="s">
        <v>508</v>
      </c>
      <c r="M25" s="83" t="s">
        <v>509</v>
      </c>
      <c r="N25" s="206" t="str">
        <f>VLOOKUP($A25,'CCRA3 Risks'!$A:$R,2,FALSE)</f>
        <v>B4 Risks to finance, investment and insurance including access to capital for businesses</v>
      </c>
      <c r="O25" s="206" t="str">
        <f>VLOOKUP($A25,'CCRA3 Risks'!$A:$R,3,FALSE)</f>
        <v>No</v>
      </c>
      <c r="P25" s="207">
        <f>VLOOKUP($A25,'CCRA3 Risks'!$A:$R,4,FALSE)</f>
        <v>6</v>
      </c>
      <c r="Q25" s="206" t="str">
        <f>VLOOKUP($A25,'CCRA3 Risks'!$A:$R,7,FALSE)</f>
        <v>England</v>
      </c>
      <c r="R25" s="206" t="str">
        <f>VLOOKUP($A25,'CCRA3 Risks'!$A:$R,8,FALSE)</f>
        <v>Medium</v>
      </c>
      <c r="S25" s="206" t="str">
        <f>VLOOKUP($A25,'CCRA3 Risks'!$A:$R,9,FALSE)</f>
        <v>Medium</v>
      </c>
      <c r="T25" s="206" t="str">
        <f>VLOOKUP($A25,'CCRA3 Risks'!$A:$R,10,FALSE)</f>
        <v>High</v>
      </c>
      <c r="U25" s="206" t="str">
        <f>VLOOKUP($A25,'CCRA3 Risks'!$A:$R,11,FALSE)</f>
        <v>Medium</v>
      </c>
      <c r="V25" s="206" t="str">
        <f>VLOOKUP($A25,'CCRA3 Risks'!$A:$R,12,FALSE)</f>
        <v>High</v>
      </c>
      <c r="W25" s="206" t="str">
        <f>VLOOKUP($A25,'CCRA3 Risks'!$A:$R,13,FALSE)</f>
        <v>Partially</v>
      </c>
      <c r="X25" s="206" t="str">
        <f>VLOOKUP($A25,'CCRA3 Risks'!$A:$R,14,FALSE)</f>
        <v>Sustain current action</v>
      </c>
      <c r="Y25" s="206" t="str">
        <f>VLOOKUP($A25,'CCRA3 Risks'!$A:$R,15,FALSE)</f>
        <v>Sustain current action</v>
      </c>
      <c r="Z25" s="206" t="str">
        <f>VLOOKUP($A25,'CCRA3 Risks'!$A:$R,16,FALSE)</f>
        <v>Medium (5)</v>
      </c>
      <c r="AA25" s="206" t="str">
        <f>VLOOKUP($A25,'CCRA3 Risks'!$A:$R,17,FALSE)</f>
        <v>N/A</v>
      </c>
      <c r="AB25" s="206" t="str">
        <f>VLOOKUP($A25,'CCRA3 Risks'!$A:$R,18,FALSE)</f>
        <v>High (TCFD reporting, focus on finance for COP26)</v>
      </c>
      <c r="AC25" s="202">
        <f>VLOOKUP($A25,'CCRA3 Risks'!$A:$AG,19,FALSE)</f>
        <v>0</v>
      </c>
      <c r="AD25" s="123">
        <f>VLOOKUP($A25,'CCRA3 Risks'!$A:$AG,20,FALSE)</f>
        <v>0</v>
      </c>
      <c r="AE25" s="123">
        <f>VLOOKUP($A25,'CCRA3 Risks'!$A:$AG,21,FALSE)</f>
        <v>0</v>
      </c>
      <c r="AF25" s="123">
        <f>VLOOKUP($A25,'CCRA3 Risks'!$A:$AG,22,FALSE)</f>
        <v>0</v>
      </c>
      <c r="AG25" s="123">
        <f>VLOOKUP($A25,'CCRA3 Risks'!$A:$AG,23,FALSE)</f>
        <v>0</v>
      </c>
      <c r="AH25" s="123">
        <f>VLOOKUP($A25,'CCRA3 Risks'!$A:$AG,24,FALSE)</f>
        <v>0</v>
      </c>
      <c r="AI25" s="123">
        <f>VLOOKUP($A25,'CCRA3 Risks'!$A:$AG,25,FALSE)</f>
        <v>0</v>
      </c>
      <c r="AJ25" s="123">
        <f>VLOOKUP($A25,'CCRA3 Risks'!$A:$AG,26,FALSE)</f>
        <v>0</v>
      </c>
      <c r="AK25" s="123">
        <f>VLOOKUP($A25,'CCRA3 Risks'!$A:$AG,27,FALSE)</f>
        <v>0</v>
      </c>
      <c r="AL25" s="123">
        <f>VLOOKUP($A25,'CCRA3 Risks'!$A:$AG,28,FALSE)</f>
        <v>0</v>
      </c>
      <c r="AM25" s="123">
        <f>VLOOKUP($A25,'CCRA3 Risks'!$A:$AG,29,FALSE)</f>
        <v>0</v>
      </c>
      <c r="AN25" s="123">
        <f>VLOOKUP($A25,'CCRA3 Risks'!$A:$AG,30,FALSE)</f>
        <v>0</v>
      </c>
      <c r="AO25" s="123" t="str">
        <f>VLOOKUP($A25,'CCRA3 Risks'!$A:$AG,31,FALSE)</f>
        <v>Y</v>
      </c>
      <c r="AP25" s="123">
        <f>VLOOKUP($A25,'CCRA3 Risks'!$A:$AG,32,FALSE)</f>
        <v>0</v>
      </c>
      <c r="AQ25" s="123">
        <f>VLOOKUP($A25,'CCRA3 Risks'!$A:$AG,33,FALSE)</f>
        <v>0</v>
      </c>
    </row>
    <row r="26" spans="1:43" ht="191.25" x14ac:dyDescent="0.25">
      <c r="A26" s="88" t="s">
        <v>217</v>
      </c>
      <c r="B26" s="88" t="s">
        <v>510</v>
      </c>
      <c r="C26" s="83" t="s">
        <v>511</v>
      </c>
      <c r="D26" s="83" t="s">
        <v>512</v>
      </c>
      <c r="E26" s="88" t="s">
        <v>67</v>
      </c>
      <c r="F26" s="83" t="s">
        <v>421</v>
      </c>
      <c r="G26" s="83" t="s">
        <v>53</v>
      </c>
      <c r="H26" s="82" t="s">
        <v>513</v>
      </c>
      <c r="I26" s="88"/>
      <c r="J26" s="88" t="s">
        <v>411</v>
      </c>
      <c r="K26" s="83" t="s">
        <v>514</v>
      </c>
      <c r="L26" s="88" t="s">
        <v>508</v>
      </c>
      <c r="M26" s="83" t="s">
        <v>515</v>
      </c>
      <c r="N26" s="206" t="str">
        <f>VLOOKUP($A26,'CCRA3 Risks'!$A:$R,2,FALSE)</f>
        <v>B4 Risks to finance, investment and insurance including access to capital for businesses</v>
      </c>
      <c r="O26" s="206" t="str">
        <f>VLOOKUP($A26,'CCRA3 Risks'!$A:$R,3,FALSE)</f>
        <v>No</v>
      </c>
      <c r="P26" s="207">
        <f>VLOOKUP($A26,'CCRA3 Risks'!$A:$R,4,FALSE)</f>
        <v>6</v>
      </c>
      <c r="Q26" s="206" t="str">
        <f>VLOOKUP($A26,'CCRA3 Risks'!$A:$R,7,FALSE)</f>
        <v>England</v>
      </c>
      <c r="R26" s="206" t="str">
        <f>VLOOKUP($A26,'CCRA3 Risks'!$A:$R,8,FALSE)</f>
        <v>Medium</v>
      </c>
      <c r="S26" s="206" t="str">
        <f>VLOOKUP($A26,'CCRA3 Risks'!$A:$R,9,FALSE)</f>
        <v>Medium</v>
      </c>
      <c r="T26" s="206" t="str">
        <f>VLOOKUP($A26,'CCRA3 Risks'!$A:$R,10,FALSE)</f>
        <v>High</v>
      </c>
      <c r="U26" s="206" t="str">
        <f>VLOOKUP($A26,'CCRA3 Risks'!$A:$R,11,FALSE)</f>
        <v>Medium</v>
      </c>
      <c r="V26" s="206" t="str">
        <f>VLOOKUP($A26,'CCRA3 Risks'!$A:$R,12,FALSE)</f>
        <v>High</v>
      </c>
      <c r="W26" s="206" t="str">
        <f>VLOOKUP($A26,'CCRA3 Risks'!$A:$R,13,FALSE)</f>
        <v>Partially</v>
      </c>
      <c r="X26" s="206" t="str">
        <f>VLOOKUP($A26,'CCRA3 Risks'!$A:$R,14,FALSE)</f>
        <v>Sustain current action</v>
      </c>
      <c r="Y26" s="206" t="str">
        <f>VLOOKUP($A26,'CCRA3 Risks'!$A:$R,15,FALSE)</f>
        <v>Sustain current action</v>
      </c>
      <c r="Z26" s="206" t="str">
        <f>VLOOKUP($A26,'CCRA3 Risks'!$A:$R,16,FALSE)</f>
        <v>Medium (5)</v>
      </c>
      <c r="AA26" s="206" t="str">
        <f>VLOOKUP($A26,'CCRA3 Risks'!$A:$R,17,FALSE)</f>
        <v>N/A</v>
      </c>
      <c r="AB26" s="206" t="str">
        <f>VLOOKUP($A26,'CCRA3 Risks'!$A:$R,18,FALSE)</f>
        <v>High (TCFD reporting, focus on finance for COP26)</v>
      </c>
      <c r="AC26" s="202">
        <f>VLOOKUP($A26,'CCRA3 Risks'!$A:$AG,19,FALSE)</f>
        <v>0</v>
      </c>
      <c r="AD26" s="123">
        <f>VLOOKUP($A26,'CCRA3 Risks'!$A:$AG,20,FALSE)</f>
        <v>0</v>
      </c>
      <c r="AE26" s="123">
        <f>VLOOKUP($A26,'CCRA3 Risks'!$A:$AG,21,FALSE)</f>
        <v>0</v>
      </c>
      <c r="AF26" s="123">
        <f>VLOOKUP($A26,'CCRA3 Risks'!$A:$AG,22,FALSE)</f>
        <v>0</v>
      </c>
      <c r="AG26" s="123">
        <f>VLOOKUP($A26,'CCRA3 Risks'!$A:$AG,23,FALSE)</f>
        <v>0</v>
      </c>
      <c r="AH26" s="123">
        <f>VLOOKUP($A26,'CCRA3 Risks'!$A:$AG,24,FALSE)</f>
        <v>0</v>
      </c>
      <c r="AI26" s="123">
        <f>VLOOKUP($A26,'CCRA3 Risks'!$A:$AG,25,FALSE)</f>
        <v>0</v>
      </c>
      <c r="AJ26" s="123">
        <f>VLOOKUP($A26,'CCRA3 Risks'!$A:$AG,26,FALSE)</f>
        <v>0</v>
      </c>
      <c r="AK26" s="123">
        <f>VLOOKUP($A26,'CCRA3 Risks'!$A:$AG,27,FALSE)</f>
        <v>0</v>
      </c>
      <c r="AL26" s="123">
        <f>VLOOKUP($A26,'CCRA3 Risks'!$A:$AG,28,FALSE)</f>
        <v>0</v>
      </c>
      <c r="AM26" s="123">
        <f>VLOOKUP($A26,'CCRA3 Risks'!$A:$AG,29,FALSE)</f>
        <v>0</v>
      </c>
      <c r="AN26" s="123">
        <f>VLOOKUP($A26,'CCRA3 Risks'!$A:$AG,30,FALSE)</f>
        <v>0</v>
      </c>
      <c r="AO26" s="123" t="str">
        <f>VLOOKUP($A26,'CCRA3 Risks'!$A:$AG,31,FALSE)</f>
        <v>Y</v>
      </c>
      <c r="AP26" s="123">
        <f>VLOOKUP($A26,'CCRA3 Risks'!$A:$AG,32,FALSE)</f>
        <v>0</v>
      </c>
      <c r="AQ26" s="123">
        <f>VLOOKUP($A26,'CCRA3 Risks'!$A:$AG,33,FALSE)</f>
        <v>0</v>
      </c>
    </row>
    <row r="27" spans="1:43" ht="178.5" x14ac:dyDescent="0.25">
      <c r="A27" s="88" t="s">
        <v>217</v>
      </c>
      <c r="B27" s="88" t="s">
        <v>516</v>
      </c>
      <c r="C27" s="83" t="s">
        <v>517</v>
      </c>
      <c r="D27" s="83" t="s">
        <v>461</v>
      </c>
      <c r="E27" s="88" t="s">
        <v>67</v>
      </c>
      <c r="F27" s="83" t="s">
        <v>33</v>
      </c>
      <c r="G27" s="83" t="s">
        <v>30</v>
      </c>
      <c r="H27" s="83" t="s">
        <v>518</v>
      </c>
      <c r="I27" s="88"/>
      <c r="J27" s="88" t="s">
        <v>411</v>
      </c>
      <c r="K27" s="83" t="s">
        <v>519</v>
      </c>
      <c r="L27" s="88" t="s">
        <v>508</v>
      </c>
      <c r="M27" s="83" t="s">
        <v>520</v>
      </c>
      <c r="N27" s="206" t="str">
        <f>VLOOKUP($A27,'CCRA3 Risks'!$A:$R,2,FALSE)</f>
        <v>B4 Risks to finance, investment and insurance including access to capital for businesses</v>
      </c>
      <c r="O27" s="206" t="str">
        <f>VLOOKUP($A27,'CCRA3 Risks'!$A:$R,3,FALSE)</f>
        <v>No</v>
      </c>
      <c r="P27" s="207">
        <f>VLOOKUP($A27,'CCRA3 Risks'!$A:$R,4,FALSE)</f>
        <v>6</v>
      </c>
      <c r="Q27" s="206" t="str">
        <f>VLOOKUP($A27,'CCRA3 Risks'!$A:$R,7,FALSE)</f>
        <v>England</v>
      </c>
      <c r="R27" s="206" t="str">
        <f>VLOOKUP($A27,'CCRA3 Risks'!$A:$R,8,FALSE)</f>
        <v>Medium</v>
      </c>
      <c r="S27" s="206" t="str">
        <f>VLOOKUP($A27,'CCRA3 Risks'!$A:$R,9,FALSE)</f>
        <v>Medium</v>
      </c>
      <c r="T27" s="206" t="str">
        <f>VLOOKUP($A27,'CCRA3 Risks'!$A:$R,10,FALSE)</f>
        <v>High</v>
      </c>
      <c r="U27" s="206" t="str">
        <f>VLOOKUP($A27,'CCRA3 Risks'!$A:$R,11,FALSE)</f>
        <v>Medium</v>
      </c>
      <c r="V27" s="206" t="str">
        <f>VLOOKUP($A27,'CCRA3 Risks'!$A:$R,12,FALSE)</f>
        <v>High</v>
      </c>
      <c r="W27" s="206" t="str">
        <f>VLOOKUP($A27,'CCRA3 Risks'!$A:$R,13,FALSE)</f>
        <v>Partially</v>
      </c>
      <c r="X27" s="206" t="str">
        <f>VLOOKUP($A27,'CCRA3 Risks'!$A:$R,14,FALSE)</f>
        <v>Sustain current action</v>
      </c>
      <c r="Y27" s="206" t="str">
        <f>VLOOKUP($A27,'CCRA3 Risks'!$A:$R,15,FALSE)</f>
        <v>Sustain current action</v>
      </c>
      <c r="Z27" s="206" t="str">
        <f>VLOOKUP($A27,'CCRA3 Risks'!$A:$R,16,FALSE)</f>
        <v>Medium (5)</v>
      </c>
      <c r="AA27" s="206" t="str">
        <f>VLOOKUP($A27,'CCRA3 Risks'!$A:$R,17,FALSE)</f>
        <v>N/A</v>
      </c>
      <c r="AB27" s="206" t="str">
        <f>VLOOKUP($A27,'CCRA3 Risks'!$A:$R,18,FALSE)</f>
        <v>High (TCFD reporting, focus on finance for COP26)</v>
      </c>
      <c r="AC27" s="202">
        <f>VLOOKUP($A27,'CCRA3 Risks'!$A:$AG,19,FALSE)</f>
        <v>0</v>
      </c>
      <c r="AD27" s="123">
        <f>VLOOKUP($A27,'CCRA3 Risks'!$A:$AG,20,FALSE)</f>
        <v>0</v>
      </c>
      <c r="AE27" s="123">
        <f>VLOOKUP($A27,'CCRA3 Risks'!$A:$AG,21,FALSE)</f>
        <v>0</v>
      </c>
      <c r="AF27" s="123">
        <f>VLOOKUP($A27,'CCRA3 Risks'!$A:$AG,22,FALSE)</f>
        <v>0</v>
      </c>
      <c r="AG27" s="123">
        <f>VLOOKUP($A27,'CCRA3 Risks'!$A:$AG,23,FALSE)</f>
        <v>0</v>
      </c>
      <c r="AH27" s="123">
        <f>VLOOKUP($A27,'CCRA3 Risks'!$A:$AG,24,FALSE)</f>
        <v>0</v>
      </c>
      <c r="AI27" s="123">
        <f>VLOOKUP($A27,'CCRA3 Risks'!$A:$AG,25,FALSE)</f>
        <v>0</v>
      </c>
      <c r="AJ27" s="123">
        <f>VLOOKUP($A27,'CCRA3 Risks'!$A:$AG,26,FALSE)</f>
        <v>0</v>
      </c>
      <c r="AK27" s="123">
        <f>VLOOKUP($A27,'CCRA3 Risks'!$A:$AG,27,FALSE)</f>
        <v>0</v>
      </c>
      <c r="AL27" s="123">
        <f>VLOOKUP($A27,'CCRA3 Risks'!$A:$AG,28,FALSE)</f>
        <v>0</v>
      </c>
      <c r="AM27" s="123">
        <f>VLOOKUP($A27,'CCRA3 Risks'!$A:$AG,29,FALSE)</f>
        <v>0</v>
      </c>
      <c r="AN27" s="123">
        <f>VLOOKUP($A27,'CCRA3 Risks'!$A:$AG,30,FALSE)</f>
        <v>0</v>
      </c>
      <c r="AO27" s="123" t="str">
        <f>VLOOKUP($A27,'CCRA3 Risks'!$A:$AG,31,FALSE)</f>
        <v>Y</v>
      </c>
      <c r="AP27" s="123">
        <f>VLOOKUP($A27,'CCRA3 Risks'!$A:$AG,32,FALSE)</f>
        <v>0</v>
      </c>
      <c r="AQ27" s="123">
        <f>VLOOKUP($A27,'CCRA3 Risks'!$A:$AG,33,FALSE)</f>
        <v>0</v>
      </c>
    </row>
    <row r="28" spans="1:43" ht="51" x14ac:dyDescent="0.25">
      <c r="A28" s="88" t="s">
        <v>217</v>
      </c>
      <c r="B28" s="88" t="s">
        <v>521</v>
      </c>
      <c r="C28" s="83" t="s">
        <v>522</v>
      </c>
      <c r="D28" s="83" t="s">
        <v>461</v>
      </c>
      <c r="E28" s="88" t="s">
        <v>67</v>
      </c>
      <c r="F28" s="83" t="s">
        <v>33</v>
      </c>
      <c r="G28" s="83" t="s">
        <v>30</v>
      </c>
      <c r="H28" s="83" t="s">
        <v>523</v>
      </c>
      <c r="I28" s="88"/>
      <c r="J28" s="88" t="s">
        <v>417</v>
      </c>
      <c r="K28" s="83" t="s">
        <v>524</v>
      </c>
      <c r="L28" s="88" t="s">
        <v>508</v>
      </c>
      <c r="M28" s="83" t="s">
        <v>515</v>
      </c>
      <c r="N28" s="206" t="str">
        <f>VLOOKUP($A28,'CCRA3 Risks'!$A:$R,2,FALSE)</f>
        <v>B4 Risks to finance, investment and insurance including access to capital for businesses</v>
      </c>
      <c r="O28" s="206" t="str">
        <f>VLOOKUP($A28,'CCRA3 Risks'!$A:$R,3,FALSE)</f>
        <v>No</v>
      </c>
      <c r="P28" s="207">
        <f>VLOOKUP($A28,'CCRA3 Risks'!$A:$R,4,FALSE)</f>
        <v>6</v>
      </c>
      <c r="Q28" s="206" t="str">
        <f>VLOOKUP($A28,'CCRA3 Risks'!$A:$R,7,FALSE)</f>
        <v>England</v>
      </c>
      <c r="R28" s="206" t="str">
        <f>VLOOKUP($A28,'CCRA3 Risks'!$A:$R,8,FALSE)</f>
        <v>Medium</v>
      </c>
      <c r="S28" s="206" t="str">
        <f>VLOOKUP($A28,'CCRA3 Risks'!$A:$R,9,FALSE)</f>
        <v>Medium</v>
      </c>
      <c r="T28" s="206" t="str">
        <f>VLOOKUP($A28,'CCRA3 Risks'!$A:$R,10,FALSE)</f>
        <v>High</v>
      </c>
      <c r="U28" s="206" t="str">
        <f>VLOOKUP($A28,'CCRA3 Risks'!$A:$R,11,FALSE)</f>
        <v>Medium</v>
      </c>
      <c r="V28" s="206" t="str">
        <f>VLOOKUP($A28,'CCRA3 Risks'!$A:$R,12,FALSE)</f>
        <v>High</v>
      </c>
      <c r="W28" s="206" t="str">
        <f>VLOOKUP($A28,'CCRA3 Risks'!$A:$R,13,FALSE)</f>
        <v>Partially</v>
      </c>
      <c r="X28" s="206" t="str">
        <f>VLOOKUP($A28,'CCRA3 Risks'!$A:$R,14,FALSE)</f>
        <v>Sustain current action</v>
      </c>
      <c r="Y28" s="206" t="str">
        <f>VLOOKUP($A28,'CCRA3 Risks'!$A:$R,15,FALSE)</f>
        <v>Sustain current action</v>
      </c>
      <c r="Z28" s="206" t="str">
        <f>VLOOKUP($A28,'CCRA3 Risks'!$A:$R,16,FALSE)</f>
        <v>Medium (5)</v>
      </c>
      <c r="AA28" s="206" t="str">
        <f>VLOOKUP($A28,'CCRA3 Risks'!$A:$R,17,FALSE)</f>
        <v>N/A</v>
      </c>
      <c r="AB28" s="206" t="str">
        <f>VLOOKUP($A28,'CCRA3 Risks'!$A:$R,18,FALSE)</f>
        <v>High (TCFD reporting, focus on finance for COP26)</v>
      </c>
      <c r="AC28" s="202">
        <f>VLOOKUP($A28,'CCRA3 Risks'!$A:$AG,19,FALSE)</f>
        <v>0</v>
      </c>
      <c r="AD28" s="123">
        <f>VLOOKUP($A28,'CCRA3 Risks'!$A:$AG,20,FALSE)</f>
        <v>0</v>
      </c>
      <c r="AE28" s="123">
        <f>VLOOKUP($A28,'CCRA3 Risks'!$A:$AG,21,FALSE)</f>
        <v>0</v>
      </c>
      <c r="AF28" s="123">
        <f>VLOOKUP($A28,'CCRA3 Risks'!$A:$AG,22,FALSE)</f>
        <v>0</v>
      </c>
      <c r="AG28" s="123">
        <f>VLOOKUP($A28,'CCRA3 Risks'!$A:$AG,23,FALSE)</f>
        <v>0</v>
      </c>
      <c r="AH28" s="123">
        <f>VLOOKUP($A28,'CCRA3 Risks'!$A:$AG,24,FALSE)</f>
        <v>0</v>
      </c>
      <c r="AI28" s="123">
        <f>VLOOKUP($A28,'CCRA3 Risks'!$A:$AG,25,FALSE)</f>
        <v>0</v>
      </c>
      <c r="AJ28" s="123">
        <f>VLOOKUP($A28,'CCRA3 Risks'!$A:$AG,26,FALSE)</f>
        <v>0</v>
      </c>
      <c r="AK28" s="123">
        <f>VLOOKUP($A28,'CCRA3 Risks'!$A:$AG,27,FALSE)</f>
        <v>0</v>
      </c>
      <c r="AL28" s="123">
        <f>VLOOKUP($A28,'CCRA3 Risks'!$A:$AG,28,FALSE)</f>
        <v>0</v>
      </c>
      <c r="AM28" s="123">
        <f>VLOOKUP($A28,'CCRA3 Risks'!$A:$AG,29,FALSE)</f>
        <v>0</v>
      </c>
      <c r="AN28" s="123">
        <f>VLOOKUP($A28,'CCRA3 Risks'!$A:$AG,30,FALSE)</f>
        <v>0</v>
      </c>
      <c r="AO28" s="123" t="str">
        <f>VLOOKUP($A28,'CCRA3 Risks'!$A:$AG,31,FALSE)</f>
        <v>Y</v>
      </c>
      <c r="AP28" s="123">
        <f>VLOOKUP($A28,'CCRA3 Risks'!$A:$AG,32,FALSE)</f>
        <v>0</v>
      </c>
      <c r="AQ28" s="123">
        <f>VLOOKUP($A28,'CCRA3 Risks'!$A:$AG,33,FALSE)</f>
        <v>0</v>
      </c>
    </row>
    <row r="29" spans="1:43" ht="76.5" x14ac:dyDescent="0.25">
      <c r="A29" s="88" t="s">
        <v>217</v>
      </c>
      <c r="B29" s="88" t="s">
        <v>525</v>
      </c>
      <c r="C29" s="83" t="s">
        <v>526</v>
      </c>
      <c r="D29" s="83" t="s">
        <v>461</v>
      </c>
      <c r="E29" s="88" t="s">
        <v>67</v>
      </c>
      <c r="F29" s="83" t="s">
        <v>421</v>
      </c>
      <c r="G29" s="83" t="s">
        <v>53</v>
      </c>
      <c r="H29" s="83" t="s">
        <v>527</v>
      </c>
      <c r="I29" s="88"/>
      <c r="J29" s="88" t="s">
        <v>398</v>
      </c>
      <c r="K29" s="83" t="s">
        <v>528</v>
      </c>
      <c r="L29" s="88" t="s">
        <v>508</v>
      </c>
      <c r="M29" s="83" t="s">
        <v>529</v>
      </c>
      <c r="N29" s="206" t="str">
        <f>VLOOKUP($A29,'CCRA3 Risks'!$A:$R,2,FALSE)</f>
        <v>B4 Risks to finance, investment and insurance including access to capital for businesses</v>
      </c>
      <c r="O29" s="206" t="str">
        <f>VLOOKUP($A29,'CCRA3 Risks'!$A:$R,3,FALSE)</f>
        <v>No</v>
      </c>
      <c r="P29" s="207">
        <f>VLOOKUP($A29,'CCRA3 Risks'!$A:$R,4,FALSE)</f>
        <v>6</v>
      </c>
      <c r="Q29" s="206" t="str">
        <f>VLOOKUP($A29,'CCRA3 Risks'!$A:$R,7,FALSE)</f>
        <v>England</v>
      </c>
      <c r="R29" s="206" t="str">
        <f>VLOOKUP($A29,'CCRA3 Risks'!$A:$R,8,FALSE)</f>
        <v>Medium</v>
      </c>
      <c r="S29" s="206" t="str">
        <f>VLOOKUP($A29,'CCRA3 Risks'!$A:$R,9,FALSE)</f>
        <v>Medium</v>
      </c>
      <c r="T29" s="206" t="str">
        <f>VLOOKUP($A29,'CCRA3 Risks'!$A:$R,10,FALSE)</f>
        <v>High</v>
      </c>
      <c r="U29" s="206" t="str">
        <f>VLOOKUP($A29,'CCRA3 Risks'!$A:$R,11,FALSE)</f>
        <v>Medium</v>
      </c>
      <c r="V29" s="206" t="str">
        <f>VLOOKUP($A29,'CCRA3 Risks'!$A:$R,12,FALSE)</f>
        <v>High</v>
      </c>
      <c r="W29" s="206" t="str">
        <f>VLOOKUP($A29,'CCRA3 Risks'!$A:$R,13,FALSE)</f>
        <v>Partially</v>
      </c>
      <c r="X29" s="206" t="str">
        <f>VLOOKUP($A29,'CCRA3 Risks'!$A:$R,14,FALSE)</f>
        <v>Sustain current action</v>
      </c>
      <c r="Y29" s="206" t="str">
        <f>VLOOKUP($A29,'CCRA3 Risks'!$A:$R,15,FALSE)</f>
        <v>Sustain current action</v>
      </c>
      <c r="Z29" s="206" t="str">
        <f>VLOOKUP($A29,'CCRA3 Risks'!$A:$R,16,FALSE)</f>
        <v>Medium (5)</v>
      </c>
      <c r="AA29" s="206" t="str">
        <f>VLOOKUP($A29,'CCRA3 Risks'!$A:$R,17,FALSE)</f>
        <v>N/A</v>
      </c>
      <c r="AB29" s="206" t="str">
        <f>VLOOKUP($A29,'CCRA3 Risks'!$A:$R,18,FALSE)</f>
        <v>High (TCFD reporting, focus on finance for COP26)</v>
      </c>
      <c r="AC29" s="202">
        <f>VLOOKUP($A29,'CCRA3 Risks'!$A:$AG,19,FALSE)</f>
        <v>0</v>
      </c>
      <c r="AD29" s="123">
        <f>VLOOKUP($A29,'CCRA3 Risks'!$A:$AG,20,FALSE)</f>
        <v>0</v>
      </c>
      <c r="AE29" s="123">
        <f>VLOOKUP($A29,'CCRA3 Risks'!$A:$AG,21,FALSE)</f>
        <v>0</v>
      </c>
      <c r="AF29" s="123">
        <f>VLOOKUP($A29,'CCRA3 Risks'!$A:$AG,22,FALSE)</f>
        <v>0</v>
      </c>
      <c r="AG29" s="123">
        <f>VLOOKUP($A29,'CCRA3 Risks'!$A:$AG,23,FALSE)</f>
        <v>0</v>
      </c>
      <c r="AH29" s="123">
        <f>VLOOKUP($A29,'CCRA3 Risks'!$A:$AG,24,FALSE)</f>
        <v>0</v>
      </c>
      <c r="AI29" s="123">
        <f>VLOOKUP($A29,'CCRA3 Risks'!$A:$AG,25,FALSE)</f>
        <v>0</v>
      </c>
      <c r="AJ29" s="123">
        <f>VLOOKUP($A29,'CCRA3 Risks'!$A:$AG,26,FALSE)</f>
        <v>0</v>
      </c>
      <c r="AK29" s="123">
        <f>VLOOKUP($A29,'CCRA3 Risks'!$A:$AG,27,FALSE)</f>
        <v>0</v>
      </c>
      <c r="AL29" s="123">
        <f>VLOOKUP($A29,'CCRA3 Risks'!$A:$AG,28,FALSE)</f>
        <v>0</v>
      </c>
      <c r="AM29" s="123">
        <f>VLOOKUP($A29,'CCRA3 Risks'!$A:$AG,29,FALSE)</f>
        <v>0</v>
      </c>
      <c r="AN29" s="123">
        <f>VLOOKUP($A29,'CCRA3 Risks'!$A:$AG,30,FALSE)</f>
        <v>0</v>
      </c>
      <c r="AO29" s="123" t="str">
        <f>VLOOKUP($A29,'CCRA3 Risks'!$A:$AG,31,FALSE)</f>
        <v>Y</v>
      </c>
      <c r="AP29" s="123">
        <f>VLOOKUP($A29,'CCRA3 Risks'!$A:$AG,32,FALSE)</f>
        <v>0</v>
      </c>
      <c r="AQ29" s="123">
        <f>VLOOKUP($A29,'CCRA3 Risks'!$A:$AG,33,FALSE)</f>
        <v>0</v>
      </c>
    </row>
    <row r="30" spans="1:43" ht="89.25" x14ac:dyDescent="0.25">
      <c r="A30" s="88" t="s">
        <v>217</v>
      </c>
      <c r="B30" s="88" t="s">
        <v>530</v>
      </c>
      <c r="C30" s="83" t="s">
        <v>531</v>
      </c>
      <c r="D30" s="83" t="s">
        <v>461</v>
      </c>
      <c r="E30" s="88" t="s">
        <v>67</v>
      </c>
      <c r="F30" s="83" t="s">
        <v>33</v>
      </c>
      <c r="G30" s="83" t="s">
        <v>20</v>
      </c>
      <c r="H30" s="83" t="s">
        <v>532</v>
      </c>
      <c r="I30" s="88"/>
      <c r="J30" s="88" t="s">
        <v>417</v>
      </c>
      <c r="K30" s="83" t="s">
        <v>533</v>
      </c>
      <c r="L30" s="88" t="s">
        <v>508</v>
      </c>
      <c r="M30" s="88" t="s">
        <v>35</v>
      </c>
      <c r="N30" s="206" t="str">
        <f>VLOOKUP($A30,'CCRA3 Risks'!$A:$R,2,FALSE)</f>
        <v>B4 Risks to finance, investment and insurance including access to capital for businesses</v>
      </c>
      <c r="O30" s="206" t="str">
        <f>VLOOKUP($A30,'CCRA3 Risks'!$A:$R,3,FALSE)</f>
        <v>No</v>
      </c>
      <c r="P30" s="207">
        <f>VLOOKUP($A30,'CCRA3 Risks'!$A:$R,4,FALSE)</f>
        <v>6</v>
      </c>
      <c r="Q30" s="206" t="str">
        <f>VLOOKUP($A30,'CCRA3 Risks'!$A:$R,7,FALSE)</f>
        <v>England</v>
      </c>
      <c r="R30" s="206" t="str">
        <f>VLOOKUP($A30,'CCRA3 Risks'!$A:$R,8,FALSE)</f>
        <v>Medium</v>
      </c>
      <c r="S30" s="206" t="str">
        <f>VLOOKUP($A30,'CCRA3 Risks'!$A:$R,9,FALSE)</f>
        <v>Medium</v>
      </c>
      <c r="T30" s="206" t="str">
        <f>VLOOKUP($A30,'CCRA3 Risks'!$A:$R,10,FALSE)</f>
        <v>High</v>
      </c>
      <c r="U30" s="206" t="str">
        <f>VLOOKUP($A30,'CCRA3 Risks'!$A:$R,11,FALSE)</f>
        <v>Medium</v>
      </c>
      <c r="V30" s="206" t="str">
        <f>VLOOKUP($A30,'CCRA3 Risks'!$A:$R,12,FALSE)</f>
        <v>High</v>
      </c>
      <c r="W30" s="206" t="str">
        <f>VLOOKUP($A30,'CCRA3 Risks'!$A:$R,13,FALSE)</f>
        <v>Partially</v>
      </c>
      <c r="X30" s="206" t="str">
        <f>VLOOKUP($A30,'CCRA3 Risks'!$A:$R,14,FALSE)</f>
        <v>Sustain current action</v>
      </c>
      <c r="Y30" s="206" t="str">
        <f>VLOOKUP($A30,'CCRA3 Risks'!$A:$R,15,FALSE)</f>
        <v>Sustain current action</v>
      </c>
      <c r="Z30" s="206" t="str">
        <f>VLOOKUP($A30,'CCRA3 Risks'!$A:$R,16,FALSE)</f>
        <v>Medium (5)</v>
      </c>
      <c r="AA30" s="206" t="str">
        <f>VLOOKUP($A30,'CCRA3 Risks'!$A:$R,17,FALSE)</f>
        <v>N/A</v>
      </c>
      <c r="AB30" s="206" t="str">
        <f>VLOOKUP($A30,'CCRA3 Risks'!$A:$R,18,FALSE)</f>
        <v>High (TCFD reporting, focus on finance for COP26)</v>
      </c>
      <c r="AC30" s="202">
        <f>VLOOKUP($A30,'CCRA3 Risks'!$A:$AG,19,FALSE)</f>
        <v>0</v>
      </c>
      <c r="AD30" s="123">
        <f>VLOOKUP($A30,'CCRA3 Risks'!$A:$AG,20,FALSE)</f>
        <v>0</v>
      </c>
      <c r="AE30" s="123">
        <f>VLOOKUP($A30,'CCRA3 Risks'!$A:$AG,21,FALSE)</f>
        <v>0</v>
      </c>
      <c r="AF30" s="123">
        <f>VLOOKUP($A30,'CCRA3 Risks'!$A:$AG,22,FALSE)</f>
        <v>0</v>
      </c>
      <c r="AG30" s="123">
        <f>VLOOKUP($A30,'CCRA3 Risks'!$A:$AG,23,FALSE)</f>
        <v>0</v>
      </c>
      <c r="AH30" s="123">
        <f>VLOOKUP($A30,'CCRA3 Risks'!$A:$AG,24,FALSE)</f>
        <v>0</v>
      </c>
      <c r="AI30" s="123">
        <f>VLOOKUP($A30,'CCRA3 Risks'!$A:$AG,25,FALSE)</f>
        <v>0</v>
      </c>
      <c r="AJ30" s="123">
        <f>VLOOKUP($A30,'CCRA3 Risks'!$A:$AG,26,FALSE)</f>
        <v>0</v>
      </c>
      <c r="AK30" s="123">
        <f>VLOOKUP($A30,'CCRA3 Risks'!$A:$AG,27,FALSE)</f>
        <v>0</v>
      </c>
      <c r="AL30" s="123">
        <f>VLOOKUP($A30,'CCRA3 Risks'!$A:$AG,28,FALSE)</f>
        <v>0</v>
      </c>
      <c r="AM30" s="123">
        <f>VLOOKUP($A30,'CCRA3 Risks'!$A:$AG,29,FALSE)</f>
        <v>0</v>
      </c>
      <c r="AN30" s="123">
        <f>VLOOKUP($A30,'CCRA3 Risks'!$A:$AG,30,FALSE)</f>
        <v>0</v>
      </c>
      <c r="AO30" s="123" t="str">
        <f>VLOOKUP($A30,'CCRA3 Risks'!$A:$AG,31,FALSE)</f>
        <v>Y</v>
      </c>
      <c r="AP30" s="123">
        <f>VLOOKUP($A30,'CCRA3 Risks'!$A:$AG,32,FALSE)</f>
        <v>0</v>
      </c>
      <c r="AQ30" s="123">
        <f>VLOOKUP($A30,'CCRA3 Risks'!$A:$AG,33,FALSE)</f>
        <v>0</v>
      </c>
    </row>
    <row r="31" spans="1:43" ht="331.5" x14ac:dyDescent="0.25">
      <c r="A31" s="88" t="s">
        <v>217</v>
      </c>
      <c r="B31" s="88" t="s">
        <v>534</v>
      </c>
      <c r="C31" s="83" t="s">
        <v>535</v>
      </c>
      <c r="D31" s="83" t="s">
        <v>461</v>
      </c>
      <c r="E31" s="88" t="s">
        <v>67</v>
      </c>
      <c r="F31" s="83" t="s">
        <v>472</v>
      </c>
      <c r="G31" s="83" t="s">
        <v>53</v>
      </c>
      <c r="H31" s="83" t="s">
        <v>536</v>
      </c>
      <c r="I31" s="88"/>
      <c r="J31" s="88" t="s">
        <v>398</v>
      </c>
      <c r="K31" s="83" t="s">
        <v>537</v>
      </c>
      <c r="L31" s="88" t="s">
        <v>508</v>
      </c>
      <c r="M31" s="88" t="s">
        <v>508</v>
      </c>
      <c r="N31" s="206" t="str">
        <f>VLOOKUP($A31,'CCRA3 Risks'!$A:$R,2,FALSE)</f>
        <v>B4 Risks to finance, investment and insurance including access to capital for businesses</v>
      </c>
      <c r="O31" s="206" t="str">
        <f>VLOOKUP($A31,'CCRA3 Risks'!$A:$R,3,FALSE)</f>
        <v>No</v>
      </c>
      <c r="P31" s="207">
        <f>VLOOKUP($A31,'CCRA3 Risks'!$A:$R,4,FALSE)</f>
        <v>6</v>
      </c>
      <c r="Q31" s="206" t="str">
        <f>VLOOKUP($A31,'CCRA3 Risks'!$A:$R,7,FALSE)</f>
        <v>England</v>
      </c>
      <c r="R31" s="206" t="str">
        <f>VLOOKUP($A31,'CCRA3 Risks'!$A:$R,8,FALSE)</f>
        <v>Medium</v>
      </c>
      <c r="S31" s="206" t="str">
        <f>VLOOKUP($A31,'CCRA3 Risks'!$A:$R,9,FALSE)</f>
        <v>Medium</v>
      </c>
      <c r="T31" s="206" t="str">
        <f>VLOOKUP($A31,'CCRA3 Risks'!$A:$R,10,FALSE)</f>
        <v>High</v>
      </c>
      <c r="U31" s="206" t="str">
        <f>VLOOKUP($A31,'CCRA3 Risks'!$A:$R,11,FALSE)</f>
        <v>Medium</v>
      </c>
      <c r="V31" s="206" t="str">
        <f>VLOOKUP($A31,'CCRA3 Risks'!$A:$R,12,FALSE)</f>
        <v>High</v>
      </c>
      <c r="W31" s="206" t="str">
        <f>VLOOKUP($A31,'CCRA3 Risks'!$A:$R,13,FALSE)</f>
        <v>Partially</v>
      </c>
      <c r="X31" s="206" t="str">
        <f>VLOOKUP($A31,'CCRA3 Risks'!$A:$R,14,FALSE)</f>
        <v>Sustain current action</v>
      </c>
      <c r="Y31" s="206" t="str">
        <f>VLOOKUP($A31,'CCRA3 Risks'!$A:$R,15,FALSE)</f>
        <v>Sustain current action</v>
      </c>
      <c r="Z31" s="206" t="str">
        <f>VLOOKUP($A31,'CCRA3 Risks'!$A:$R,16,FALSE)</f>
        <v>Medium (5)</v>
      </c>
      <c r="AA31" s="206" t="str">
        <f>VLOOKUP($A31,'CCRA3 Risks'!$A:$R,17,FALSE)</f>
        <v>N/A</v>
      </c>
      <c r="AB31" s="206" t="str">
        <f>VLOOKUP($A31,'CCRA3 Risks'!$A:$R,18,FALSE)</f>
        <v>High (TCFD reporting, focus on finance for COP26)</v>
      </c>
      <c r="AC31" s="202">
        <f>VLOOKUP($A31,'CCRA3 Risks'!$A:$AG,19,FALSE)</f>
        <v>0</v>
      </c>
      <c r="AD31" s="123">
        <f>VLOOKUP($A31,'CCRA3 Risks'!$A:$AG,20,FALSE)</f>
        <v>0</v>
      </c>
      <c r="AE31" s="123">
        <f>VLOOKUP($A31,'CCRA3 Risks'!$A:$AG,21,FALSE)</f>
        <v>0</v>
      </c>
      <c r="AF31" s="123">
        <f>VLOOKUP($A31,'CCRA3 Risks'!$A:$AG,22,FALSE)</f>
        <v>0</v>
      </c>
      <c r="AG31" s="123">
        <f>VLOOKUP($A31,'CCRA3 Risks'!$A:$AG,23,FALSE)</f>
        <v>0</v>
      </c>
      <c r="AH31" s="123">
        <f>VLOOKUP($A31,'CCRA3 Risks'!$A:$AG,24,FALSE)</f>
        <v>0</v>
      </c>
      <c r="AI31" s="123">
        <f>VLOOKUP($A31,'CCRA3 Risks'!$A:$AG,25,FALSE)</f>
        <v>0</v>
      </c>
      <c r="AJ31" s="123">
        <f>VLOOKUP($A31,'CCRA3 Risks'!$A:$AG,26,FALSE)</f>
        <v>0</v>
      </c>
      <c r="AK31" s="123">
        <f>VLOOKUP($A31,'CCRA3 Risks'!$A:$AG,27,FALSE)</f>
        <v>0</v>
      </c>
      <c r="AL31" s="123">
        <f>VLOOKUP($A31,'CCRA3 Risks'!$A:$AG,28,FALSE)</f>
        <v>0</v>
      </c>
      <c r="AM31" s="123">
        <f>VLOOKUP($A31,'CCRA3 Risks'!$A:$AG,29,FALSE)</f>
        <v>0</v>
      </c>
      <c r="AN31" s="123">
        <f>VLOOKUP($A31,'CCRA3 Risks'!$A:$AG,30,FALSE)</f>
        <v>0</v>
      </c>
      <c r="AO31" s="123" t="str">
        <f>VLOOKUP($A31,'CCRA3 Risks'!$A:$AG,31,FALSE)</f>
        <v>Y</v>
      </c>
      <c r="AP31" s="123">
        <f>VLOOKUP($A31,'CCRA3 Risks'!$A:$AG,32,FALSE)</f>
        <v>0</v>
      </c>
      <c r="AQ31" s="123">
        <f>VLOOKUP($A31,'CCRA3 Risks'!$A:$AG,33,FALSE)</f>
        <v>0</v>
      </c>
    </row>
    <row r="32" spans="1:43" ht="63.75" x14ac:dyDescent="0.25">
      <c r="A32" s="88" t="s">
        <v>220</v>
      </c>
      <c r="B32" s="88" t="s">
        <v>538</v>
      </c>
      <c r="C32" s="83" t="s">
        <v>539</v>
      </c>
      <c r="D32" s="83" t="s">
        <v>403</v>
      </c>
      <c r="E32" s="88" t="s">
        <v>67</v>
      </c>
      <c r="F32" s="83" t="s">
        <v>421</v>
      </c>
      <c r="G32" s="83" t="s">
        <v>53</v>
      </c>
      <c r="H32" s="83" t="s">
        <v>540</v>
      </c>
      <c r="I32" s="88"/>
      <c r="J32" s="88" t="s">
        <v>411</v>
      </c>
      <c r="K32" s="83" t="s">
        <v>541</v>
      </c>
      <c r="L32" s="88" t="s">
        <v>542</v>
      </c>
      <c r="M32" s="88" t="s">
        <v>35</v>
      </c>
      <c r="N32" s="206" t="str">
        <f>VLOOKUP($A32,'CCRA3 Risks'!$A:$R,2,FALSE)</f>
        <v>B5 Risks to business from reduced employee productivity due to infrastructure disruption and higher temperatures in working environments</v>
      </c>
      <c r="O32" s="206" t="str">
        <f>VLOOKUP($A32,'CCRA3 Risks'!$A:$R,3,FALSE)</f>
        <v>Yes</v>
      </c>
      <c r="P32" s="207">
        <f>VLOOKUP($A32,'CCRA3 Risks'!$A:$R,4,FALSE)</f>
        <v>6</v>
      </c>
      <c r="Q32" s="206" t="str">
        <f>VLOOKUP($A32,'CCRA3 Risks'!$A:$R,7,FALSE)</f>
        <v>England</v>
      </c>
      <c r="R32" s="206" t="str">
        <f>VLOOKUP($A32,'CCRA3 Risks'!$A:$R,8,FALSE)</f>
        <v>Low</v>
      </c>
      <c r="S32" s="206" t="str">
        <f>VLOOKUP($A32,'CCRA3 Risks'!$A:$R,9,FALSE)</f>
        <v>Medium</v>
      </c>
      <c r="T32" s="206" t="str">
        <f>VLOOKUP($A32,'CCRA3 Risks'!$A:$R,10,FALSE)</f>
        <v>Medium</v>
      </c>
      <c r="U32" s="206" t="str">
        <f>VLOOKUP($A32,'CCRA3 Risks'!$A:$R,11,FALSE)</f>
        <v>Medium</v>
      </c>
      <c r="V32" s="206" t="str">
        <f>VLOOKUP($A32,'CCRA3 Risks'!$A:$R,12,FALSE)</f>
        <v>High</v>
      </c>
      <c r="W32" s="206" t="str">
        <f>VLOOKUP($A32,'CCRA3 Risks'!$A:$R,13,FALSE)</f>
        <v>Partially</v>
      </c>
      <c r="X32" s="206" t="str">
        <f>VLOOKUP($A32,'CCRA3 Risks'!$A:$R,14,FALSE)</f>
        <v>Further investigation</v>
      </c>
      <c r="Y32" s="206" t="str">
        <f>VLOOKUP($A32,'CCRA3 Risks'!$A:$R,15,FALSE)</f>
        <v>Further Investigation</v>
      </c>
      <c r="Z32" s="206" t="str">
        <f>VLOOKUP($A32,'CCRA3 Risks'!$A:$R,16,FALSE)</f>
        <v>Low (2)</v>
      </c>
      <c r="AA32" s="206" t="str">
        <f>VLOOKUP($A32,'CCRA3 Risks'!$A:$R,17,FALSE)</f>
        <v>Medium (Amber)</v>
      </c>
      <c r="AB32" s="206" t="str">
        <f>VLOOKUP($A32,'CCRA3 Risks'!$A:$R,18,FALSE)</f>
        <v>High (Reviews of building regulations and planning, Net Zero)</v>
      </c>
      <c r="AC32" s="202">
        <f>VLOOKUP($A32,'CCRA3 Risks'!$A:$AG,19,FALSE)</f>
        <v>0</v>
      </c>
      <c r="AD32" s="123">
        <f>VLOOKUP($A32,'CCRA3 Risks'!$A:$AG,20,FALSE)</f>
        <v>0</v>
      </c>
      <c r="AE32" s="123">
        <f>VLOOKUP($A32,'CCRA3 Risks'!$A:$AG,21,FALSE)</f>
        <v>0</v>
      </c>
      <c r="AF32" s="123">
        <f>VLOOKUP($A32,'CCRA3 Risks'!$A:$AG,22,FALSE)</f>
        <v>0</v>
      </c>
      <c r="AG32" s="123">
        <f>VLOOKUP($A32,'CCRA3 Risks'!$A:$AG,23,FALSE)</f>
        <v>0</v>
      </c>
      <c r="AH32" s="123">
        <f>VLOOKUP($A32,'CCRA3 Risks'!$A:$AG,24,FALSE)</f>
        <v>0</v>
      </c>
      <c r="AI32" s="123">
        <f>VLOOKUP($A32,'CCRA3 Risks'!$A:$AG,25,FALSE)</f>
        <v>0</v>
      </c>
      <c r="AJ32" s="123">
        <f>VLOOKUP($A32,'CCRA3 Risks'!$A:$AG,26,FALSE)</f>
        <v>0</v>
      </c>
      <c r="AK32" s="123">
        <f>VLOOKUP($A32,'CCRA3 Risks'!$A:$AG,27,FALSE)</f>
        <v>0</v>
      </c>
      <c r="AL32" s="123">
        <f>VLOOKUP($A32,'CCRA3 Risks'!$A:$AG,28,FALSE)</f>
        <v>0</v>
      </c>
      <c r="AM32" s="123">
        <f>VLOOKUP($A32,'CCRA3 Risks'!$A:$AG,29,FALSE)</f>
        <v>0</v>
      </c>
      <c r="AN32" s="123" t="str">
        <f>VLOOKUP($A32,'CCRA3 Risks'!$A:$AG,30,FALSE)</f>
        <v>Y</v>
      </c>
      <c r="AO32" s="123">
        <f>VLOOKUP($A32,'CCRA3 Risks'!$A:$AG,31,FALSE)</f>
        <v>0</v>
      </c>
      <c r="AP32" s="123">
        <f>VLOOKUP($A32,'CCRA3 Risks'!$A:$AG,32,FALSE)</f>
        <v>0</v>
      </c>
      <c r="AQ32" s="123">
        <f>VLOOKUP($A32,'CCRA3 Risks'!$A:$AG,33,FALSE)</f>
        <v>0</v>
      </c>
    </row>
    <row r="33" spans="1:43" ht="63.75" x14ac:dyDescent="0.25">
      <c r="A33" s="88" t="s">
        <v>220</v>
      </c>
      <c r="B33" s="88" t="s">
        <v>543</v>
      </c>
      <c r="C33" s="83" t="s">
        <v>544</v>
      </c>
      <c r="D33" s="83" t="s">
        <v>461</v>
      </c>
      <c r="E33" s="88" t="s">
        <v>67</v>
      </c>
      <c r="F33" s="83" t="s">
        <v>33</v>
      </c>
      <c r="G33" s="83" t="s">
        <v>20</v>
      </c>
      <c r="H33" s="83" t="s">
        <v>545</v>
      </c>
      <c r="I33" s="88"/>
      <c r="J33" s="88" t="s">
        <v>398</v>
      </c>
      <c r="K33" s="83" t="s">
        <v>546</v>
      </c>
      <c r="L33" s="88" t="s">
        <v>400</v>
      </c>
      <c r="M33" s="88" t="s">
        <v>400</v>
      </c>
      <c r="N33" s="206" t="str">
        <f>VLOOKUP($A33,'CCRA3 Risks'!$A:$R,2,FALSE)</f>
        <v>B5 Risks to business from reduced employee productivity due to infrastructure disruption and higher temperatures in working environments</v>
      </c>
      <c r="O33" s="206" t="str">
        <f>VLOOKUP($A33,'CCRA3 Risks'!$A:$R,3,FALSE)</f>
        <v>Yes</v>
      </c>
      <c r="P33" s="207">
        <f>VLOOKUP($A33,'CCRA3 Risks'!$A:$R,4,FALSE)</f>
        <v>6</v>
      </c>
      <c r="Q33" s="206" t="str">
        <f>VLOOKUP($A33,'CCRA3 Risks'!$A:$R,7,FALSE)</f>
        <v>England</v>
      </c>
      <c r="R33" s="206" t="str">
        <f>VLOOKUP($A33,'CCRA3 Risks'!$A:$R,8,FALSE)</f>
        <v>Low</v>
      </c>
      <c r="S33" s="206" t="str">
        <f>VLOOKUP($A33,'CCRA3 Risks'!$A:$R,9,FALSE)</f>
        <v>Medium</v>
      </c>
      <c r="T33" s="206" t="str">
        <f>VLOOKUP($A33,'CCRA3 Risks'!$A:$R,10,FALSE)</f>
        <v>Medium</v>
      </c>
      <c r="U33" s="206" t="str">
        <f>VLOOKUP($A33,'CCRA3 Risks'!$A:$R,11,FALSE)</f>
        <v>Medium</v>
      </c>
      <c r="V33" s="206" t="str">
        <f>VLOOKUP($A33,'CCRA3 Risks'!$A:$R,12,FALSE)</f>
        <v>High</v>
      </c>
      <c r="W33" s="206" t="str">
        <f>VLOOKUP($A33,'CCRA3 Risks'!$A:$R,13,FALSE)</f>
        <v>Partially</v>
      </c>
      <c r="X33" s="206" t="str">
        <f>VLOOKUP($A33,'CCRA3 Risks'!$A:$R,14,FALSE)</f>
        <v>Further investigation</v>
      </c>
      <c r="Y33" s="206" t="str">
        <f>VLOOKUP($A33,'CCRA3 Risks'!$A:$R,15,FALSE)</f>
        <v>Further Investigation</v>
      </c>
      <c r="Z33" s="206" t="str">
        <f>VLOOKUP($A33,'CCRA3 Risks'!$A:$R,16,FALSE)</f>
        <v>Low (2)</v>
      </c>
      <c r="AA33" s="206" t="str">
        <f>VLOOKUP($A33,'CCRA3 Risks'!$A:$R,17,FALSE)</f>
        <v>Medium (Amber)</v>
      </c>
      <c r="AB33" s="206" t="str">
        <f>VLOOKUP($A33,'CCRA3 Risks'!$A:$R,18,FALSE)</f>
        <v>High (Reviews of building regulations and planning, Net Zero)</v>
      </c>
      <c r="AC33" s="202">
        <f>VLOOKUP($A33,'CCRA3 Risks'!$A:$AG,19,FALSE)</f>
        <v>0</v>
      </c>
      <c r="AD33" s="123">
        <f>VLOOKUP($A33,'CCRA3 Risks'!$A:$AG,20,FALSE)</f>
        <v>0</v>
      </c>
      <c r="AE33" s="123">
        <f>VLOOKUP($A33,'CCRA3 Risks'!$A:$AG,21,FALSE)</f>
        <v>0</v>
      </c>
      <c r="AF33" s="123">
        <f>VLOOKUP($A33,'CCRA3 Risks'!$A:$AG,22,FALSE)</f>
        <v>0</v>
      </c>
      <c r="AG33" s="123">
        <f>VLOOKUP($A33,'CCRA3 Risks'!$A:$AG,23,FALSE)</f>
        <v>0</v>
      </c>
      <c r="AH33" s="123">
        <f>VLOOKUP($A33,'CCRA3 Risks'!$A:$AG,24,FALSE)</f>
        <v>0</v>
      </c>
      <c r="AI33" s="123">
        <f>VLOOKUP($A33,'CCRA3 Risks'!$A:$AG,25,FALSE)</f>
        <v>0</v>
      </c>
      <c r="AJ33" s="123">
        <f>VLOOKUP($A33,'CCRA3 Risks'!$A:$AG,26,FALSE)</f>
        <v>0</v>
      </c>
      <c r="AK33" s="123">
        <f>VLOOKUP($A33,'CCRA3 Risks'!$A:$AG,27,FALSE)</f>
        <v>0</v>
      </c>
      <c r="AL33" s="123">
        <f>VLOOKUP($A33,'CCRA3 Risks'!$A:$AG,28,FALSE)</f>
        <v>0</v>
      </c>
      <c r="AM33" s="123">
        <f>VLOOKUP($A33,'CCRA3 Risks'!$A:$AG,29,FALSE)</f>
        <v>0</v>
      </c>
      <c r="AN33" s="123" t="str">
        <f>VLOOKUP($A33,'CCRA3 Risks'!$A:$AG,30,FALSE)</f>
        <v>Y</v>
      </c>
      <c r="AO33" s="123">
        <f>VLOOKUP($A33,'CCRA3 Risks'!$A:$AG,31,FALSE)</f>
        <v>0</v>
      </c>
      <c r="AP33" s="123">
        <f>VLOOKUP($A33,'CCRA3 Risks'!$A:$AG,32,FALSE)</f>
        <v>0</v>
      </c>
      <c r="AQ33" s="123">
        <f>VLOOKUP($A33,'CCRA3 Risks'!$A:$AG,33,FALSE)</f>
        <v>0</v>
      </c>
    </row>
    <row r="34" spans="1:43" ht="153" x14ac:dyDescent="0.25">
      <c r="A34" s="88" t="s">
        <v>220</v>
      </c>
      <c r="B34" s="88" t="s">
        <v>547</v>
      </c>
      <c r="C34" s="83" t="s">
        <v>548</v>
      </c>
      <c r="D34" s="83" t="s">
        <v>512</v>
      </c>
      <c r="E34" s="88" t="s">
        <v>67</v>
      </c>
      <c r="F34" s="83" t="s">
        <v>396</v>
      </c>
      <c r="G34" s="83" t="s">
        <v>20</v>
      </c>
      <c r="H34" s="83" t="s">
        <v>549</v>
      </c>
      <c r="I34" s="88"/>
      <c r="J34" s="88" t="s">
        <v>398</v>
      </c>
      <c r="K34" s="83" t="s">
        <v>550</v>
      </c>
      <c r="L34" s="88" t="s">
        <v>400</v>
      </c>
      <c r="M34" s="83" t="s">
        <v>551</v>
      </c>
      <c r="N34" s="206" t="str">
        <f>VLOOKUP($A34,'CCRA3 Risks'!$A:$R,2,FALSE)</f>
        <v>B5 Risks to business from reduced employee productivity due to infrastructure disruption and higher temperatures in working environments</v>
      </c>
      <c r="O34" s="206" t="str">
        <f>VLOOKUP($A34,'CCRA3 Risks'!$A:$R,3,FALSE)</f>
        <v>Yes</v>
      </c>
      <c r="P34" s="207">
        <f>VLOOKUP($A34,'CCRA3 Risks'!$A:$R,4,FALSE)</f>
        <v>6</v>
      </c>
      <c r="Q34" s="206" t="str">
        <f>VLOOKUP($A34,'CCRA3 Risks'!$A:$R,7,FALSE)</f>
        <v>England</v>
      </c>
      <c r="R34" s="206" t="str">
        <f>VLOOKUP($A34,'CCRA3 Risks'!$A:$R,8,FALSE)</f>
        <v>Low</v>
      </c>
      <c r="S34" s="206" t="str">
        <f>VLOOKUP($A34,'CCRA3 Risks'!$A:$R,9,FALSE)</f>
        <v>Medium</v>
      </c>
      <c r="T34" s="206" t="str">
        <f>VLOOKUP($A34,'CCRA3 Risks'!$A:$R,10,FALSE)</f>
        <v>Medium</v>
      </c>
      <c r="U34" s="206" t="str">
        <f>VLOOKUP($A34,'CCRA3 Risks'!$A:$R,11,FALSE)</f>
        <v>Medium</v>
      </c>
      <c r="V34" s="206" t="str">
        <f>VLOOKUP($A34,'CCRA3 Risks'!$A:$R,12,FALSE)</f>
        <v>High</v>
      </c>
      <c r="W34" s="206" t="str">
        <f>VLOOKUP($A34,'CCRA3 Risks'!$A:$R,13,FALSE)</f>
        <v>Partially</v>
      </c>
      <c r="X34" s="206" t="str">
        <f>VLOOKUP($A34,'CCRA3 Risks'!$A:$R,14,FALSE)</f>
        <v>Further investigation</v>
      </c>
      <c r="Y34" s="206" t="str">
        <f>VLOOKUP($A34,'CCRA3 Risks'!$A:$R,15,FALSE)</f>
        <v>Further Investigation</v>
      </c>
      <c r="Z34" s="206" t="str">
        <f>VLOOKUP($A34,'CCRA3 Risks'!$A:$R,16,FALSE)</f>
        <v>Low (2)</v>
      </c>
      <c r="AA34" s="206" t="str">
        <f>VLOOKUP($A34,'CCRA3 Risks'!$A:$R,17,FALSE)</f>
        <v>Medium (Amber)</v>
      </c>
      <c r="AB34" s="206" t="str">
        <f>VLOOKUP($A34,'CCRA3 Risks'!$A:$R,18,FALSE)</f>
        <v>High (Reviews of building regulations and planning, Net Zero)</v>
      </c>
      <c r="AC34" s="202">
        <f>VLOOKUP($A34,'CCRA3 Risks'!$A:$AG,19,FALSE)</f>
        <v>0</v>
      </c>
      <c r="AD34" s="123">
        <f>VLOOKUP($A34,'CCRA3 Risks'!$A:$AG,20,FALSE)</f>
        <v>0</v>
      </c>
      <c r="AE34" s="123">
        <f>VLOOKUP($A34,'CCRA3 Risks'!$A:$AG,21,FALSE)</f>
        <v>0</v>
      </c>
      <c r="AF34" s="123">
        <f>VLOOKUP($A34,'CCRA3 Risks'!$A:$AG,22,FALSE)</f>
        <v>0</v>
      </c>
      <c r="AG34" s="123">
        <f>VLOOKUP($A34,'CCRA3 Risks'!$A:$AG,23,FALSE)</f>
        <v>0</v>
      </c>
      <c r="AH34" s="123">
        <f>VLOOKUP($A34,'CCRA3 Risks'!$A:$AG,24,FALSE)</f>
        <v>0</v>
      </c>
      <c r="AI34" s="123">
        <f>VLOOKUP($A34,'CCRA3 Risks'!$A:$AG,25,FALSE)</f>
        <v>0</v>
      </c>
      <c r="AJ34" s="123">
        <f>VLOOKUP($A34,'CCRA3 Risks'!$A:$AG,26,FALSE)</f>
        <v>0</v>
      </c>
      <c r="AK34" s="123">
        <f>VLOOKUP($A34,'CCRA3 Risks'!$A:$AG,27,FALSE)</f>
        <v>0</v>
      </c>
      <c r="AL34" s="123">
        <f>VLOOKUP($A34,'CCRA3 Risks'!$A:$AG,28,FALSE)</f>
        <v>0</v>
      </c>
      <c r="AM34" s="123">
        <f>VLOOKUP($A34,'CCRA3 Risks'!$A:$AG,29,FALSE)</f>
        <v>0</v>
      </c>
      <c r="AN34" s="123" t="str">
        <f>VLOOKUP($A34,'CCRA3 Risks'!$A:$AG,30,FALSE)</f>
        <v>Y</v>
      </c>
      <c r="AO34" s="123">
        <f>VLOOKUP($A34,'CCRA3 Risks'!$A:$AG,31,FALSE)</f>
        <v>0</v>
      </c>
      <c r="AP34" s="123">
        <f>VLOOKUP($A34,'CCRA3 Risks'!$A:$AG,32,FALSE)</f>
        <v>0</v>
      </c>
      <c r="AQ34" s="123">
        <f>VLOOKUP($A34,'CCRA3 Risks'!$A:$AG,33,FALSE)</f>
        <v>0</v>
      </c>
    </row>
    <row r="35" spans="1:43" ht="140.25" x14ac:dyDescent="0.25">
      <c r="A35" s="88" t="s">
        <v>220</v>
      </c>
      <c r="B35" s="88" t="s">
        <v>552</v>
      </c>
      <c r="C35" s="83" t="s">
        <v>553</v>
      </c>
      <c r="D35" s="83" t="s">
        <v>461</v>
      </c>
      <c r="E35" s="88" t="s">
        <v>67</v>
      </c>
      <c r="F35" s="83" t="s">
        <v>421</v>
      </c>
      <c r="G35" s="83" t="s">
        <v>30</v>
      </c>
      <c r="H35" s="83" t="s">
        <v>554</v>
      </c>
      <c r="I35" s="88"/>
      <c r="J35" s="88" t="s">
        <v>463</v>
      </c>
      <c r="K35" s="83" t="s">
        <v>555</v>
      </c>
      <c r="L35" s="88" t="s">
        <v>400</v>
      </c>
      <c r="M35" s="88" t="s">
        <v>556</v>
      </c>
      <c r="N35" s="206" t="str">
        <f>VLOOKUP($A35,'CCRA3 Risks'!$A:$R,2,FALSE)</f>
        <v>B5 Risks to business from reduced employee productivity due to infrastructure disruption and higher temperatures in working environments</v>
      </c>
      <c r="O35" s="206" t="str">
        <f>VLOOKUP($A35,'CCRA3 Risks'!$A:$R,3,FALSE)</f>
        <v>Yes</v>
      </c>
      <c r="P35" s="207">
        <f>VLOOKUP($A35,'CCRA3 Risks'!$A:$R,4,FALSE)</f>
        <v>6</v>
      </c>
      <c r="Q35" s="206" t="str">
        <f>VLOOKUP($A35,'CCRA3 Risks'!$A:$R,7,FALSE)</f>
        <v>England</v>
      </c>
      <c r="R35" s="206" t="str">
        <f>VLOOKUP($A35,'CCRA3 Risks'!$A:$R,8,FALSE)</f>
        <v>Low</v>
      </c>
      <c r="S35" s="206" t="str">
        <f>VLOOKUP($A35,'CCRA3 Risks'!$A:$R,9,FALSE)</f>
        <v>Medium</v>
      </c>
      <c r="T35" s="206" t="str">
        <f>VLOOKUP($A35,'CCRA3 Risks'!$A:$R,10,FALSE)</f>
        <v>Medium</v>
      </c>
      <c r="U35" s="206" t="str">
        <f>VLOOKUP($A35,'CCRA3 Risks'!$A:$R,11,FALSE)</f>
        <v>Medium</v>
      </c>
      <c r="V35" s="206" t="str">
        <f>VLOOKUP($A35,'CCRA3 Risks'!$A:$R,12,FALSE)</f>
        <v>High</v>
      </c>
      <c r="W35" s="206" t="str">
        <f>VLOOKUP($A35,'CCRA3 Risks'!$A:$R,13,FALSE)</f>
        <v>Partially</v>
      </c>
      <c r="X35" s="206" t="str">
        <f>VLOOKUP($A35,'CCRA3 Risks'!$A:$R,14,FALSE)</f>
        <v>Further investigation</v>
      </c>
      <c r="Y35" s="206" t="str">
        <f>VLOOKUP($A35,'CCRA3 Risks'!$A:$R,15,FALSE)</f>
        <v>Further Investigation</v>
      </c>
      <c r="Z35" s="206" t="str">
        <f>VLOOKUP($A35,'CCRA3 Risks'!$A:$R,16,FALSE)</f>
        <v>Low (2)</v>
      </c>
      <c r="AA35" s="206" t="str">
        <f>VLOOKUP($A35,'CCRA3 Risks'!$A:$R,17,FALSE)</f>
        <v>Medium (Amber)</v>
      </c>
      <c r="AB35" s="206" t="str">
        <f>VLOOKUP($A35,'CCRA3 Risks'!$A:$R,18,FALSE)</f>
        <v>High (Reviews of building regulations and planning, Net Zero)</v>
      </c>
      <c r="AC35" s="202">
        <f>VLOOKUP($A35,'CCRA3 Risks'!$A:$AG,19,FALSE)</f>
        <v>0</v>
      </c>
      <c r="AD35" s="123">
        <f>VLOOKUP($A35,'CCRA3 Risks'!$A:$AG,20,FALSE)</f>
        <v>0</v>
      </c>
      <c r="AE35" s="123">
        <f>VLOOKUP($A35,'CCRA3 Risks'!$A:$AG,21,FALSE)</f>
        <v>0</v>
      </c>
      <c r="AF35" s="123">
        <f>VLOOKUP($A35,'CCRA3 Risks'!$A:$AG,22,FALSE)</f>
        <v>0</v>
      </c>
      <c r="AG35" s="123">
        <f>VLOOKUP($A35,'CCRA3 Risks'!$A:$AG,23,FALSE)</f>
        <v>0</v>
      </c>
      <c r="AH35" s="123">
        <f>VLOOKUP($A35,'CCRA3 Risks'!$A:$AG,24,FALSE)</f>
        <v>0</v>
      </c>
      <c r="AI35" s="123">
        <f>VLOOKUP($A35,'CCRA3 Risks'!$A:$AG,25,FALSE)</f>
        <v>0</v>
      </c>
      <c r="AJ35" s="123">
        <f>VLOOKUP($A35,'CCRA3 Risks'!$A:$AG,26,FALSE)</f>
        <v>0</v>
      </c>
      <c r="AK35" s="123">
        <f>VLOOKUP($A35,'CCRA3 Risks'!$A:$AG,27,FALSE)</f>
        <v>0</v>
      </c>
      <c r="AL35" s="123">
        <f>VLOOKUP($A35,'CCRA3 Risks'!$A:$AG,28,FALSE)</f>
        <v>0</v>
      </c>
      <c r="AM35" s="123">
        <f>VLOOKUP($A35,'CCRA3 Risks'!$A:$AG,29,FALSE)</f>
        <v>0</v>
      </c>
      <c r="AN35" s="123" t="str">
        <f>VLOOKUP($A35,'CCRA3 Risks'!$A:$AG,30,FALSE)</f>
        <v>Y</v>
      </c>
      <c r="AO35" s="123">
        <f>VLOOKUP($A35,'CCRA3 Risks'!$A:$AG,31,FALSE)</f>
        <v>0</v>
      </c>
      <c r="AP35" s="123">
        <f>VLOOKUP($A35,'CCRA3 Risks'!$A:$AG,32,FALSE)</f>
        <v>0</v>
      </c>
      <c r="AQ35" s="123">
        <f>VLOOKUP($A35,'CCRA3 Risks'!$A:$AG,33,FALSE)</f>
        <v>0</v>
      </c>
    </row>
    <row r="36" spans="1:43" ht="51" x14ac:dyDescent="0.25">
      <c r="A36" s="88" t="s">
        <v>220</v>
      </c>
      <c r="B36" s="88" t="s">
        <v>557</v>
      </c>
      <c r="C36" s="83" t="s">
        <v>558</v>
      </c>
      <c r="D36" s="83" t="s">
        <v>395</v>
      </c>
      <c r="E36" s="88" t="s">
        <v>67</v>
      </c>
      <c r="F36" s="83" t="s">
        <v>421</v>
      </c>
      <c r="G36" s="83" t="s">
        <v>30</v>
      </c>
      <c r="H36" s="83" t="s">
        <v>559</v>
      </c>
      <c r="I36" s="88"/>
      <c r="J36" s="88" t="s">
        <v>417</v>
      </c>
      <c r="K36" s="83" t="s">
        <v>560</v>
      </c>
      <c r="L36" s="88" t="s">
        <v>400</v>
      </c>
      <c r="M36" s="88" t="s">
        <v>35</v>
      </c>
      <c r="N36" s="206" t="str">
        <f>VLOOKUP($A36,'CCRA3 Risks'!$A:$R,2,FALSE)</f>
        <v>B5 Risks to business from reduced employee productivity due to infrastructure disruption and higher temperatures in working environments</v>
      </c>
      <c r="O36" s="206" t="str">
        <f>VLOOKUP($A36,'CCRA3 Risks'!$A:$R,3,FALSE)</f>
        <v>Yes</v>
      </c>
      <c r="P36" s="207">
        <f>VLOOKUP($A36,'CCRA3 Risks'!$A:$R,4,FALSE)</f>
        <v>6</v>
      </c>
      <c r="Q36" s="206" t="str">
        <f>VLOOKUP($A36,'CCRA3 Risks'!$A:$R,7,FALSE)</f>
        <v>England</v>
      </c>
      <c r="R36" s="206" t="str">
        <f>VLOOKUP($A36,'CCRA3 Risks'!$A:$R,8,FALSE)</f>
        <v>Low</v>
      </c>
      <c r="S36" s="206" t="str">
        <f>VLOOKUP($A36,'CCRA3 Risks'!$A:$R,9,FALSE)</f>
        <v>Medium</v>
      </c>
      <c r="T36" s="206" t="str">
        <f>VLOOKUP($A36,'CCRA3 Risks'!$A:$R,10,FALSE)</f>
        <v>Medium</v>
      </c>
      <c r="U36" s="206" t="str">
        <f>VLOOKUP($A36,'CCRA3 Risks'!$A:$R,11,FALSE)</f>
        <v>Medium</v>
      </c>
      <c r="V36" s="206" t="str">
        <f>VLOOKUP($A36,'CCRA3 Risks'!$A:$R,12,FALSE)</f>
        <v>High</v>
      </c>
      <c r="W36" s="206" t="str">
        <f>VLOOKUP($A36,'CCRA3 Risks'!$A:$R,13,FALSE)</f>
        <v>Partially</v>
      </c>
      <c r="X36" s="206" t="str">
        <f>VLOOKUP($A36,'CCRA3 Risks'!$A:$R,14,FALSE)</f>
        <v>Further investigation</v>
      </c>
      <c r="Y36" s="206" t="str">
        <f>VLOOKUP($A36,'CCRA3 Risks'!$A:$R,15,FALSE)</f>
        <v>Further Investigation</v>
      </c>
      <c r="Z36" s="206" t="str">
        <f>VLOOKUP($A36,'CCRA3 Risks'!$A:$R,16,FALSE)</f>
        <v>Low (2)</v>
      </c>
      <c r="AA36" s="206" t="str">
        <f>VLOOKUP($A36,'CCRA3 Risks'!$A:$R,17,FALSE)</f>
        <v>Medium (Amber)</v>
      </c>
      <c r="AB36" s="206" t="str">
        <f>VLOOKUP($A36,'CCRA3 Risks'!$A:$R,18,FALSE)</f>
        <v>High (Reviews of building regulations and planning, Net Zero)</v>
      </c>
      <c r="AC36" s="202">
        <f>VLOOKUP($A36,'CCRA3 Risks'!$A:$AG,19,FALSE)</f>
        <v>0</v>
      </c>
      <c r="AD36" s="123">
        <f>VLOOKUP($A36,'CCRA3 Risks'!$A:$AG,20,FALSE)</f>
        <v>0</v>
      </c>
      <c r="AE36" s="123">
        <f>VLOOKUP($A36,'CCRA3 Risks'!$A:$AG,21,FALSE)</f>
        <v>0</v>
      </c>
      <c r="AF36" s="123">
        <f>VLOOKUP($A36,'CCRA3 Risks'!$A:$AG,22,FALSE)</f>
        <v>0</v>
      </c>
      <c r="AG36" s="123">
        <f>VLOOKUP($A36,'CCRA3 Risks'!$A:$AG,23,FALSE)</f>
        <v>0</v>
      </c>
      <c r="AH36" s="123">
        <f>VLOOKUP($A36,'CCRA3 Risks'!$A:$AG,24,FALSE)</f>
        <v>0</v>
      </c>
      <c r="AI36" s="123">
        <f>VLOOKUP($A36,'CCRA3 Risks'!$A:$AG,25,FALSE)</f>
        <v>0</v>
      </c>
      <c r="AJ36" s="123">
        <f>VLOOKUP($A36,'CCRA3 Risks'!$A:$AG,26,FALSE)</f>
        <v>0</v>
      </c>
      <c r="AK36" s="123">
        <f>VLOOKUP($A36,'CCRA3 Risks'!$A:$AG,27,FALSE)</f>
        <v>0</v>
      </c>
      <c r="AL36" s="123">
        <f>VLOOKUP($A36,'CCRA3 Risks'!$A:$AG,28,FALSE)</f>
        <v>0</v>
      </c>
      <c r="AM36" s="123">
        <f>VLOOKUP($A36,'CCRA3 Risks'!$A:$AG,29,FALSE)</f>
        <v>0</v>
      </c>
      <c r="AN36" s="123" t="str">
        <f>VLOOKUP($A36,'CCRA3 Risks'!$A:$AG,30,FALSE)</f>
        <v>Y</v>
      </c>
      <c r="AO36" s="123">
        <f>VLOOKUP($A36,'CCRA3 Risks'!$A:$AG,31,FALSE)</f>
        <v>0</v>
      </c>
      <c r="AP36" s="123">
        <f>VLOOKUP($A36,'CCRA3 Risks'!$A:$AG,32,FALSE)</f>
        <v>0</v>
      </c>
      <c r="AQ36" s="123">
        <f>VLOOKUP($A36,'CCRA3 Risks'!$A:$AG,33,FALSE)</f>
        <v>0</v>
      </c>
    </row>
    <row r="37" spans="1:43" ht="153" x14ac:dyDescent="0.25">
      <c r="A37" s="88" t="s">
        <v>222</v>
      </c>
      <c r="B37" s="88" t="s">
        <v>561</v>
      </c>
      <c r="C37" s="83" t="s">
        <v>562</v>
      </c>
      <c r="D37" s="83" t="s">
        <v>461</v>
      </c>
      <c r="E37" s="88" t="s">
        <v>67</v>
      </c>
      <c r="F37" s="83" t="s">
        <v>421</v>
      </c>
      <c r="G37" s="83" t="s">
        <v>30</v>
      </c>
      <c r="H37" s="82" t="s">
        <v>563</v>
      </c>
      <c r="I37" s="88"/>
      <c r="J37" s="88" t="s">
        <v>398</v>
      </c>
      <c r="K37" s="83" t="s">
        <v>564</v>
      </c>
      <c r="L37" s="88" t="s">
        <v>400</v>
      </c>
      <c r="M37" s="88" t="s">
        <v>35</v>
      </c>
      <c r="N37" s="206" t="str">
        <f>VLOOKUP($A37,'CCRA3 Risks'!$A:$R,2,FALSE)</f>
        <v>B6 Risks to business from disruption to supply chains and distribution networks</v>
      </c>
      <c r="O37" s="206" t="str">
        <f>VLOOKUP($A37,'CCRA3 Risks'!$A:$R,3,FALSE)</f>
        <v>Yes</v>
      </c>
      <c r="P37" s="207">
        <f>VLOOKUP($A37,'CCRA3 Risks'!$A:$R,4,FALSE)</f>
        <v>6</v>
      </c>
      <c r="Q37" s="206" t="str">
        <f>VLOOKUP($A37,'CCRA3 Risks'!$A:$R,7,FALSE)</f>
        <v>England</v>
      </c>
      <c r="R37" s="206" t="str">
        <f>VLOOKUP($A37,'CCRA3 Risks'!$A:$R,8,FALSE)</f>
        <v>Medium</v>
      </c>
      <c r="S37" s="206" t="str">
        <f>VLOOKUP($A37,'CCRA3 Risks'!$A:$R,9,FALSE)</f>
        <v>Unknown</v>
      </c>
      <c r="T37" s="206" t="str">
        <f>VLOOKUP($A37,'CCRA3 Risks'!$A:$R,10,FALSE)</f>
        <v>Unknown</v>
      </c>
      <c r="U37" s="206" t="str">
        <f>VLOOKUP($A37,'CCRA3 Risks'!$A:$R,11,FALSE)</f>
        <v>Unknown</v>
      </c>
      <c r="V37" s="206" t="str">
        <f>VLOOKUP($A37,'CCRA3 Risks'!$A:$R,12,FALSE)</f>
        <v>Unknown</v>
      </c>
      <c r="W37" s="206" t="str">
        <f>VLOOKUP($A37,'CCRA3 Risks'!$A:$R,13,FALSE)</f>
        <v>Partially</v>
      </c>
      <c r="X37" s="206" t="str">
        <f>VLOOKUP($A37,'CCRA3 Risks'!$A:$R,14,FALSE)</f>
        <v>More action needed</v>
      </c>
      <c r="Y37" s="206" t="str">
        <f>VLOOKUP($A37,'CCRA3 Risks'!$A:$R,15,FALSE)</f>
        <v>More action needed</v>
      </c>
      <c r="Z37" s="206" t="str">
        <f>VLOOKUP($A37,'CCRA3 Risks'!$A:$R,16,FALSE)</f>
        <v>Low (2)</v>
      </c>
      <c r="AA37" s="206" t="str">
        <f>VLOOKUP($A37,'CCRA3 Risks'!$A:$R,17,FALSE)</f>
        <v>Medium (Amber)</v>
      </c>
      <c r="AB37" s="206" t="str">
        <f>VLOOKUP($A37,'CCRA3 Risks'!$A:$R,18,FALSE)</f>
        <v>High (TCFD reporting, possible increased focus on supply chain resilience post-Covid)</v>
      </c>
      <c r="AC37" s="202">
        <f>VLOOKUP($A37,'CCRA3 Risks'!$A:$AG,19,FALSE)</f>
        <v>0</v>
      </c>
      <c r="AD37" s="123">
        <f>VLOOKUP($A37,'CCRA3 Risks'!$A:$AG,20,FALSE)</f>
        <v>0</v>
      </c>
      <c r="AE37" s="123" t="str">
        <f>VLOOKUP($A37,'CCRA3 Risks'!$A:$AG,21,FALSE)</f>
        <v>Y</v>
      </c>
      <c r="AF37" s="123">
        <f>VLOOKUP($A37,'CCRA3 Risks'!$A:$AG,22,FALSE)</f>
        <v>0</v>
      </c>
      <c r="AG37" s="123">
        <f>VLOOKUP($A37,'CCRA3 Risks'!$A:$AG,23,FALSE)</f>
        <v>0</v>
      </c>
      <c r="AH37" s="123">
        <f>VLOOKUP($A37,'CCRA3 Risks'!$A:$AG,24,FALSE)</f>
        <v>0</v>
      </c>
      <c r="AI37" s="123">
        <f>VLOOKUP($A37,'CCRA3 Risks'!$A:$AG,25,FALSE)</f>
        <v>0</v>
      </c>
      <c r="AJ37" s="123">
        <f>VLOOKUP($A37,'CCRA3 Risks'!$A:$AG,26,FALSE)</f>
        <v>0</v>
      </c>
      <c r="AK37" s="123">
        <f>VLOOKUP($A37,'CCRA3 Risks'!$A:$AG,27,FALSE)</f>
        <v>0</v>
      </c>
      <c r="AL37" s="123">
        <f>VLOOKUP($A37,'CCRA3 Risks'!$A:$AG,28,FALSE)</f>
        <v>0</v>
      </c>
      <c r="AM37" s="123">
        <f>VLOOKUP($A37,'CCRA3 Risks'!$A:$AG,29,FALSE)</f>
        <v>0</v>
      </c>
      <c r="AN37" s="123" t="str">
        <f>VLOOKUP($A37,'CCRA3 Risks'!$A:$AG,30,FALSE)</f>
        <v>Y</v>
      </c>
      <c r="AO37" s="123">
        <f>VLOOKUP($A37,'CCRA3 Risks'!$A:$AG,31,FALSE)</f>
        <v>0</v>
      </c>
      <c r="AP37" s="123">
        <f>VLOOKUP($A37,'CCRA3 Risks'!$A:$AG,32,FALSE)</f>
        <v>0</v>
      </c>
      <c r="AQ37" s="123">
        <f>VLOOKUP($A37,'CCRA3 Risks'!$A:$AG,33,FALSE)</f>
        <v>0</v>
      </c>
    </row>
    <row r="38" spans="1:43" ht="102" x14ac:dyDescent="0.25">
      <c r="A38" s="88" t="s">
        <v>222</v>
      </c>
      <c r="B38" s="88" t="s">
        <v>565</v>
      </c>
      <c r="C38" s="83" t="s">
        <v>566</v>
      </c>
      <c r="D38" s="83" t="s">
        <v>461</v>
      </c>
      <c r="E38" s="88" t="s">
        <v>67</v>
      </c>
      <c r="F38" s="83" t="s">
        <v>421</v>
      </c>
      <c r="G38" s="83" t="s">
        <v>30</v>
      </c>
      <c r="H38" s="83" t="s">
        <v>567</v>
      </c>
      <c r="I38" s="88"/>
      <c r="J38" s="88" t="s">
        <v>411</v>
      </c>
      <c r="K38" s="83" t="s">
        <v>568</v>
      </c>
      <c r="L38" s="88" t="s">
        <v>400</v>
      </c>
      <c r="M38" s="88" t="s">
        <v>400</v>
      </c>
      <c r="N38" s="206" t="str">
        <f>VLOOKUP($A38,'CCRA3 Risks'!$A:$R,2,FALSE)</f>
        <v>B6 Risks to business from disruption to supply chains and distribution networks</v>
      </c>
      <c r="O38" s="206" t="str">
        <f>VLOOKUP($A38,'CCRA3 Risks'!$A:$R,3,FALSE)</f>
        <v>Yes</v>
      </c>
      <c r="P38" s="207">
        <f>VLOOKUP($A38,'CCRA3 Risks'!$A:$R,4,FALSE)</f>
        <v>6</v>
      </c>
      <c r="Q38" s="206" t="str">
        <f>VLOOKUP($A38,'CCRA3 Risks'!$A:$R,7,FALSE)</f>
        <v>England</v>
      </c>
      <c r="R38" s="206" t="str">
        <f>VLOOKUP($A38,'CCRA3 Risks'!$A:$R,8,FALSE)</f>
        <v>Medium</v>
      </c>
      <c r="S38" s="206" t="str">
        <f>VLOOKUP($A38,'CCRA3 Risks'!$A:$R,9,FALSE)</f>
        <v>Unknown</v>
      </c>
      <c r="T38" s="206" t="str">
        <f>VLOOKUP($A38,'CCRA3 Risks'!$A:$R,10,FALSE)</f>
        <v>Unknown</v>
      </c>
      <c r="U38" s="206" t="str">
        <f>VLOOKUP($A38,'CCRA3 Risks'!$A:$R,11,FALSE)</f>
        <v>Unknown</v>
      </c>
      <c r="V38" s="206" t="str">
        <f>VLOOKUP($A38,'CCRA3 Risks'!$A:$R,12,FALSE)</f>
        <v>Unknown</v>
      </c>
      <c r="W38" s="206" t="str">
        <f>VLOOKUP($A38,'CCRA3 Risks'!$A:$R,13,FALSE)</f>
        <v>Partially</v>
      </c>
      <c r="X38" s="206" t="str">
        <f>VLOOKUP($A38,'CCRA3 Risks'!$A:$R,14,FALSE)</f>
        <v>More action needed</v>
      </c>
      <c r="Y38" s="206" t="str">
        <f>VLOOKUP($A38,'CCRA3 Risks'!$A:$R,15,FALSE)</f>
        <v>More action needed</v>
      </c>
      <c r="Z38" s="206" t="str">
        <f>VLOOKUP($A38,'CCRA3 Risks'!$A:$R,16,FALSE)</f>
        <v>Low (2)</v>
      </c>
      <c r="AA38" s="206" t="str">
        <f>VLOOKUP($A38,'CCRA3 Risks'!$A:$R,17,FALSE)</f>
        <v>Medium (Amber)</v>
      </c>
      <c r="AB38" s="206" t="str">
        <f>VLOOKUP($A38,'CCRA3 Risks'!$A:$R,18,FALSE)</f>
        <v>High (TCFD reporting, possible increased focus on supply chain resilience post-Covid)</v>
      </c>
      <c r="AC38" s="202">
        <f>VLOOKUP($A38,'CCRA3 Risks'!$A:$AG,19,FALSE)</f>
        <v>0</v>
      </c>
      <c r="AD38" s="123">
        <f>VLOOKUP($A38,'CCRA3 Risks'!$A:$AG,20,FALSE)</f>
        <v>0</v>
      </c>
      <c r="AE38" s="123" t="str">
        <f>VLOOKUP($A38,'CCRA3 Risks'!$A:$AG,21,FALSE)</f>
        <v>Y</v>
      </c>
      <c r="AF38" s="123">
        <f>VLOOKUP($A38,'CCRA3 Risks'!$A:$AG,22,FALSE)</f>
        <v>0</v>
      </c>
      <c r="AG38" s="123">
        <f>VLOOKUP($A38,'CCRA3 Risks'!$A:$AG,23,FALSE)</f>
        <v>0</v>
      </c>
      <c r="AH38" s="123">
        <f>VLOOKUP($A38,'CCRA3 Risks'!$A:$AG,24,FALSE)</f>
        <v>0</v>
      </c>
      <c r="AI38" s="123">
        <f>VLOOKUP($A38,'CCRA3 Risks'!$A:$AG,25,FALSE)</f>
        <v>0</v>
      </c>
      <c r="AJ38" s="123">
        <f>VLOOKUP($A38,'CCRA3 Risks'!$A:$AG,26,FALSE)</f>
        <v>0</v>
      </c>
      <c r="AK38" s="123">
        <f>VLOOKUP($A38,'CCRA3 Risks'!$A:$AG,27,FALSE)</f>
        <v>0</v>
      </c>
      <c r="AL38" s="123">
        <f>VLOOKUP($A38,'CCRA3 Risks'!$A:$AG,28,FALSE)</f>
        <v>0</v>
      </c>
      <c r="AM38" s="123">
        <f>VLOOKUP($A38,'CCRA3 Risks'!$A:$AG,29,FALSE)</f>
        <v>0</v>
      </c>
      <c r="AN38" s="123" t="str">
        <f>VLOOKUP($A38,'CCRA3 Risks'!$A:$AG,30,FALSE)</f>
        <v>Y</v>
      </c>
      <c r="AO38" s="123">
        <f>VLOOKUP($A38,'CCRA3 Risks'!$A:$AG,31,FALSE)</f>
        <v>0</v>
      </c>
      <c r="AP38" s="123">
        <f>VLOOKUP($A38,'CCRA3 Risks'!$A:$AG,32,FALSE)</f>
        <v>0</v>
      </c>
      <c r="AQ38" s="123">
        <f>VLOOKUP($A38,'CCRA3 Risks'!$A:$AG,33,FALSE)</f>
        <v>0</v>
      </c>
    </row>
    <row r="39" spans="1:43" ht="153" x14ac:dyDescent="0.25">
      <c r="A39" s="88" t="s">
        <v>222</v>
      </c>
      <c r="B39" s="88" t="s">
        <v>569</v>
      </c>
      <c r="C39" s="83" t="s">
        <v>570</v>
      </c>
      <c r="D39" s="83" t="s">
        <v>461</v>
      </c>
      <c r="E39" s="88" t="s">
        <v>67</v>
      </c>
      <c r="F39" s="83" t="s">
        <v>421</v>
      </c>
      <c r="G39" s="83" t="s">
        <v>30</v>
      </c>
      <c r="H39" s="83" t="s">
        <v>571</v>
      </c>
      <c r="I39" s="88"/>
      <c r="J39" s="88" t="s">
        <v>463</v>
      </c>
      <c r="K39" s="83" t="s">
        <v>572</v>
      </c>
      <c r="L39" s="88" t="s">
        <v>400</v>
      </c>
      <c r="M39" s="88" t="s">
        <v>400</v>
      </c>
      <c r="N39" s="206" t="str">
        <f>VLOOKUP($A39,'CCRA3 Risks'!$A:$R,2,FALSE)</f>
        <v>B6 Risks to business from disruption to supply chains and distribution networks</v>
      </c>
      <c r="O39" s="206" t="str">
        <f>VLOOKUP($A39,'CCRA3 Risks'!$A:$R,3,FALSE)</f>
        <v>Yes</v>
      </c>
      <c r="P39" s="207">
        <f>VLOOKUP($A39,'CCRA3 Risks'!$A:$R,4,FALSE)</f>
        <v>6</v>
      </c>
      <c r="Q39" s="206" t="str">
        <f>VLOOKUP($A39,'CCRA3 Risks'!$A:$R,7,FALSE)</f>
        <v>England</v>
      </c>
      <c r="R39" s="206" t="str">
        <f>VLOOKUP($A39,'CCRA3 Risks'!$A:$R,8,FALSE)</f>
        <v>Medium</v>
      </c>
      <c r="S39" s="206" t="str">
        <f>VLOOKUP($A39,'CCRA3 Risks'!$A:$R,9,FALSE)</f>
        <v>Unknown</v>
      </c>
      <c r="T39" s="206" t="str">
        <f>VLOOKUP($A39,'CCRA3 Risks'!$A:$R,10,FALSE)</f>
        <v>Unknown</v>
      </c>
      <c r="U39" s="206" t="str">
        <f>VLOOKUP($A39,'CCRA3 Risks'!$A:$R,11,FALSE)</f>
        <v>Unknown</v>
      </c>
      <c r="V39" s="206" t="str">
        <f>VLOOKUP($A39,'CCRA3 Risks'!$A:$R,12,FALSE)</f>
        <v>Unknown</v>
      </c>
      <c r="W39" s="206" t="str">
        <f>VLOOKUP($A39,'CCRA3 Risks'!$A:$R,13,FALSE)</f>
        <v>Partially</v>
      </c>
      <c r="X39" s="206" t="str">
        <f>VLOOKUP($A39,'CCRA3 Risks'!$A:$R,14,FALSE)</f>
        <v>More action needed</v>
      </c>
      <c r="Y39" s="206" t="str">
        <f>VLOOKUP($A39,'CCRA3 Risks'!$A:$R,15,FALSE)</f>
        <v>More action needed</v>
      </c>
      <c r="Z39" s="206" t="str">
        <f>VLOOKUP($A39,'CCRA3 Risks'!$A:$R,16,FALSE)</f>
        <v>Low (2)</v>
      </c>
      <c r="AA39" s="206" t="str">
        <f>VLOOKUP($A39,'CCRA3 Risks'!$A:$R,17,FALSE)</f>
        <v>Medium (Amber)</v>
      </c>
      <c r="AB39" s="206" t="str">
        <f>VLOOKUP($A39,'CCRA3 Risks'!$A:$R,18,FALSE)</f>
        <v>High (TCFD reporting, possible increased focus on supply chain resilience post-Covid)</v>
      </c>
      <c r="AC39" s="202">
        <f>VLOOKUP($A39,'CCRA3 Risks'!$A:$AG,19,FALSE)</f>
        <v>0</v>
      </c>
      <c r="AD39" s="123">
        <f>VLOOKUP($A39,'CCRA3 Risks'!$A:$AG,20,FALSE)</f>
        <v>0</v>
      </c>
      <c r="AE39" s="123" t="str">
        <f>VLOOKUP($A39,'CCRA3 Risks'!$A:$AG,21,FALSE)</f>
        <v>Y</v>
      </c>
      <c r="AF39" s="123">
        <f>VLOOKUP($A39,'CCRA3 Risks'!$A:$AG,22,FALSE)</f>
        <v>0</v>
      </c>
      <c r="AG39" s="123">
        <f>VLOOKUP($A39,'CCRA3 Risks'!$A:$AG,23,FALSE)</f>
        <v>0</v>
      </c>
      <c r="AH39" s="123">
        <f>VLOOKUP($A39,'CCRA3 Risks'!$A:$AG,24,FALSE)</f>
        <v>0</v>
      </c>
      <c r="AI39" s="123">
        <f>VLOOKUP($A39,'CCRA3 Risks'!$A:$AG,25,FALSE)</f>
        <v>0</v>
      </c>
      <c r="AJ39" s="123">
        <f>VLOOKUP($A39,'CCRA3 Risks'!$A:$AG,26,FALSE)</f>
        <v>0</v>
      </c>
      <c r="AK39" s="123">
        <f>VLOOKUP($A39,'CCRA3 Risks'!$A:$AG,27,FALSE)</f>
        <v>0</v>
      </c>
      <c r="AL39" s="123">
        <f>VLOOKUP($A39,'CCRA3 Risks'!$A:$AG,28,FALSE)</f>
        <v>0</v>
      </c>
      <c r="AM39" s="123">
        <f>VLOOKUP($A39,'CCRA3 Risks'!$A:$AG,29,FALSE)</f>
        <v>0</v>
      </c>
      <c r="AN39" s="123" t="str">
        <f>VLOOKUP($A39,'CCRA3 Risks'!$A:$AG,30,FALSE)</f>
        <v>Y</v>
      </c>
      <c r="AO39" s="123">
        <f>VLOOKUP($A39,'CCRA3 Risks'!$A:$AG,31,FALSE)</f>
        <v>0</v>
      </c>
      <c r="AP39" s="123">
        <f>VLOOKUP($A39,'CCRA3 Risks'!$A:$AG,32,FALSE)</f>
        <v>0</v>
      </c>
      <c r="AQ39" s="123">
        <f>VLOOKUP($A39,'CCRA3 Risks'!$A:$AG,33,FALSE)</f>
        <v>0</v>
      </c>
    </row>
    <row r="40" spans="1:43" ht="76.5" x14ac:dyDescent="0.25">
      <c r="A40" s="88" t="s">
        <v>222</v>
      </c>
      <c r="B40" s="88" t="s">
        <v>573</v>
      </c>
      <c r="C40" s="83" t="s">
        <v>574</v>
      </c>
      <c r="D40" s="83" t="s">
        <v>461</v>
      </c>
      <c r="E40" s="88" t="s">
        <v>67</v>
      </c>
      <c r="F40" s="83" t="s">
        <v>421</v>
      </c>
      <c r="G40" s="83" t="s">
        <v>30</v>
      </c>
      <c r="H40" s="83" t="s">
        <v>575</v>
      </c>
      <c r="I40" s="88"/>
      <c r="J40" s="88" t="s">
        <v>463</v>
      </c>
      <c r="K40" s="83" t="s">
        <v>576</v>
      </c>
      <c r="L40" s="88" t="s">
        <v>400</v>
      </c>
      <c r="M40" s="83" t="s">
        <v>577</v>
      </c>
      <c r="N40" s="206" t="str">
        <f>VLOOKUP($A40,'CCRA3 Risks'!$A:$R,2,FALSE)</f>
        <v>B6 Risks to business from disruption to supply chains and distribution networks</v>
      </c>
      <c r="O40" s="206" t="str">
        <f>VLOOKUP($A40,'CCRA3 Risks'!$A:$R,3,FALSE)</f>
        <v>Yes</v>
      </c>
      <c r="P40" s="207">
        <f>VLOOKUP($A40,'CCRA3 Risks'!$A:$R,4,FALSE)</f>
        <v>6</v>
      </c>
      <c r="Q40" s="206" t="str">
        <f>VLOOKUP($A40,'CCRA3 Risks'!$A:$R,7,FALSE)</f>
        <v>England</v>
      </c>
      <c r="R40" s="206" t="str">
        <f>VLOOKUP($A40,'CCRA3 Risks'!$A:$R,8,FALSE)</f>
        <v>Medium</v>
      </c>
      <c r="S40" s="206" t="str">
        <f>VLOOKUP($A40,'CCRA3 Risks'!$A:$R,9,FALSE)</f>
        <v>Unknown</v>
      </c>
      <c r="T40" s="206" t="str">
        <f>VLOOKUP($A40,'CCRA3 Risks'!$A:$R,10,FALSE)</f>
        <v>Unknown</v>
      </c>
      <c r="U40" s="206" t="str">
        <f>VLOOKUP($A40,'CCRA3 Risks'!$A:$R,11,FALSE)</f>
        <v>Unknown</v>
      </c>
      <c r="V40" s="206" t="str">
        <f>VLOOKUP($A40,'CCRA3 Risks'!$A:$R,12,FALSE)</f>
        <v>Unknown</v>
      </c>
      <c r="W40" s="206" t="str">
        <f>VLOOKUP($A40,'CCRA3 Risks'!$A:$R,13,FALSE)</f>
        <v>Partially</v>
      </c>
      <c r="X40" s="206" t="str">
        <f>VLOOKUP($A40,'CCRA3 Risks'!$A:$R,14,FALSE)</f>
        <v>More action needed</v>
      </c>
      <c r="Y40" s="206" t="str">
        <f>VLOOKUP($A40,'CCRA3 Risks'!$A:$R,15,FALSE)</f>
        <v>More action needed</v>
      </c>
      <c r="Z40" s="206" t="str">
        <f>VLOOKUP($A40,'CCRA3 Risks'!$A:$R,16,FALSE)</f>
        <v>Low (2)</v>
      </c>
      <c r="AA40" s="206" t="str">
        <f>VLOOKUP($A40,'CCRA3 Risks'!$A:$R,17,FALSE)</f>
        <v>Medium (Amber)</v>
      </c>
      <c r="AB40" s="206" t="str">
        <f>VLOOKUP($A40,'CCRA3 Risks'!$A:$R,18,FALSE)</f>
        <v>High (TCFD reporting, possible increased focus on supply chain resilience post-Covid)</v>
      </c>
      <c r="AC40" s="202">
        <f>VLOOKUP($A40,'CCRA3 Risks'!$A:$AG,19,FALSE)</f>
        <v>0</v>
      </c>
      <c r="AD40" s="123">
        <f>VLOOKUP($A40,'CCRA3 Risks'!$A:$AG,20,FALSE)</f>
        <v>0</v>
      </c>
      <c r="AE40" s="123" t="str">
        <f>VLOOKUP($A40,'CCRA3 Risks'!$A:$AG,21,FALSE)</f>
        <v>Y</v>
      </c>
      <c r="AF40" s="123">
        <f>VLOOKUP($A40,'CCRA3 Risks'!$A:$AG,22,FALSE)</f>
        <v>0</v>
      </c>
      <c r="AG40" s="123">
        <f>VLOOKUP($A40,'CCRA3 Risks'!$A:$AG,23,FALSE)</f>
        <v>0</v>
      </c>
      <c r="AH40" s="123">
        <f>VLOOKUP($A40,'CCRA3 Risks'!$A:$AG,24,FALSE)</f>
        <v>0</v>
      </c>
      <c r="AI40" s="123">
        <f>VLOOKUP($A40,'CCRA3 Risks'!$A:$AG,25,FALSE)</f>
        <v>0</v>
      </c>
      <c r="AJ40" s="123">
        <f>VLOOKUP($A40,'CCRA3 Risks'!$A:$AG,26,FALSE)</f>
        <v>0</v>
      </c>
      <c r="AK40" s="123">
        <f>VLOOKUP($A40,'CCRA3 Risks'!$A:$AG,27,FALSE)</f>
        <v>0</v>
      </c>
      <c r="AL40" s="123">
        <f>VLOOKUP($A40,'CCRA3 Risks'!$A:$AG,28,FALSE)</f>
        <v>0</v>
      </c>
      <c r="AM40" s="123">
        <f>VLOOKUP($A40,'CCRA3 Risks'!$A:$AG,29,FALSE)</f>
        <v>0</v>
      </c>
      <c r="AN40" s="123" t="str">
        <f>VLOOKUP($A40,'CCRA3 Risks'!$A:$AG,30,FALSE)</f>
        <v>Y</v>
      </c>
      <c r="AO40" s="123">
        <f>VLOOKUP($A40,'CCRA3 Risks'!$A:$AG,31,FALSE)</f>
        <v>0</v>
      </c>
      <c r="AP40" s="123">
        <f>VLOOKUP($A40,'CCRA3 Risks'!$A:$AG,32,FALSE)</f>
        <v>0</v>
      </c>
      <c r="AQ40" s="123">
        <f>VLOOKUP($A40,'CCRA3 Risks'!$A:$AG,33,FALSE)</f>
        <v>0</v>
      </c>
    </row>
    <row r="41" spans="1:43" ht="102" x14ac:dyDescent="0.25">
      <c r="A41" s="88" t="s">
        <v>222</v>
      </c>
      <c r="B41" s="88" t="s">
        <v>578</v>
      </c>
      <c r="C41" s="83" t="s">
        <v>579</v>
      </c>
      <c r="D41" s="83" t="s">
        <v>403</v>
      </c>
      <c r="E41" s="88" t="s">
        <v>67</v>
      </c>
      <c r="F41" s="83" t="s">
        <v>396</v>
      </c>
      <c r="G41" s="83" t="s">
        <v>30</v>
      </c>
      <c r="H41" s="83" t="s">
        <v>580</v>
      </c>
      <c r="I41" s="88"/>
      <c r="J41" s="88" t="s">
        <v>398</v>
      </c>
      <c r="K41" s="83" t="s">
        <v>581</v>
      </c>
      <c r="L41" s="88" t="s">
        <v>400</v>
      </c>
      <c r="M41" s="88" t="s">
        <v>400</v>
      </c>
      <c r="N41" s="206" t="str">
        <f>VLOOKUP($A41,'CCRA3 Risks'!$A:$R,2,FALSE)</f>
        <v>B6 Risks to business from disruption to supply chains and distribution networks</v>
      </c>
      <c r="O41" s="206" t="str">
        <f>VLOOKUP($A41,'CCRA3 Risks'!$A:$R,3,FALSE)</f>
        <v>Yes</v>
      </c>
      <c r="P41" s="207">
        <f>VLOOKUP($A41,'CCRA3 Risks'!$A:$R,4,FALSE)</f>
        <v>6</v>
      </c>
      <c r="Q41" s="206" t="str">
        <f>VLOOKUP($A41,'CCRA3 Risks'!$A:$R,7,FALSE)</f>
        <v>England</v>
      </c>
      <c r="R41" s="206" t="str">
        <f>VLOOKUP($A41,'CCRA3 Risks'!$A:$R,8,FALSE)</f>
        <v>Medium</v>
      </c>
      <c r="S41" s="206" t="str">
        <f>VLOOKUP($A41,'CCRA3 Risks'!$A:$R,9,FALSE)</f>
        <v>Unknown</v>
      </c>
      <c r="T41" s="206" t="str">
        <f>VLOOKUP($A41,'CCRA3 Risks'!$A:$R,10,FALSE)</f>
        <v>Unknown</v>
      </c>
      <c r="U41" s="206" t="str">
        <f>VLOOKUP($A41,'CCRA3 Risks'!$A:$R,11,FALSE)</f>
        <v>Unknown</v>
      </c>
      <c r="V41" s="206" t="str">
        <f>VLOOKUP($A41,'CCRA3 Risks'!$A:$R,12,FALSE)</f>
        <v>Unknown</v>
      </c>
      <c r="W41" s="206" t="str">
        <f>VLOOKUP($A41,'CCRA3 Risks'!$A:$R,13,FALSE)</f>
        <v>Partially</v>
      </c>
      <c r="X41" s="206" t="str">
        <f>VLOOKUP($A41,'CCRA3 Risks'!$A:$R,14,FALSE)</f>
        <v>More action needed</v>
      </c>
      <c r="Y41" s="206" t="str">
        <f>VLOOKUP($A41,'CCRA3 Risks'!$A:$R,15,FALSE)</f>
        <v>More action needed</v>
      </c>
      <c r="Z41" s="206" t="str">
        <f>VLOOKUP($A41,'CCRA3 Risks'!$A:$R,16,FALSE)</f>
        <v>Low (2)</v>
      </c>
      <c r="AA41" s="206" t="str">
        <f>VLOOKUP($A41,'CCRA3 Risks'!$A:$R,17,FALSE)</f>
        <v>Medium (Amber)</v>
      </c>
      <c r="AB41" s="206" t="str">
        <f>VLOOKUP($A41,'CCRA3 Risks'!$A:$R,18,FALSE)</f>
        <v>High (TCFD reporting, possible increased focus on supply chain resilience post-Covid)</v>
      </c>
      <c r="AC41" s="202">
        <f>VLOOKUP($A41,'CCRA3 Risks'!$A:$AG,19,FALSE)</f>
        <v>0</v>
      </c>
      <c r="AD41" s="123">
        <f>VLOOKUP($A41,'CCRA3 Risks'!$A:$AG,20,FALSE)</f>
        <v>0</v>
      </c>
      <c r="AE41" s="123" t="str">
        <f>VLOOKUP($A41,'CCRA3 Risks'!$A:$AG,21,FALSE)</f>
        <v>Y</v>
      </c>
      <c r="AF41" s="123">
        <f>VLOOKUP($A41,'CCRA3 Risks'!$A:$AG,22,FALSE)</f>
        <v>0</v>
      </c>
      <c r="AG41" s="123">
        <f>VLOOKUP($A41,'CCRA3 Risks'!$A:$AG,23,FALSE)</f>
        <v>0</v>
      </c>
      <c r="AH41" s="123">
        <f>VLOOKUP($A41,'CCRA3 Risks'!$A:$AG,24,FALSE)</f>
        <v>0</v>
      </c>
      <c r="AI41" s="123">
        <f>VLOOKUP($A41,'CCRA3 Risks'!$A:$AG,25,FALSE)</f>
        <v>0</v>
      </c>
      <c r="AJ41" s="123">
        <f>VLOOKUP($A41,'CCRA3 Risks'!$A:$AG,26,FALSE)</f>
        <v>0</v>
      </c>
      <c r="AK41" s="123">
        <f>VLOOKUP($A41,'CCRA3 Risks'!$A:$AG,27,FALSE)</f>
        <v>0</v>
      </c>
      <c r="AL41" s="123">
        <f>VLOOKUP($A41,'CCRA3 Risks'!$A:$AG,28,FALSE)</f>
        <v>0</v>
      </c>
      <c r="AM41" s="123">
        <f>VLOOKUP($A41,'CCRA3 Risks'!$A:$AG,29,FALSE)</f>
        <v>0</v>
      </c>
      <c r="AN41" s="123" t="str">
        <f>VLOOKUP($A41,'CCRA3 Risks'!$A:$AG,30,FALSE)</f>
        <v>Y</v>
      </c>
      <c r="AO41" s="123">
        <f>VLOOKUP($A41,'CCRA3 Risks'!$A:$AG,31,FALSE)</f>
        <v>0</v>
      </c>
      <c r="AP41" s="123">
        <f>VLOOKUP($A41,'CCRA3 Risks'!$A:$AG,32,FALSE)</f>
        <v>0</v>
      </c>
      <c r="AQ41" s="123">
        <f>VLOOKUP($A41,'CCRA3 Risks'!$A:$AG,33,FALSE)</f>
        <v>0</v>
      </c>
    </row>
    <row r="42" spans="1:43" ht="38.25" x14ac:dyDescent="0.25">
      <c r="A42" s="88" t="s">
        <v>222</v>
      </c>
      <c r="B42" s="88" t="s">
        <v>582</v>
      </c>
      <c r="C42" s="83" t="s">
        <v>583</v>
      </c>
      <c r="D42" s="83" t="s">
        <v>461</v>
      </c>
      <c r="E42" s="88" t="s">
        <v>67</v>
      </c>
      <c r="F42" s="83" t="s">
        <v>396</v>
      </c>
      <c r="G42" s="83" t="s">
        <v>30</v>
      </c>
      <c r="H42" s="83" t="s">
        <v>584</v>
      </c>
      <c r="I42" s="88"/>
      <c r="J42" s="88" t="s">
        <v>417</v>
      </c>
      <c r="K42" s="83" t="s">
        <v>585</v>
      </c>
      <c r="L42" s="88" t="s">
        <v>400</v>
      </c>
      <c r="M42" s="88" t="s">
        <v>35</v>
      </c>
      <c r="N42" s="206" t="str">
        <f>VLOOKUP($A42,'CCRA3 Risks'!$A:$R,2,FALSE)</f>
        <v>B6 Risks to business from disruption to supply chains and distribution networks</v>
      </c>
      <c r="O42" s="206" t="str">
        <f>VLOOKUP($A42,'CCRA3 Risks'!$A:$R,3,FALSE)</f>
        <v>Yes</v>
      </c>
      <c r="P42" s="207">
        <f>VLOOKUP($A42,'CCRA3 Risks'!$A:$R,4,FALSE)</f>
        <v>6</v>
      </c>
      <c r="Q42" s="206" t="str">
        <f>VLOOKUP($A42,'CCRA3 Risks'!$A:$R,7,FALSE)</f>
        <v>England</v>
      </c>
      <c r="R42" s="206" t="str">
        <f>VLOOKUP($A42,'CCRA3 Risks'!$A:$R,8,FALSE)</f>
        <v>Medium</v>
      </c>
      <c r="S42" s="206" t="str">
        <f>VLOOKUP($A42,'CCRA3 Risks'!$A:$R,9,FALSE)</f>
        <v>Unknown</v>
      </c>
      <c r="T42" s="206" t="str">
        <f>VLOOKUP($A42,'CCRA3 Risks'!$A:$R,10,FALSE)</f>
        <v>Unknown</v>
      </c>
      <c r="U42" s="206" t="str">
        <f>VLOOKUP($A42,'CCRA3 Risks'!$A:$R,11,FALSE)</f>
        <v>Unknown</v>
      </c>
      <c r="V42" s="206" t="str">
        <f>VLOOKUP($A42,'CCRA3 Risks'!$A:$R,12,FALSE)</f>
        <v>Unknown</v>
      </c>
      <c r="W42" s="206" t="str">
        <f>VLOOKUP($A42,'CCRA3 Risks'!$A:$R,13,FALSE)</f>
        <v>Partially</v>
      </c>
      <c r="X42" s="206" t="str">
        <f>VLOOKUP($A42,'CCRA3 Risks'!$A:$R,14,FALSE)</f>
        <v>More action needed</v>
      </c>
      <c r="Y42" s="206" t="str">
        <f>VLOOKUP($A42,'CCRA3 Risks'!$A:$R,15,FALSE)</f>
        <v>More action needed</v>
      </c>
      <c r="Z42" s="206" t="str">
        <f>VLOOKUP($A42,'CCRA3 Risks'!$A:$R,16,FALSE)</f>
        <v>Low (2)</v>
      </c>
      <c r="AA42" s="206" t="str">
        <f>VLOOKUP($A42,'CCRA3 Risks'!$A:$R,17,FALSE)</f>
        <v>Medium (Amber)</v>
      </c>
      <c r="AB42" s="206" t="str">
        <f>VLOOKUP($A42,'CCRA3 Risks'!$A:$R,18,FALSE)</f>
        <v>High (TCFD reporting, possible increased focus on supply chain resilience post-Covid)</v>
      </c>
      <c r="AC42" s="202">
        <f>VLOOKUP($A42,'CCRA3 Risks'!$A:$AG,19,FALSE)</f>
        <v>0</v>
      </c>
      <c r="AD42" s="123">
        <f>VLOOKUP($A42,'CCRA3 Risks'!$A:$AG,20,FALSE)</f>
        <v>0</v>
      </c>
      <c r="AE42" s="123" t="str">
        <f>VLOOKUP($A42,'CCRA3 Risks'!$A:$AG,21,FALSE)</f>
        <v>Y</v>
      </c>
      <c r="AF42" s="123">
        <f>VLOOKUP($A42,'CCRA3 Risks'!$A:$AG,22,FALSE)</f>
        <v>0</v>
      </c>
      <c r="AG42" s="123">
        <f>VLOOKUP($A42,'CCRA3 Risks'!$A:$AG,23,FALSE)</f>
        <v>0</v>
      </c>
      <c r="AH42" s="123">
        <f>VLOOKUP($A42,'CCRA3 Risks'!$A:$AG,24,FALSE)</f>
        <v>0</v>
      </c>
      <c r="AI42" s="123">
        <f>VLOOKUP($A42,'CCRA3 Risks'!$A:$AG,25,FALSE)</f>
        <v>0</v>
      </c>
      <c r="AJ42" s="123">
        <f>VLOOKUP($A42,'CCRA3 Risks'!$A:$AG,26,FALSE)</f>
        <v>0</v>
      </c>
      <c r="AK42" s="123">
        <f>VLOOKUP($A42,'CCRA3 Risks'!$A:$AG,27,FALSE)</f>
        <v>0</v>
      </c>
      <c r="AL42" s="123">
        <f>VLOOKUP($A42,'CCRA3 Risks'!$A:$AG,28,FALSE)</f>
        <v>0</v>
      </c>
      <c r="AM42" s="123">
        <f>VLOOKUP($A42,'CCRA3 Risks'!$A:$AG,29,FALSE)</f>
        <v>0</v>
      </c>
      <c r="AN42" s="123" t="str">
        <f>VLOOKUP($A42,'CCRA3 Risks'!$A:$AG,30,FALSE)</f>
        <v>Y</v>
      </c>
      <c r="AO42" s="123">
        <f>VLOOKUP($A42,'CCRA3 Risks'!$A:$AG,31,FALSE)</f>
        <v>0</v>
      </c>
      <c r="AP42" s="123">
        <f>VLOOKUP($A42,'CCRA3 Risks'!$A:$AG,32,FALSE)</f>
        <v>0</v>
      </c>
      <c r="AQ42" s="123">
        <f>VLOOKUP($A42,'CCRA3 Risks'!$A:$AG,33,FALSE)</f>
        <v>0</v>
      </c>
    </row>
    <row r="43" spans="1:43" ht="51" x14ac:dyDescent="0.25">
      <c r="A43" s="88" t="s">
        <v>222</v>
      </c>
      <c r="B43" s="88" t="s">
        <v>586</v>
      </c>
      <c r="C43" s="83" t="s">
        <v>587</v>
      </c>
      <c r="D43" s="83" t="s">
        <v>403</v>
      </c>
      <c r="E43" s="88" t="s">
        <v>67</v>
      </c>
      <c r="F43" s="83" t="s">
        <v>396</v>
      </c>
      <c r="G43" s="83" t="s">
        <v>30</v>
      </c>
      <c r="H43" s="83" t="s">
        <v>588</v>
      </c>
      <c r="I43" s="88"/>
      <c r="J43" s="88" t="s">
        <v>398</v>
      </c>
      <c r="K43" s="83" t="s">
        <v>589</v>
      </c>
      <c r="L43" s="88" t="s">
        <v>400</v>
      </c>
      <c r="M43" s="88" t="s">
        <v>35</v>
      </c>
      <c r="N43" s="206" t="str">
        <f>VLOOKUP($A43,'CCRA3 Risks'!$A:$R,2,FALSE)</f>
        <v>B6 Risks to business from disruption to supply chains and distribution networks</v>
      </c>
      <c r="O43" s="206" t="str">
        <f>VLOOKUP($A43,'CCRA3 Risks'!$A:$R,3,FALSE)</f>
        <v>Yes</v>
      </c>
      <c r="P43" s="207">
        <f>VLOOKUP($A43,'CCRA3 Risks'!$A:$R,4,FALSE)</f>
        <v>6</v>
      </c>
      <c r="Q43" s="206" t="str">
        <f>VLOOKUP($A43,'CCRA3 Risks'!$A:$R,7,FALSE)</f>
        <v>England</v>
      </c>
      <c r="R43" s="206" t="str">
        <f>VLOOKUP($A43,'CCRA3 Risks'!$A:$R,8,FALSE)</f>
        <v>Medium</v>
      </c>
      <c r="S43" s="206" t="str">
        <f>VLOOKUP($A43,'CCRA3 Risks'!$A:$R,9,FALSE)</f>
        <v>Unknown</v>
      </c>
      <c r="T43" s="206" t="str">
        <f>VLOOKUP($A43,'CCRA3 Risks'!$A:$R,10,FALSE)</f>
        <v>Unknown</v>
      </c>
      <c r="U43" s="206" t="str">
        <f>VLOOKUP($A43,'CCRA3 Risks'!$A:$R,11,FALSE)</f>
        <v>Unknown</v>
      </c>
      <c r="V43" s="206" t="str">
        <f>VLOOKUP($A43,'CCRA3 Risks'!$A:$R,12,FALSE)</f>
        <v>Unknown</v>
      </c>
      <c r="W43" s="206" t="str">
        <f>VLOOKUP($A43,'CCRA3 Risks'!$A:$R,13,FALSE)</f>
        <v>Partially</v>
      </c>
      <c r="X43" s="206" t="str">
        <f>VLOOKUP($A43,'CCRA3 Risks'!$A:$R,14,FALSE)</f>
        <v>More action needed</v>
      </c>
      <c r="Y43" s="206" t="str">
        <f>VLOOKUP($A43,'CCRA3 Risks'!$A:$R,15,FALSE)</f>
        <v>More action needed</v>
      </c>
      <c r="Z43" s="206" t="str">
        <f>VLOOKUP($A43,'CCRA3 Risks'!$A:$R,16,FALSE)</f>
        <v>Low (2)</v>
      </c>
      <c r="AA43" s="206" t="str">
        <f>VLOOKUP($A43,'CCRA3 Risks'!$A:$R,17,FALSE)</f>
        <v>Medium (Amber)</v>
      </c>
      <c r="AB43" s="206" t="str">
        <f>VLOOKUP($A43,'CCRA3 Risks'!$A:$R,18,FALSE)</f>
        <v>High (TCFD reporting, possible increased focus on supply chain resilience post-Covid)</v>
      </c>
      <c r="AC43" s="202">
        <f>VLOOKUP($A43,'CCRA3 Risks'!$A:$AG,19,FALSE)</f>
        <v>0</v>
      </c>
      <c r="AD43" s="123">
        <f>VLOOKUP($A43,'CCRA3 Risks'!$A:$AG,20,FALSE)</f>
        <v>0</v>
      </c>
      <c r="AE43" s="123" t="str">
        <f>VLOOKUP($A43,'CCRA3 Risks'!$A:$AG,21,FALSE)</f>
        <v>Y</v>
      </c>
      <c r="AF43" s="123">
        <f>VLOOKUP($A43,'CCRA3 Risks'!$A:$AG,22,FALSE)</f>
        <v>0</v>
      </c>
      <c r="AG43" s="123">
        <f>VLOOKUP($A43,'CCRA3 Risks'!$A:$AG,23,FALSE)</f>
        <v>0</v>
      </c>
      <c r="AH43" s="123">
        <f>VLOOKUP($A43,'CCRA3 Risks'!$A:$AG,24,FALSE)</f>
        <v>0</v>
      </c>
      <c r="AI43" s="123">
        <f>VLOOKUP($A43,'CCRA3 Risks'!$A:$AG,25,FALSE)</f>
        <v>0</v>
      </c>
      <c r="AJ43" s="123">
        <f>VLOOKUP($A43,'CCRA3 Risks'!$A:$AG,26,FALSE)</f>
        <v>0</v>
      </c>
      <c r="AK43" s="123">
        <f>VLOOKUP($A43,'CCRA3 Risks'!$A:$AG,27,FALSE)</f>
        <v>0</v>
      </c>
      <c r="AL43" s="123">
        <f>VLOOKUP($A43,'CCRA3 Risks'!$A:$AG,28,FALSE)</f>
        <v>0</v>
      </c>
      <c r="AM43" s="123">
        <f>VLOOKUP($A43,'CCRA3 Risks'!$A:$AG,29,FALSE)</f>
        <v>0</v>
      </c>
      <c r="AN43" s="123" t="str">
        <f>VLOOKUP($A43,'CCRA3 Risks'!$A:$AG,30,FALSE)</f>
        <v>Y</v>
      </c>
      <c r="AO43" s="123">
        <f>VLOOKUP($A43,'CCRA3 Risks'!$A:$AG,31,FALSE)</f>
        <v>0</v>
      </c>
      <c r="AP43" s="123">
        <f>VLOOKUP($A43,'CCRA3 Risks'!$A:$AG,32,FALSE)</f>
        <v>0</v>
      </c>
      <c r="AQ43" s="123">
        <f>VLOOKUP($A43,'CCRA3 Risks'!$A:$AG,33,FALSE)</f>
        <v>0</v>
      </c>
    </row>
    <row r="44" spans="1:43" ht="114.75" x14ac:dyDescent="0.25">
      <c r="A44" s="88" t="s">
        <v>225</v>
      </c>
      <c r="B44" s="88" t="s">
        <v>590</v>
      </c>
      <c r="C44" s="83" t="s">
        <v>591</v>
      </c>
      <c r="D44" s="83" t="s">
        <v>461</v>
      </c>
      <c r="E44" s="88" t="s">
        <v>67</v>
      </c>
      <c r="F44" s="83" t="s">
        <v>421</v>
      </c>
      <c r="G44" s="83" t="s">
        <v>30</v>
      </c>
      <c r="H44" s="82" t="s">
        <v>592</v>
      </c>
      <c r="I44" s="88"/>
      <c r="J44" s="88" t="s">
        <v>398</v>
      </c>
      <c r="K44" s="83" t="s">
        <v>593</v>
      </c>
      <c r="L44" s="88" t="s">
        <v>400</v>
      </c>
      <c r="M44" s="88" t="s">
        <v>400</v>
      </c>
      <c r="N44" s="206" t="str">
        <f>VLOOKUP($A44,'CCRA3 Risks'!$A:$R,2,FALSE)</f>
        <v>B7 Opportunities for business from changes in demand for goods and services</v>
      </c>
      <c r="O44" s="206" t="str">
        <f>VLOOKUP($A44,'CCRA3 Risks'!$A:$R,3,FALSE)</f>
        <v>No</v>
      </c>
      <c r="P44" s="207">
        <f>VLOOKUP($A44,'CCRA3 Risks'!$A:$R,4,FALSE)</f>
        <v>6</v>
      </c>
      <c r="Q44" s="206" t="str">
        <f>VLOOKUP($A44,'CCRA3 Risks'!$A:$R,7,FALSE)</f>
        <v>England</v>
      </c>
      <c r="R44" s="206" t="str">
        <f>VLOOKUP($A44,'CCRA3 Risks'!$A:$R,8,FALSE)</f>
        <v>Low</v>
      </c>
      <c r="S44" s="206" t="str">
        <f>VLOOKUP($A44,'CCRA3 Risks'!$A:$R,9,FALSE)</f>
        <v>Medium</v>
      </c>
      <c r="T44" s="206" t="str">
        <f>VLOOKUP($A44,'CCRA3 Risks'!$A:$R,10,FALSE)</f>
        <v>Medium</v>
      </c>
      <c r="U44" s="206" t="str">
        <f>VLOOKUP($A44,'CCRA3 Risks'!$A:$R,11,FALSE)</f>
        <v>Medium</v>
      </c>
      <c r="V44" s="206" t="str">
        <f>VLOOKUP($A44,'CCRA3 Risks'!$A:$R,12,FALSE)</f>
        <v>Medium</v>
      </c>
      <c r="W44" s="206" t="str">
        <f>VLOOKUP($A44,'CCRA3 Risks'!$A:$R,13,FALSE)</f>
        <v>Partially</v>
      </c>
      <c r="X44" s="206" t="str">
        <f>VLOOKUP($A44,'CCRA3 Risks'!$A:$R,14,FALSE)</f>
        <v>Further investigation</v>
      </c>
      <c r="Y44" s="206" t="str">
        <f>VLOOKUP($A44,'CCRA3 Risks'!$A:$R,15,FALSE)</f>
        <v>Further Investigation</v>
      </c>
      <c r="Z44" s="206" t="str">
        <f>VLOOKUP($A44,'CCRA3 Risks'!$A:$R,16,FALSE)</f>
        <v>Low (2)</v>
      </c>
      <c r="AA44" s="206" t="str">
        <f>VLOOKUP($A44,'CCRA3 Risks'!$A:$R,17,FALSE)</f>
        <v>High (Green)</v>
      </c>
      <c r="AB44" s="206" t="str">
        <f>VLOOKUP($A44,'CCRA3 Risks'!$A:$R,18,FALSE)</f>
        <v>Low (No key policies looking at opportunities in the next two years)</v>
      </c>
      <c r="AC44" s="202">
        <f>VLOOKUP($A44,'CCRA3 Risks'!$A:$AG,19,FALSE)</f>
        <v>0</v>
      </c>
      <c r="AD44" s="123">
        <f>VLOOKUP($A44,'CCRA3 Risks'!$A:$AG,20,FALSE)</f>
        <v>0</v>
      </c>
      <c r="AE44" s="123">
        <f>VLOOKUP($A44,'CCRA3 Risks'!$A:$AG,21,FALSE)</f>
        <v>0</v>
      </c>
      <c r="AF44" s="123">
        <f>VLOOKUP($A44,'CCRA3 Risks'!$A:$AG,22,FALSE)</f>
        <v>0</v>
      </c>
      <c r="AG44" s="123">
        <f>VLOOKUP($A44,'CCRA3 Risks'!$A:$AG,23,FALSE)</f>
        <v>0</v>
      </c>
      <c r="AH44" s="123">
        <f>VLOOKUP($A44,'CCRA3 Risks'!$A:$AG,24,FALSE)</f>
        <v>0</v>
      </c>
      <c r="AI44" s="123">
        <f>VLOOKUP($A44,'CCRA3 Risks'!$A:$AG,25,FALSE)</f>
        <v>0</v>
      </c>
      <c r="AJ44" s="123">
        <f>VLOOKUP($A44,'CCRA3 Risks'!$A:$AG,26,FALSE)</f>
        <v>0</v>
      </c>
      <c r="AK44" s="123">
        <f>VLOOKUP($A44,'CCRA3 Risks'!$A:$AG,27,FALSE)</f>
        <v>0</v>
      </c>
      <c r="AL44" s="123">
        <f>VLOOKUP($A44,'CCRA3 Risks'!$A:$AG,28,FALSE)</f>
        <v>0</v>
      </c>
      <c r="AM44" s="123">
        <f>VLOOKUP($A44,'CCRA3 Risks'!$A:$AG,29,FALSE)</f>
        <v>0</v>
      </c>
      <c r="AN44" s="123" t="str">
        <f>VLOOKUP($A44,'CCRA3 Risks'!$A:$AG,30,FALSE)</f>
        <v>Y</v>
      </c>
      <c r="AO44" s="123">
        <f>VLOOKUP($A44,'CCRA3 Risks'!$A:$AG,31,FALSE)</f>
        <v>0</v>
      </c>
      <c r="AP44" s="123">
        <f>VLOOKUP($A44,'CCRA3 Risks'!$A:$AG,32,FALSE)</f>
        <v>0</v>
      </c>
      <c r="AQ44" s="123">
        <f>VLOOKUP($A44,'CCRA3 Risks'!$A:$AG,33,FALSE)</f>
        <v>0</v>
      </c>
    </row>
    <row r="45" spans="1:43" ht="89.25" x14ac:dyDescent="0.25">
      <c r="A45" s="88" t="s">
        <v>225</v>
      </c>
      <c r="B45" s="88" t="s">
        <v>594</v>
      </c>
      <c r="C45" s="83" t="s">
        <v>595</v>
      </c>
      <c r="D45" s="83" t="s">
        <v>461</v>
      </c>
      <c r="E45" s="88" t="s">
        <v>67</v>
      </c>
      <c r="F45" s="83" t="s">
        <v>33</v>
      </c>
      <c r="G45" s="83" t="s">
        <v>20</v>
      </c>
      <c r="H45" s="83" t="s">
        <v>596</v>
      </c>
      <c r="I45" s="88"/>
      <c r="J45" s="88" t="s">
        <v>463</v>
      </c>
      <c r="K45" s="83" t="s">
        <v>597</v>
      </c>
      <c r="L45" s="88" t="s">
        <v>400</v>
      </c>
      <c r="M45" s="88" t="s">
        <v>400</v>
      </c>
      <c r="N45" s="206" t="str">
        <f>VLOOKUP($A45,'CCRA3 Risks'!$A:$R,2,FALSE)</f>
        <v>B7 Opportunities for business from changes in demand for goods and services</v>
      </c>
      <c r="O45" s="206" t="str">
        <f>VLOOKUP($A45,'CCRA3 Risks'!$A:$R,3,FALSE)</f>
        <v>No</v>
      </c>
      <c r="P45" s="207">
        <f>VLOOKUP($A45,'CCRA3 Risks'!$A:$R,4,FALSE)</f>
        <v>6</v>
      </c>
      <c r="Q45" s="206" t="str">
        <f>VLOOKUP($A45,'CCRA3 Risks'!$A:$R,7,FALSE)</f>
        <v>England</v>
      </c>
      <c r="R45" s="206" t="str">
        <f>VLOOKUP($A45,'CCRA3 Risks'!$A:$R,8,FALSE)</f>
        <v>Low</v>
      </c>
      <c r="S45" s="206" t="str">
        <f>VLOOKUP($A45,'CCRA3 Risks'!$A:$R,9,FALSE)</f>
        <v>Medium</v>
      </c>
      <c r="T45" s="206" t="str">
        <f>VLOOKUP($A45,'CCRA3 Risks'!$A:$R,10,FALSE)</f>
        <v>Medium</v>
      </c>
      <c r="U45" s="206" t="str">
        <f>VLOOKUP($A45,'CCRA3 Risks'!$A:$R,11,FALSE)</f>
        <v>Medium</v>
      </c>
      <c r="V45" s="206" t="str">
        <f>VLOOKUP($A45,'CCRA3 Risks'!$A:$R,12,FALSE)</f>
        <v>Medium</v>
      </c>
      <c r="W45" s="206" t="str">
        <f>VLOOKUP($A45,'CCRA3 Risks'!$A:$R,13,FALSE)</f>
        <v>Partially</v>
      </c>
      <c r="X45" s="206" t="str">
        <f>VLOOKUP($A45,'CCRA3 Risks'!$A:$R,14,FALSE)</f>
        <v>Further investigation</v>
      </c>
      <c r="Y45" s="206" t="str">
        <f>VLOOKUP($A45,'CCRA3 Risks'!$A:$R,15,FALSE)</f>
        <v>Further Investigation</v>
      </c>
      <c r="Z45" s="206" t="str">
        <f>VLOOKUP($A45,'CCRA3 Risks'!$A:$R,16,FALSE)</f>
        <v>Low (2)</v>
      </c>
      <c r="AA45" s="206" t="str">
        <f>VLOOKUP($A45,'CCRA3 Risks'!$A:$R,17,FALSE)</f>
        <v>High (Green)</v>
      </c>
      <c r="AB45" s="206" t="str">
        <f>VLOOKUP($A45,'CCRA3 Risks'!$A:$R,18,FALSE)</f>
        <v>Low (No key policies looking at opportunities in the next two years)</v>
      </c>
      <c r="AC45" s="202">
        <f>VLOOKUP($A45,'CCRA3 Risks'!$A:$AG,19,FALSE)</f>
        <v>0</v>
      </c>
      <c r="AD45" s="123">
        <f>VLOOKUP($A45,'CCRA3 Risks'!$A:$AG,20,FALSE)</f>
        <v>0</v>
      </c>
      <c r="AE45" s="123">
        <f>VLOOKUP($A45,'CCRA3 Risks'!$A:$AG,21,FALSE)</f>
        <v>0</v>
      </c>
      <c r="AF45" s="123">
        <f>VLOOKUP($A45,'CCRA3 Risks'!$A:$AG,22,FALSE)</f>
        <v>0</v>
      </c>
      <c r="AG45" s="123">
        <f>VLOOKUP($A45,'CCRA3 Risks'!$A:$AG,23,FALSE)</f>
        <v>0</v>
      </c>
      <c r="AH45" s="123">
        <f>VLOOKUP($A45,'CCRA3 Risks'!$A:$AG,24,FALSE)</f>
        <v>0</v>
      </c>
      <c r="AI45" s="123">
        <f>VLOOKUP($A45,'CCRA3 Risks'!$A:$AG,25,FALSE)</f>
        <v>0</v>
      </c>
      <c r="AJ45" s="123">
        <f>VLOOKUP($A45,'CCRA3 Risks'!$A:$AG,26,FALSE)</f>
        <v>0</v>
      </c>
      <c r="AK45" s="123">
        <f>VLOOKUP($A45,'CCRA3 Risks'!$A:$AG,27,FALSE)</f>
        <v>0</v>
      </c>
      <c r="AL45" s="123">
        <f>VLOOKUP($A45,'CCRA3 Risks'!$A:$AG,28,FALSE)</f>
        <v>0</v>
      </c>
      <c r="AM45" s="123">
        <f>VLOOKUP($A45,'CCRA3 Risks'!$A:$AG,29,FALSE)</f>
        <v>0</v>
      </c>
      <c r="AN45" s="123" t="str">
        <f>VLOOKUP($A45,'CCRA3 Risks'!$A:$AG,30,FALSE)</f>
        <v>Y</v>
      </c>
      <c r="AO45" s="123">
        <f>VLOOKUP($A45,'CCRA3 Risks'!$A:$AG,31,FALSE)</f>
        <v>0</v>
      </c>
      <c r="AP45" s="123">
        <f>VLOOKUP($A45,'CCRA3 Risks'!$A:$AG,32,FALSE)</f>
        <v>0</v>
      </c>
      <c r="AQ45" s="123">
        <f>VLOOKUP($A45,'CCRA3 Risks'!$A:$AG,33,FALSE)</f>
        <v>0</v>
      </c>
    </row>
    <row r="46" spans="1:43" ht="51" x14ac:dyDescent="0.25">
      <c r="A46" s="88" t="s">
        <v>225</v>
      </c>
      <c r="B46" s="88" t="s">
        <v>598</v>
      </c>
      <c r="C46" s="83" t="s">
        <v>599</v>
      </c>
      <c r="D46" s="83" t="s">
        <v>403</v>
      </c>
      <c r="E46" s="88" t="s">
        <v>67</v>
      </c>
      <c r="F46" s="83" t="s">
        <v>472</v>
      </c>
      <c r="G46" s="83" t="s">
        <v>53</v>
      </c>
      <c r="H46" s="83" t="s">
        <v>600</v>
      </c>
      <c r="I46" s="88"/>
      <c r="J46" s="88" t="s">
        <v>417</v>
      </c>
      <c r="K46" s="83" t="s">
        <v>601</v>
      </c>
      <c r="L46" s="88" t="s">
        <v>400</v>
      </c>
      <c r="M46" s="88" t="s">
        <v>35</v>
      </c>
      <c r="N46" s="206" t="str">
        <f>VLOOKUP($A46,'CCRA3 Risks'!$A:$R,2,FALSE)</f>
        <v>B7 Opportunities for business from changes in demand for goods and services</v>
      </c>
      <c r="O46" s="206" t="str">
        <f>VLOOKUP($A46,'CCRA3 Risks'!$A:$R,3,FALSE)</f>
        <v>No</v>
      </c>
      <c r="P46" s="207">
        <f>VLOOKUP($A46,'CCRA3 Risks'!$A:$R,4,FALSE)</f>
        <v>6</v>
      </c>
      <c r="Q46" s="206" t="str">
        <f>VLOOKUP($A46,'CCRA3 Risks'!$A:$R,7,FALSE)</f>
        <v>England</v>
      </c>
      <c r="R46" s="206" t="str">
        <f>VLOOKUP($A46,'CCRA3 Risks'!$A:$R,8,FALSE)</f>
        <v>Low</v>
      </c>
      <c r="S46" s="206" t="str">
        <f>VLOOKUP($A46,'CCRA3 Risks'!$A:$R,9,FALSE)</f>
        <v>Medium</v>
      </c>
      <c r="T46" s="206" t="str">
        <f>VLOOKUP($A46,'CCRA3 Risks'!$A:$R,10,FALSE)</f>
        <v>Medium</v>
      </c>
      <c r="U46" s="206" t="str">
        <f>VLOOKUP($A46,'CCRA3 Risks'!$A:$R,11,FALSE)</f>
        <v>Medium</v>
      </c>
      <c r="V46" s="206" t="str">
        <f>VLOOKUP($A46,'CCRA3 Risks'!$A:$R,12,FALSE)</f>
        <v>Medium</v>
      </c>
      <c r="W46" s="206" t="str">
        <f>VLOOKUP($A46,'CCRA3 Risks'!$A:$R,13,FALSE)</f>
        <v>Partially</v>
      </c>
      <c r="X46" s="206" t="str">
        <f>VLOOKUP($A46,'CCRA3 Risks'!$A:$R,14,FALSE)</f>
        <v>Further investigation</v>
      </c>
      <c r="Y46" s="206" t="str">
        <f>VLOOKUP($A46,'CCRA3 Risks'!$A:$R,15,FALSE)</f>
        <v>Further Investigation</v>
      </c>
      <c r="Z46" s="206" t="str">
        <f>VLOOKUP($A46,'CCRA3 Risks'!$A:$R,16,FALSE)</f>
        <v>Low (2)</v>
      </c>
      <c r="AA46" s="206" t="str">
        <f>VLOOKUP($A46,'CCRA3 Risks'!$A:$R,17,FALSE)</f>
        <v>High (Green)</v>
      </c>
      <c r="AB46" s="206" t="str">
        <f>VLOOKUP($A46,'CCRA3 Risks'!$A:$R,18,FALSE)</f>
        <v>Low (No key policies looking at opportunities in the next two years)</v>
      </c>
      <c r="AC46" s="202">
        <f>VLOOKUP($A46,'CCRA3 Risks'!$A:$AG,19,FALSE)</f>
        <v>0</v>
      </c>
      <c r="AD46" s="123">
        <f>VLOOKUP($A46,'CCRA3 Risks'!$A:$AG,20,FALSE)</f>
        <v>0</v>
      </c>
      <c r="AE46" s="123">
        <f>VLOOKUP($A46,'CCRA3 Risks'!$A:$AG,21,FALSE)</f>
        <v>0</v>
      </c>
      <c r="AF46" s="123">
        <f>VLOOKUP($A46,'CCRA3 Risks'!$A:$AG,22,FALSE)</f>
        <v>0</v>
      </c>
      <c r="AG46" s="123">
        <f>VLOOKUP($A46,'CCRA3 Risks'!$A:$AG,23,FALSE)</f>
        <v>0</v>
      </c>
      <c r="AH46" s="123">
        <f>VLOOKUP($A46,'CCRA3 Risks'!$A:$AG,24,FALSE)</f>
        <v>0</v>
      </c>
      <c r="AI46" s="123">
        <f>VLOOKUP($A46,'CCRA3 Risks'!$A:$AG,25,FALSE)</f>
        <v>0</v>
      </c>
      <c r="AJ46" s="123">
        <f>VLOOKUP($A46,'CCRA3 Risks'!$A:$AG,26,FALSE)</f>
        <v>0</v>
      </c>
      <c r="AK46" s="123">
        <f>VLOOKUP($A46,'CCRA3 Risks'!$A:$AG,27,FALSE)</f>
        <v>0</v>
      </c>
      <c r="AL46" s="123">
        <f>VLOOKUP($A46,'CCRA3 Risks'!$A:$AG,28,FALSE)</f>
        <v>0</v>
      </c>
      <c r="AM46" s="123">
        <f>VLOOKUP($A46,'CCRA3 Risks'!$A:$AG,29,FALSE)</f>
        <v>0</v>
      </c>
      <c r="AN46" s="123" t="str">
        <f>VLOOKUP($A46,'CCRA3 Risks'!$A:$AG,30,FALSE)</f>
        <v>Y</v>
      </c>
      <c r="AO46" s="123">
        <f>VLOOKUP($A46,'CCRA3 Risks'!$A:$AG,31,FALSE)</f>
        <v>0</v>
      </c>
      <c r="AP46" s="123">
        <f>VLOOKUP($A46,'CCRA3 Risks'!$A:$AG,32,FALSE)</f>
        <v>0</v>
      </c>
      <c r="AQ46" s="123">
        <f>VLOOKUP($A46,'CCRA3 Risks'!$A:$AG,33,FALSE)</f>
        <v>0</v>
      </c>
    </row>
    <row r="47" spans="1:43" ht="127.5" x14ac:dyDescent="0.25">
      <c r="A47" s="88" t="s">
        <v>228</v>
      </c>
      <c r="B47" s="88" t="s">
        <v>602</v>
      </c>
      <c r="C47" s="83" t="s">
        <v>603</v>
      </c>
      <c r="D47" s="83" t="s">
        <v>403</v>
      </c>
      <c r="E47" s="88" t="s">
        <v>67</v>
      </c>
      <c r="F47" s="83" t="s">
        <v>421</v>
      </c>
      <c r="G47" s="83" t="s">
        <v>30</v>
      </c>
      <c r="H47" s="83" t="s">
        <v>604</v>
      </c>
      <c r="I47" s="88"/>
      <c r="J47" s="88" t="s">
        <v>463</v>
      </c>
      <c r="K47" s="83" t="s">
        <v>605</v>
      </c>
      <c r="L47" s="88" t="s">
        <v>606</v>
      </c>
      <c r="M47" s="88" t="s">
        <v>606</v>
      </c>
      <c r="N47" s="206" t="str">
        <f>VLOOKUP($A47,'CCRA3 Risks'!$A:$R,2,FALSE)</f>
        <v>H1 Risks to health and wellbeing from high temperatures</v>
      </c>
      <c r="O47" s="206" t="str">
        <f>VLOOKUP($A47,'CCRA3 Risks'!$A:$R,3,FALSE)</f>
        <v>Yes</v>
      </c>
      <c r="P47" s="207">
        <f>VLOOKUP($A47,'CCRA3 Risks'!$A:$R,4,FALSE)</f>
        <v>5</v>
      </c>
      <c r="Q47" s="206" t="str">
        <f>VLOOKUP($A47,'CCRA3 Risks'!$A:$R,7,FALSE)</f>
        <v>England</v>
      </c>
      <c r="R47" s="206" t="str">
        <f>VLOOKUP($A47,'CCRA3 Risks'!$A:$R,8,FALSE)</f>
        <v>High</v>
      </c>
      <c r="S47" s="206" t="str">
        <f>VLOOKUP($A47,'CCRA3 Risks'!$A:$R,9,FALSE)</f>
        <v>High</v>
      </c>
      <c r="T47" s="206" t="str">
        <f>VLOOKUP($A47,'CCRA3 Risks'!$A:$R,10,FALSE)</f>
        <v>High</v>
      </c>
      <c r="U47" s="206" t="str">
        <f>VLOOKUP($A47,'CCRA3 Risks'!$A:$R,11,FALSE)</f>
        <v>High</v>
      </c>
      <c r="V47" s="206" t="str">
        <f>VLOOKUP($A47,'CCRA3 Risks'!$A:$R,12,FALSE)</f>
        <v>High</v>
      </c>
      <c r="W47" s="206" t="str">
        <f>VLOOKUP($A47,'CCRA3 Risks'!$A:$R,13,FALSE)</f>
        <v>Partially</v>
      </c>
      <c r="X47" s="206" t="str">
        <f>VLOOKUP($A47,'CCRA3 Risks'!$A:$R,14,FALSE)</f>
        <v>More action needed</v>
      </c>
      <c r="Y47" s="206" t="str">
        <f>VLOOKUP($A47,'CCRA3 Risks'!$A:$R,15,FALSE)</f>
        <v>More action needed</v>
      </c>
      <c r="Z47" s="206" t="str">
        <f>VLOOKUP($A47,'CCRA3 Risks'!$A:$R,16,FALSE)</f>
        <v>Low (2)</v>
      </c>
      <c r="AA47" s="206" t="str">
        <f>VLOOKUP($A47,'CCRA3 Risks'!$A:$R,17,FALSE)</f>
        <v>Medium (Amber)</v>
      </c>
      <c r="AB47" s="206" t="str">
        <f>VLOOKUP($A47,'CCRA3 Risks'!$A:$R,18,FALSE)</f>
        <v>High (Reviews of building regulations and planning, Net Zero)</v>
      </c>
      <c r="AC47" s="202">
        <f>VLOOKUP($A47,'CCRA3 Risks'!$A:$AG,19,FALSE)</f>
        <v>0</v>
      </c>
      <c r="AD47" s="123">
        <f>VLOOKUP($A47,'CCRA3 Risks'!$A:$AG,20,FALSE)</f>
        <v>0</v>
      </c>
      <c r="AE47" s="123">
        <f>VLOOKUP($A47,'CCRA3 Risks'!$A:$AG,21,FALSE)</f>
        <v>0</v>
      </c>
      <c r="AF47" s="123">
        <f>VLOOKUP($A47,'CCRA3 Risks'!$A:$AG,22,FALSE)</f>
        <v>0</v>
      </c>
      <c r="AG47" s="123">
        <f>VLOOKUP($A47,'CCRA3 Risks'!$A:$AG,23,FALSE)</f>
        <v>0</v>
      </c>
      <c r="AH47" s="123">
        <f>VLOOKUP($A47,'CCRA3 Risks'!$A:$AG,24,FALSE)</f>
        <v>0</v>
      </c>
      <c r="AI47" s="123">
        <f>VLOOKUP($A47,'CCRA3 Risks'!$A:$AG,25,FALSE)</f>
        <v>0</v>
      </c>
      <c r="AJ47" s="123" t="str">
        <f>VLOOKUP($A47,'CCRA3 Risks'!$A:$AG,26,FALSE)</f>
        <v>Y</v>
      </c>
      <c r="AK47" s="123" t="str">
        <f>VLOOKUP($A47,'CCRA3 Risks'!$A:$AG,27,FALSE)</f>
        <v>Y</v>
      </c>
      <c r="AL47" s="123" t="str">
        <f>VLOOKUP($A47,'CCRA3 Risks'!$A:$AG,28,FALSE)</f>
        <v>Y</v>
      </c>
      <c r="AM47" s="123" t="str">
        <f>VLOOKUP($A47,'CCRA3 Risks'!$A:$AG,29,FALSE)</f>
        <v>Y</v>
      </c>
      <c r="AN47" s="123">
        <f>VLOOKUP($A47,'CCRA3 Risks'!$A:$AG,30,FALSE)</f>
        <v>0</v>
      </c>
      <c r="AO47" s="123">
        <f>VLOOKUP($A47,'CCRA3 Risks'!$A:$AG,31,FALSE)</f>
        <v>0</v>
      </c>
      <c r="AP47" s="123">
        <f>VLOOKUP($A47,'CCRA3 Risks'!$A:$AG,32,FALSE)</f>
        <v>0</v>
      </c>
      <c r="AQ47" s="123">
        <f>VLOOKUP($A47,'CCRA3 Risks'!$A:$AG,33,FALSE)</f>
        <v>0</v>
      </c>
    </row>
    <row r="48" spans="1:43" ht="239.1" customHeight="1" x14ac:dyDescent="0.25">
      <c r="A48" s="88" t="s">
        <v>228</v>
      </c>
      <c r="B48" s="88" t="s">
        <v>607</v>
      </c>
      <c r="C48" s="83" t="s">
        <v>608</v>
      </c>
      <c r="D48" s="83" t="s">
        <v>403</v>
      </c>
      <c r="E48" s="88" t="s">
        <v>67</v>
      </c>
      <c r="F48" s="83" t="s">
        <v>421</v>
      </c>
      <c r="G48" s="83" t="s">
        <v>30</v>
      </c>
      <c r="H48" s="83" t="s">
        <v>609</v>
      </c>
      <c r="I48" s="88"/>
      <c r="J48" s="88" t="s">
        <v>463</v>
      </c>
      <c r="K48" s="83" t="s">
        <v>610</v>
      </c>
      <c r="L48" s="88" t="s">
        <v>606</v>
      </c>
      <c r="M48" s="88" t="s">
        <v>606</v>
      </c>
      <c r="N48" s="206" t="str">
        <f>VLOOKUP($A48,'CCRA3 Risks'!$A:$R,2,FALSE)</f>
        <v>H1 Risks to health and wellbeing from high temperatures</v>
      </c>
      <c r="O48" s="206" t="str">
        <f>VLOOKUP($A48,'CCRA3 Risks'!$A:$R,3,FALSE)</f>
        <v>Yes</v>
      </c>
      <c r="P48" s="207">
        <f>VLOOKUP($A48,'CCRA3 Risks'!$A:$R,4,FALSE)</f>
        <v>5</v>
      </c>
      <c r="Q48" s="206" t="str">
        <f>VLOOKUP($A48,'CCRA3 Risks'!$A:$R,7,FALSE)</f>
        <v>England</v>
      </c>
      <c r="R48" s="206" t="str">
        <f>VLOOKUP($A48,'CCRA3 Risks'!$A:$R,8,FALSE)</f>
        <v>High</v>
      </c>
      <c r="S48" s="206" t="str">
        <f>VLOOKUP($A48,'CCRA3 Risks'!$A:$R,9,FALSE)</f>
        <v>High</v>
      </c>
      <c r="T48" s="206" t="str">
        <f>VLOOKUP($A48,'CCRA3 Risks'!$A:$R,10,FALSE)</f>
        <v>High</v>
      </c>
      <c r="U48" s="206" t="str">
        <f>VLOOKUP($A48,'CCRA3 Risks'!$A:$R,11,FALSE)</f>
        <v>High</v>
      </c>
      <c r="V48" s="206" t="str">
        <f>VLOOKUP($A48,'CCRA3 Risks'!$A:$R,12,FALSE)</f>
        <v>High</v>
      </c>
      <c r="W48" s="206" t="str">
        <f>VLOOKUP($A48,'CCRA3 Risks'!$A:$R,13,FALSE)</f>
        <v>Partially</v>
      </c>
      <c r="X48" s="206" t="str">
        <f>VLOOKUP($A48,'CCRA3 Risks'!$A:$R,14,FALSE)</f>
        <v>More action needed</v>
      </c>
      <c r="Y48" s="206" t="str">
        <f>VLOOKUP($A48,'CCRA3 Risks'!$A:$R,15,FALSE)</f>
        <v>More action needed</v>
      </c>
      <c r="Z48" s="206" t="str">
        <f>VLOOKUP($A48,'CCRA3 Risks'!$A:$R,16,FALSE)</f>
        <v>Low (2)</v>
      </c>
      <c r="AA48" s="206" t="str">
        <f>VLOOKUP($A48,'CCRA3 Risks'!$A:$R,17,FALSE)</f>
        <v>Medium (Amber)</v>
      </c>
      <c r="AB48" s="206" t="str">
        <f>VLOOKUP($A48,'CCRA3 Risks'!$A:$R,18,FALSE)</f>
        <v>High (Reviews of building regulations and planning, Net Zero)</v>
      </c>
      <c r="AC48" s="202">
        <f>VLOOKUP($A48,'CCRA3 Risks'!$A:$AG,19,FALSE)</f>
        <v>0</v>
      </c>
      <c r="AD48" s="123">
        <f>VLOOKUP($A48,'CCRA3 Risks'!$A:$AG,20,FALSE)</f>
        <v>0</v>
      </c>
      <c r="AE48" s="123">
        <f>VLOOKUP($A48,'CCRA3 Risks'!$A:$AG,21,FALSE)</f>
        <v>0</v>
      </c>
      <c r="AF48" s="123">
        <f>VLOOKUP($A48,'CCRA3 Risks'!$A:$AG,22,FALSE)</f>
        <v>0</v>
      </c>
      <c r="AG48" s="123">
        <f>VLOOKUP($A48,'CCRA3 Risks'!$A:$AG,23,FALSE)</f>
        <v>0</v>
      </c>
      <c r="AH48" s="123">
        <f>VLOOKUP($A48,'CCRA3 Risks'!$A:$AG,24,FALSE)</f>
        <v>0</v>
      </c>
      <c r="AI48" s="123">
        <f>VLOOKUP($A48,'CCRA3 Risks'!$A:$AG,25,FALSE)</f>
        <v>0</v>
      </c>
      <c r="AJ48" s="123" t="str">
        <f>VLOOKUP($A48,'CCRA3 Risks'!$A:$AG,26,FALSE)</f>
        <v>Y</v>
      </c>
      <c r="AK48" s="123" t="str">
        <f>VLOOKUP($A48,'CCRA3 Risks'!$A:$AG,27,FALSE)</f>
        <v>Y</v>
      </c>
      <c r="AL48" s="123" t="str">
        <f>VLOOKUP($A48,'CCRA3 Risks'!$A:$AG,28,FALSE)</f>
        <v>Y</v>
      </c>
      <c r="AM48" s="123" t="str">
        <f>VLOOKUP($A48,'CCRA3 Risks'!$A:$AG,29,FALSE)</f>
        <v>Y</v>
      </c>
      <c r="AN48" s="123">
        <f>VLOOKUP($A48,'CCRA3 Risks'!$A:$AG,30,FALSE)</f>
        <v>0</v>
      </c>
      <c r="AO48" s="123">
        <f>VLOOKUP($A48,'CCRA3 Risks'!$A:$AG,31,FALSE)</f>
        <v>0</v>
      </c>
      <c r="AP48" s="123">
        <f>VLOOKUP($A48,'CCRA3 Risks'!$A:$AG,32,FALSE)</f>
        <v>0</v>
      </c>
      <c r="AQ48" s="123">
        <f>VLOOKUP($A48,'CCRA3 Risks'!$A:$AG,33,FALSE)</f>
        <v>0</v>
      </c>
    </row>
    <row r="49" spans="1:43" ht="76.5" x14ac:dyDescent="0.25">
      <c r="A49" s="88" t="s">
        <v>228</v>
      </c>
      <c r="B49" s="88" t="s">
        <v>611</v>
      </c>
      <c r="C49" s="83" t="s">
        <v>612</v>
      </c>
      <c r="D49" s="83" t="s">
        <v>461</v>
      </c>
      <c r="E49" s="88" t="s">
        <v>67</v>
      </c>
      <c r="F49" s="83" t="s">
        <v>421</v>
      </c>
      <c r="G49" s="83" t="s">
        <v>30</v>
      </c>
      <c r="H49" s="83" t="s">
        <v>613</v>
      </c>
      <c r="I49" s="88"/>
      <c r="J49" s="88" t="s">
        <v>417</v>
      </c>
      <c r="K49" s="83" t="s">
        <v>614</v>
      </c>
      <c r="L49" s="88" t="s">
        <v>606</v>
      </c>
      <c r="M49" s="88" t="s">
        <v>35</v>
      </c>
      <c r="N49" s="206" t="str">
        <f>VLOOKUP($A49,'CCRA3 Risks'!$A:$R,2,FALSE)</f>
        <v>H1 Risks to health and wellbeing from high temperatures</v>
      </c>
      <c r="O49" s="206" t="str">
        <f>VLOOKUP($A49,'CCRA3 Risks'!$A:$R,3,FALSE)</f>
        <v>Yes</v>
      </c>
      <c r="P49" s="207">
        <f>VLOOKUP($A49,'CCRA3 Risks'!$A:$R,4,FALSE)</f>
        <v>5</v>
      </c>
      <c r="Q49" s="206" t="str">
        <f>VLOOKUP($A49,'CCRA3 Risks'!$A:$R,7,FALSE)</f>
        <v>England</v>
      </c>
      <c r="R49" s="206" t="str">
        <f>VLOOKUP($A49,'CCRA3 Risks'!$A:$R,8,FALSE)</f>
        <v>High</v>
      </c>
      <c r="S49" s="206" t="str">
        <f>VLOOKUP($A49,'CCRA3 Risks'!$A:$R,9,FALSE)</f>
        <v>High</v>
      </c>
      <c r="T49" s="206" t="str">
        <f>VLOOKUP($A49,'CCRA3 Risks'!$A:$R,10,FALSE)</f>
        <v>High</v>
      </c>
      <c r="U49" s="206" t="str">
        <f>VLOOKUP($A49,'CCRA3 Risks'!$A:$R,11,FALSE)</f>
        <v>High</v>
      </c>
      <c r="V49" s="206" t="str">
        <f>VLOOKUP($A49,'CCRA3 Risks'!$A:$R,12,FALSE)</f>
        <v>High</v>
      </c>
      <c r="W49" s="206" t="str">
        <f>VLOOKUP($A49,'CCRA3 Risks'!$A:$R,13,FALSE)</f>
        <v>Partially</v>
      </c>
      <c r="X49" s="206" t="str">
        <f>VLOOKUP($A49,'CCRA3 Risks'!$A:$R,14,FALSE)</f>
        <v>More action needed</v>
      </c>
      <c r="Y49" s="206" t="str">
        <f>VLOOKUP($A49,'CCRA3 Risks'!$A:$R,15,FALSE)</f>
        <v>More action needed</v>
      </c>
      <c r="Z49" s="206" t="str">
        <f>VLOOKUP($A49,'CCRA3 Risks'!$A:$R,16,FALSE)</f>
        <v>Low (2)</v>
      </c>
      <c r="AA49" s="206" t="str">
        <f>VLOOKUP($A49,'CCRA3 Risks'!$A:$R,17,FALSE)</f>
        <v>Medium (Amber)</v>
      </c>
      <c r="AB49" s="206" t="str">
        <f>VLOOKUP($A49,'CCRA3 Risks'!$A:$R,18,FALSE)</f>
        <v>High (Reviews of building regulations and planning, Net Zero)</v>
      </c>
      <c r="AC49" s="202">
        <f>VLOOKUP($A49,'CCRA3 Risks'!$A:$AG,19,FALSE)</f>
        <v>0</v>
      </c>
      <c r="AD49" s="123">
        <f>VLOOKUP($A49,'CCRA3 Risks'!$A:$AG,20,FALSE)</f>
        <v>0</v>
      </c>
      <c r="AE49" s="123">
        <f>VLOOKUP($A49,'CCRA3 Risks'!$A:$AG,21,FALSE)</f>
        <v>0</v>
      </c>
      <c r="AF49" s="123">
        <f>VLOOKUP($A49,'CCRA3 Risks'!$A:$AG,22,FALSE)</f>
        <v>0</v>
      </c>
      <c r="AG49" s="123">
        <f>VLOOKUP($A49,'CCRA3 Risks'!$A:$AG,23,FALSE)</f>
        <v>0</v>
      </c>
      <c r="AH49" s="123">
        <f>VLOOKUP($A49,'CCRA3 Risks'!$A:$AG,24,FALSE)</f>
        <v>0</v>
      </c>
      <c r="AI49" s="123">
        <f>VLOOKUP($A49,'CCRA3 Risks'!$A:$AG,25,FALSE)</f>
        <v>0</v>
      </c>
      <c r="AJ49" s="123" t="str">
        <f>VLOOKUP($A49,'CCRA3 Risks'!$A:$AG,26,FALSE)</f>
        <v>Y</v>
      </c>
      <c r="AK49" s="123" t="str">
        <f>VLOOKUP($A49,'CCRA3 Risks'!$A:$AG,27,FALSE)</f>
        <v>Y</v>
      </c>
      <c r="AL49" s="123" t="str">
        <f>VLOOKUP($A49,'CCRA3 Risks'!$A:$AG,28,FALSE)</f>
        <v>Y</v>
      </c>
      <c r="AM49" s="123" t="str">
        <f>VLOOKUP($A49,'CCRA3 Risks'!$A:$AG,29,FALSE)</f>
        <v>Y</v>
      </c>
      <c r="AN49" s="123">
        <f>VLOOKUP($A49,'CCRA3 Risks'!$A:$AG,30,FALSE)</f>
        <v>0</v>
      </c>
      <c r="AO49" s="123">
        <f>VLOOKUP($A49,'CCRA3 Risks'!$A:$AG,31,FALSE)</f>
        <v>0</v>
      </c>
      <c r="AP49" s="123">
        <f>VLOOKUP($A49,'CCRA3 Risks'!$A:$AG,32,FALSE)</f>
        <v>0</v>
      </c>
      <c r="AQ49" s="123">
        <f>VLOOKUP($A49,'CCRA3 Risks'!$A:$AG,33,FALSE)</f>
        <v>0</v>
      </c>
    </row>
    <row r="50" spans="1:43" ht="354.6" customHeight="1" x14ac:dyDescent="0.25">
      <c r="A50" s="88" t="s">
        <v>228</v>
      </c>
      <c r="B50" s="88" t="s">
        <v>615</v>
      </c>
      <c r="C50" s="83" t="s">
        <v>616</v>
      </c>
      <c r="D50" s="83" t="s">
        <v>461</v>
      </c>
      <c r="E50" s="88" t="s">
        <v>67</v>
      </c>
      <c r="F50" s="83" t="s">
        <v>421</v>
      </c>
      <c r="G50" s="83" t="s">
        <v>30</v>
      </c>
      <c r="H50" s="83" t="s">
        <v>617</v>
      </c>
      <c r="I50" s="88"/>
      <c r="J50" s="88" t="s">
        <v>463</v>
      </c>
      <c r="K50" s="83" t="s">
        <v>618</v>
      </c>
      <c r="L50" s="88" t="s">
        <v>606</v>
      </c>
      <c r="M50" s="83" t="s">
        <v>619</v>
      </c>
      <c r="N50" s="206" t="str">
        <f>VLOOKUP($A50,'CCRA3 Risks'!$A:$R,2,FALSE)</f>
        <v>H1 Risks to health and wellbeing from high temperatures</v>
      </c>
      <c r="O50" s="206" t="str">
        <f>VLOOKUP($A50,'CCRA3 Risks'!$A:$R,3,FALSE)</f>
        <v>Yes</v>
      </c>
      <c r="P50" s="207">
        <f>VLOOKUP($A50,'CCRA3 Risks'!$A:$R,4,FALSE)</f>
        <v>5</v>
      </c>
      <c r="Q50" s="206" t="str">
        <f>VLOOKUP($A50,'CCRA3 Risks'!$A:$R,7,FALSE)</f>
        <v>England</v>
      </c>
      <c r="R50" s="206" t="str">
        <f>VLOOKUP($A50,'CCRA3 Risks'!$A:$R,8,FALSE)</f>
        <v>High</v>
      </c>
      <c r="S50" s="206" t="str">
        <f>VLOOKUP($A50,'CCRA3 Risks'!$A:$R,9,FALSE)</f>
        <v>High</v>
      </c>
      <c r="T50" s="206" t="str">
        <f>VLOOKUP($A50,'CCRA3 Risks'!$A:$R,10,FALSE)</f>
        <v>High</v>
      </c>
      <c r="U50" s="206" t="str">
        <f>VLOOKUP($A50,'CCRA3 Risks'!$A:$R,11,FALSE)</f>
        <v>High</v>
      </c>
      <c r="V50" s="206" t="str">
        <f>VLOOKUP($A50,'CCRA3 Risks'!$A:$R,12,FALSE)</f>
        <v>High</v>
      </c>
      <c r="W50" s="206" t="str">
        <f>VLOOKUP($A50,'CCRA3 Risks'!$A:$R,13,FALSE)</f>
        <v>Partially</v>
      </c>
      <c r="X50" s="206" t="str">
        <f>VLOOKUP($A50,'CCRA3 Risks'!$A:$R,14,FALSE)</f>
        <v>More action needed</v>
      </c>
      <c r="Y50" s="206" t="str">
        <f>VLOOKUP($A50,'CCRA3 Risks'!$A:$R,15,FALSE)</f>
        <v>More action needed</v>
      </c>
      <c r="Z50" s="206" t="str">
        <f>VLOOKUP($A50,'CCRA3 Risks'!$A:$R,16,FALSE)</f>
        <v>Low (2)</v>
      </c>
      <c r="AA50" s="206" t="str">
        <f>VLOOKUP($A50,'CCRA3 Risks'!$A:$R,17,FALSE)</f>
        <v>Medium (Amber)</v>
      </c>
      <c r="AB50" s="206" t="str">
        <f>VLOOKUP($A50,'CCRA3 Risks'!$A:$R,18,FALSE)</f>
        <v>High (Reviews of building regulations and planning, Net Zero)</v>
      </c>
      <c r="AC50" s="202">
        <f>VLOOKUP($A50,'CCRA3 Risks'!$A:$AG,19,FALSE)</f>
        <v>0</v>
      </c>
      <c r="AD50" s="123">
        <f>VLOOKUP($A50,'CCRA3 Risks'!$A:$AG,20,FALSE)</f>
        <v>0</v>
      </c>
      <c r="AE50" s="123">
        <f>VLOOKUP($A50,'CCRA3 Risks'!$A:$AG,21,FALSE)</f>
        <v>0</v>
      </c>
      <c r="AF50" s="123">
        <f>VLOOKUP($A50,'CCRA3 Risks'!$A:$AG,22,FALSE)</f>
        <v>0</v>
      </c>
      <c r="AG50" s="123">
        <f>VLOOKUP($A50,'CCRA3 Risks'!$A:$AG,23,FALSE)</f>
        <v>0</v>
      </c>
      <c r="AH50" s="123">
        <f>VLOOKUP($A50,'CCRA3 Risks'!$A:$AG,24,FALSE)</f>
        <v>0</v>
      </c>
      <c r="AI50" s="123">
        <f>VLOOKUP($A50,'CCRA3 Risks'!$A:$AG,25,FALSE)</f>
        <v>0</v>
      </c>
      <c r="AJ50" s="123" t="str">
        <f>VLOOKUP($A50,'CCRA3 Risks'!$A:$AG,26,FALSE)</f>
        <v>Y</v>
      </c>
      <c r="AK50" s="123" t="str">
        <f>VLOOKUP($A50,'CCRA3 Risks'!$A:$AG,27,FALSE)</f>
        <v>Y</v>
      </c>
      <c r="AL50" s="123" t="str">
        <f>VLOOKUP($A50,'CCRA3 Risks'!$A:$AG,28,FALSE)</f>
        <v>Y</v>
      </c>
      <c r="AM50" s="123" t="str">
        <f>VLOOKUP($A50,'CCRA3 Risks'!$A:$AG,29,FALSE)</f>
        <v>Y</v>
      </c>
      <c r="AN50" s="123">
        <f>VLOOKUP($A50,'CCRA3 Risks'!$A:$AG,30,FALSE)</f>
        <v>0</v>
      </c>
      <c r="AO50" s="123">
        <f>VLOOKUP($A50,'CCRA3 Risks'!$A:$AG,31,FALSE)</f>
        <v>0</v>
      </c>
      <c r="AP50" s="123">
        <f>VLOOKUP($A50,'CCRA3 Risks'!$A:$AG,32,FALSE)</f>
        <v>0</v>
      </c>
      <c r="AQ50" s="123">
        <f>VLOOKUP($A50,'CCRA3 Risks'!$A:$AG,33,FALSE)</f>
        <v>0</v>
      </c>
    </row>
    <row r="51" spans="1:43" ht="153" x14ac:dyDescent="0.25">
      <c r="A51" s="88" t="s">
        <v>228</v>
      </c>
      <c r="B51" s="88" t="s">
        <v>620</v>
      </c>
      <c r="C51" s="83" t="s">
        <v>621</v>
      </c>
      <c r="D51" s="83" t="s">
        <v>461</v>
      </c>
      <c r="E51" s="88" t="s">
        <v>67</v>
      </c>
      <c r="F51" s="83" t="s">
        <v>396</v>
      </c>
      <c r="G51" s="83" t="s">
        <v>30</v>
      </c>
      <c r="H51" s="83" t="s">
        <v>622</v>
      </c>
      <c r="I51" s="88"/>
      <c r="J51" s="88" t="s">
        <v>398</v>
      </c>
      <c r="K51" s="83" t="s">
        <v>623</v>
      </c>
      <c r="L51" s="88" t="s">
        <v>606</v>
      </c>
      <c r="M51" s="88" t="s">
        <v>624</v>
      </c>
      <c r="N51" s="206" t="str">
        <f>VLOOKUP($A51,'CCRA3 Risks'!$A:$R,2,FALSE)</f>
        <v>H1 Risks to health and wellbeing from high temperatures</v>
      </c>
      <c r="O51" s="206" t="str">
        <f>VLOOKUP($A51,'CCRA3 Risks'!$A:$R,3,FALSE)</f>
        <v>Yes</v>
      </c>
      <c r="P51" s="207">
        <f>VLOOKUP($A51,'CCRA3 Risks'!$A:$R,4,FALSE)</f>
        <v>5</v>
      </c>
      <c r="Q51" s="206" t="str">
        <f>VLOOKUP($A51,'CCRA3 Risks'!$A:$R,7,FALSE)</f>
        <v>England</v>
      </c>
      <c r="R51" s="206" t="str">
        <f>VLOOKUP($A51,'CCRA3 Risks'!$A:$R,8,FALSE)</f>
        <v>High</v>
      </c>
      <c r="S51" s="206" t="str">
        <f>VLOOKUP($A51,'CCRA3 Risks'!$A:$R,9,FALSE)</f>
        <v>High</v>
      </c>
      <c r="T51" s="206" t="str">
        <f>VLOOKUP($A51,'CCRA3 Risks'!$A:$R,10,FALSE)</f>
        <v>High</v>
      </c>
      <c r="U51" s="206" t="str">
        <f>VLOOKUP($A51,'CCRA3 Risks'!$A:$R,11,FALSE)</f>
        <v>High</v>
      </c>
      <c r="V51" s="206" t="str">
        <f>VLOOKUP($A51,'CCRA3 Risks'!$A:$R,12,FALSE)</f>
        <v>High</v>
      </c>
      <c r="W51" s="206" t="str">
        <f>VLOOKUP($A51,'CCRA3 Risks'!$A:$R,13,FALSE)</f>
        <v>Partially</v>
      </c>
      <c r="X51" s="206" t="str">
        <f>VLOOKUP($A51,'CCRA3 Risks'!$A:$R,14,FALSE)</f>
        <v>More action needed</v>
      </c>
      <c r="Y51" s="206" t="str">
        <f>VLOOKUP($A51,'CCRA3 Risks'!$A:$R,15,FALSE)</f>
        <v>More action needed</v>
      </c>
      <c r="Z51" s="206" t="str">
        <f>VLOOKUP($A51,'CCRA3 Risks'!$A:$R,16,FALSE)</f>
        <v>Low (2)</v>
      </c>
      <c r="AA51" s="206" t="str">
        <f>VLOOKUP($A51,'CCRA3 Risks'!$A:$R,17,FALSE)</f>
        <v>Medium (Amber)</v>
      </c>
      <c r="AB51" s="206" t="str">
        <f>VLOOKUP($A51,'CCRA3 Risks'!$A:$R,18,FALSE)</f>
        <v>High (Reviews of building regulations and planning, Net Zero)</v>
      </c>
      <c r="AC51" s="202">
        <f>VLOOKUP($A51,'CCRA3 Risks'!$A:$AG,19,FALSE)</f>
        <v>0</v>
      </c>
      <c r="AD51" s="123">
        <f>VLOOKUP($A51,'CCRA3 Risks'!$A:$AG,20,FALSE)</f>
        <v>0</v>
      </c>
      <c r="AE51" s="123">
        <f>VLOOKUP($A51,'CCRA3 Risks'!$A:$AG,21,FALSE)</f>
        <v>0</v>
      </c>
      <c r="AF51" s="123">
        <f>VLOOKUP($A51,'CCRA3 Risks'!$A:$AG,22,FALSE)</f>
        <v>0</v>
      </c>
      <c r="AG51" s="123">
        <f>VLOOKUP($A51,'CCRA3 Risks'!$A:$AG,23,FALSE)</f>
        <v>0</v>
      </c>
      <c r="AH51" s="123">
        <f>VLOOKUP($A51,'CCRA3 Risks'!$A:$AG,24,FALSE)</f>
        <v>0</v>
      </c>
      <c r="AI51" s="123">
        <f>VLOOKUP($A51,'CCRA3 Risks'!$A:$AG,25,FALSE)</f>
        <v>0</v>
      </c>
      <c r="AJ51" s="123" t="str">
        <f>VLOOKUP($A51,'CCRA3 Risks'!$A:$AG,26,FALSE)</f>
        <v>Y</v>
      </c>
      <c r="AK51" s="123" t="str">
        <f>VLOOKUP($A51,'CCRA3 Risks'!$A:$AG,27,FALSE)</f>
        <v>Y</v>
      </c>
      <c r="AL51" s="123" t="str">
        <f>VLOOKUP($A51,'CCRA3 Risks'!$A:$AG,28,FALSE)</f>
        <v>Y</v>
      </c>
      <c r="AM51" s="123" t="str">
        <f>VLOOKUP($A51,'CCRA3 Risks'!$A:$AG,29,FALSE)</f>
        <v>Y</v>
      </c>
      <c r="AN51" s="123">
        <f>VLOOKUP($A51,'CCRA3 Risks'!$A:$AG,30,FALSE)</f>
        <v>0</v>
      </c>
      <c r="AO51" s="123">
        <f>VLOOKUP($A51,'CCRA3 Risks'!$A:$AG,31,FALSE)</f>
        <v>0</v>
      </c>
      <c r="AP51" s="123">
        <f>VLOOKUP($A51,'CCRA3 Risks'!$A:$AG,32,FALSE)</f>
        <v>0</v>
      </c>
      <c r="AQ51" s="123">
        <f>VLOOKUP($A51,'CCRA3 Risks'!$A:$AG,33,FALSE)</f>
        <v>0</v>
      </c>
    </row>
    <row r="52" spans="1:43" ht="140.25" x14ac:dyDescent="0.25">
      <c r="A52" s="88" t="s">
        <v>231</v>
      </c>
      <c r="B52" s="88" t="s">
        <v>625</v>
      </c>
      <c r="C52" s="205" t="s">
        <v>626</v>
      </c>
      <c r="D52" s="205" t="s">
        <v>461</v>
      </c>
      <c r="E52" s="88" t="s">
        <v>67</v>
      </c>
      <c r="F52" s="83" t="s">
        <v>396</v>
      </c>
      <c r="G52" s="83" t="s">
        <v>20</v>
      </c>
      <c r="H52" s="83" t="s">
        <v>627</v>
      </c>
      <c r="I52" s="88"/>
      <c r="J52" s="88" t="s">
        <v>398</v>
      </c>
      <c r="K52" s="83" t="s">
        <v>628</v>
      </c>
      <c r="L52" s="88" t="s">
        <v>629</v>
      </c>
      <c r="M52" s="83" t="s">
        <v>630</v>
      </c>
      <c r="N52" s="206" t="str">
        <f>VLOOKUP($A52,'CCRA3 Risks'!$A:$R,2,FALSE)</f>
        <v>H2 Opportunities for health and wellbeing from higher temperatures</v>
      </c>
      <c r="O52" s="206" t="str">
        <f>VLOOKUP($A52,'CCRA3 Risks'!$A:$R,3,FALSE)</f>
        <v>No</v>
      </c>
      <c r="P52" s="207">
        <f>VLOOKUP($A52,'CCRA3 Risks'!$A:$R,4,FALSE)</f>
        <v>5</v>
      </c>
      <c r="Q52" s="206" t="str">
        <f>VLOOKUP($A52,'CCRA3 Risks'!$A:$R,7,FALSE)</f>
        <v>England</v>
      </c>
      <c r="R52" s="206" t="str">
        <f>VLOOKUP($A52,'CCRA3 Risks'!$A:$R,8,FALSE)</f>
        <v>Low</v>
      </c>
      <c r="S52" s="206" t="str">
        <f>VLOOKUP($A52,'CCRA3 Risks'!$A:$R,9,FALSE)</f>
        <v>Low</v>
      </c>
      <c r="T52" s="206" t="str">
        <f>VLOOKUP($A52,'CCRA3 Risks'!$A:$R,10,FALSE)</f>
        <v>Low</v>
      </c>
      <c r="U52" s="206" t="str">
        <f>VLOOKUP($A52,'CCRA3 Risks'!$A:$R,11,FALSE)</f>
        <v>Medium</v>
      </c>
      <c r="V52" s="206" t="str">
        <f>VLOOKUP($A52,'CCRA3 Risks'!$A:$R,12,FALSE)</f>
        <v>Medium</v>
      </c>
      <c r="W52" s="206" t="str">
        <f>VLOOKUP($A52,'CCRA3 Risks'!$A:$R,13,FALSE)</f>
        <v>Partially</v>
      </c>
      <c r="X52" s="206" t="str">
        <f>VLOOKUP($A52,'CCRA3 Risks'!$A:$R,14,FALSE)</f>
        <v>Further investigation</v>
      </c>
      <c r="Y52" s="206" t="str">
        <f>VLOOKUP($A52,'CCRA3 Risks'!$A:$R,15,FALSE)</f>
        <v>Further Investigation</v>
      </c>
      <c r="Z52" s="206" t="str">
        <f>VLOOKUP($A52,'CCRA3 Risks'!$A:$R,16,FALSE)</f>
        <v>N/A</v>
      </c>
      <c r="AA52" s="206" t="str">
        <f>VLOOKUP($A52,'CCRA3 Risks'!$A:$R,17,FALSE)</f>
        <v>N/A</v>
      </c>
      <c r="AB52" s="206" t="str">
        <f>VLOOKUP($A52,'CCRA3 Risks'!$A:$R,18,FALSE)</f>
        <v>Low (No key policies looking at opportunities in the next two years)</v>
      </c>
      <c r="AC52" s="202">
        <f>VLOOKUP($A52,'CCRA3 Risks'!$A:$AG,19,FALSE)</f>
        <v>0</v>
      </c>
      <c r="AD52" s="123">
        <f>VLOOKUP($A52,'CCRA3 Risks'!$A:$AG,20,FALSE)</f>
        <v>0</v>
      </c>
      <c r="AE52" s="123">
        <f>VLOOKUP($A52,'CCRA3 Risks'!$A:$AG,21,FALSE)</f>
        <v>0</v>
      </c>
      <c r="AF52" s="123">
        <f>VLOOKUP($A52,'CCRA3 Risks'!$A:$AG,22,FALSE)</f>
        <v>0</v>
      </c>
      <c r="AG52" s="123">
        <f>VLOOKUP($A52,'CCRA3 Risks'!$A:$AG,23,FALSE)</f>
        <v>0</v>
      </c>
      <c r="AH52" s="123">
        <f>VLOOKUP($A52,'CCRA3 Risks'!$A:$AG,24,FALSE)</f>
        <v>0</v>
      </c>
      <c r="AI52" s="123">
        <f>VLOOKUP($A52,'CCRA3 Risks'!$A:$AG,25,FALSE)</f>
        <v>0</v>
      </c>
      <c r="AJ52" s="123">
        <f>VLOOKUP($A52,'CCRA3 Risks'!$A:$AG,26,FALSE)</f>
        <v>0</v>
      </c>
      <c r="AK52" s="123">
        <f>VLOOKUP($A52,'CCRA3 Risks'!$A:$AG,27,FALSE)</f>
        <v>0</v>
      </c>
      <c r="AL52" s="123" t="str">
        <f>VLOOKUP($A52,'CCRA3 Risks'!$A:$AG,28,FALSE)</f>
        <v>Y</v>
      </c>
      <c r="AM52" s="123" t="str">
        <f>VLOOKUP($A52,'CCRA3 Risks'!$A:$AG,29,FALSE)</f>
        <v>Y</v>
      </c>
      <c r="AN52" s="123">
        <f>VLOOKUP($A52,'CCRA3 Risks'!$A:$AG,30,FALSE)</f>
        <v>0</v>
      </c>
      <c r="AO52" s="123">
        <f>VLOOKUP($A52,'CCRA3 Risks'!$A:$AG,31,FALSE)</f>
        <v>0</v>
      </c>
      <c r="AP52" s="123">
        <f>VLOOKUP($A52,'CCRA3 Risks'!$A:$AG,32,FALSE)</f>
        <v>0</v>
      </c>
      <c r="AQ52" s="123">
        <f>VLOOKUP($A52,'CCRA3 Risks'!$A:$AG,33,FALSE)</f>
        <v>0</v>
      </c>
    </row>
    <row r="53" spans="1:43" ht="229.5" x14ac:dyDescent="0.25">
      <c r="A53" s="88" t="s">
        <v>233</v>
      </c>
      <c r="B53" s="88" t="s">
        <v>631</v>
      </c>
      <c r="C53" s="83" t="s">
        <v>632</v>
      </c>
      <c r="D53" s="83" t="s">
        <v>403</v>
      </c>
      <c r="E53" s="88" t="s">
        <v>67</v>
      </c>
      <c r="F53" s="83" t="s">
        <v>472</v>
      </c>
      <c r="G53" s="83" t="s">
        <v>53</v>
      </c>
      <c r="H53" s="83" t="s">
        <v>633</v>
      </c>
      <c r="I53" s="88"/>
      <c r="J53" s="88" t="s">
        <v>463</v>
      </c>
      <c r="K53" s="83" t="s">
        <v>634</v>
      </c>
      <c r="L53" s="88" t="s">
        <v>480</v>
      </c>
      <c r="M53" s="83" t="s">
        <v>635</v>
      </c>
      <c r="N53" s="206" t="str">
        <f>VLOOKUP($A53,'CCRA3 Risks'!$A:$R,2,FALSE)</f>
        <v>H3 Risks to people, communities and buildings from flooding</v>
      </c>
      <c r="O53" s="206" t="str">
        <f>VLOOKUP($A53,'CCRA3 Risks'!$A:$R,3,FALSE)</f>
        <v>No</v>
      </c>
      <c r="P53" s="207">
        <f>VLOOKUP($A53,'CCRA3 Risks'!$A:$R,4,FALSE)</f>
        <v>5</v>
      </c>
      <c r="Q53" s="206" t="str">
        <f>VLOOKUP($A53,'CCRA3 Risks'!$A:$R,7,FALSE)</f>
        <v>England</v>
      </c>
      <c r="R53" s="206" t="str">
        <f>VLOOKUP($A53,'CCRA3 Risks'!$A:$R,8,FALSE)</f>
        <v>High</v>
      </c>
      <c r="S53" s="206" t="str">
        <f>VLOOKUP($A53,'CCRA3 Risks'!$A:$R,9,FALSE)</f>
        <v>High</v>
      </c>
      <c r="T53" s="206" t="str">
        <f>VLOOKUP($A53,'CCRA3 Risks'!$A:$R,10,FALSE)</f>
        <v>High</v>
      </c>
      <c r="U53" s="206" t="str">
        <f>VLOOKUP($A53,'CCRA3 Risks'!$A:$R,11,FALSE)</f>
        <v>High</v>
      </c>
      <c r="V53" s="206" t="str">
        <f>VLOOKUP($A53,'CCRA3 Risks'!$A:$R,12,FALSE)</f>
        <v>High</v>
      </c>
      <c r="W53" s="206" t="str">
        <f>VLOOKUP($A53,'CCRA3 Risks'!$A:$R,13,FALSE)</f>
        <v>Partially</v>
      </c>
      <c r="X53" s="206" t="str">
        <f>VLOOKUP($A53,'CCRA3 Risks'!$A:$R,14,FALSE)</f>
        <v>More action needed</v>
      </c>
      <c r="Y53" s="206" t="str">
        <f>VLOOKUP($A53,'CCRA3 Risks'!$A:$R,15,FALSE)</f>
        <v>More action needed</v>
      </c>
      <c r="Z53" s="206" t="str">
        <f>VLOOKUP($A53,'CCRA3 Risks'!$A:$R,16,FALSE)</f>
        <v>Medium (5)</v>
      </c>
      <c r="AA53" s="206" t="str">
        <f>VLOOKUP($A53,'CCRA3 Risks'!$A:$R,17,FALSE)</f>
        <v>Medium (Amber)</v>
      </c>
      <c r="AB53" s="206" t="str">
        <f>VLOOKUP($A53,'CCRA3 Risks'!$A:$R,18,FALSE)</f>
        <v>Medium (implementation of flood policies)</v>
      </c>
      <c r="AC53" s="202">
        <f>VLOOKUP($A53,'CCRA3 Risks'!$A:$AG,19,FALSE)</f>
        <v>0</v>
      </c>
      <c r="AD53" s="123">
        <f>VLOOKUP($A53,'CCRA3 Risks'!$A:$AG,20,FALSE)</f>
        <v>0</v>
      </c>
      <c r="AE53" s="123">
        <f>VLOOKUP($A53,'CCRA3 Risks'!$A:$AG,21,FALSE)</f>
        <v>0</v>
      </c>
      <c r="AF53" s="123">
        <f>VLOOKUP($A53,'CCRA3 Risks'!$A:$AG,22,FALSE)</f>
        <v>0</v>
      </c>
      <c r="AG53" s="123">
        <f>VLOOKUP($A53,'CCRA3 Risks'!$A:$AG,23,FALSE)</f>
        <v>0</v>
      </c>
      <c r="AH53" s="123">
        <f>VLOOKUP($A53,'CCRA3 Risks'!$A:$AG,24,FALSE)</f>
        <v>0</v>
      </c>
      <c r="AI53" s="123">
        <f>VLOOKUP($A53,'CCRA3 Risks'!$A:$AG,25,FALSE)</f>
        <v>0</v>
      </c>
      <c r="AJ53" s="123" t="str">
        <f>VLOOKUP($A53,'CCRA3 Risks'!$A:$AG,26,FALSE)</f>
        <v>Y</v>
      </c>
      <c r="AK53" s="123" t="str">
        <f>VLOOKUP($A53,'CCRA3 Risks'!$A:$AG,27,FALSE)</f>
        <v>Y</v>
      </c>
      <c r="AL53" s="123" t="str">
        <f>VLOOKUP($A53,'CCRA3 Risks'!$A:$AG,28,FALSE)</f>
        <v>Y</v>
      </c>
      <c r="AM53" s="123" t="str">
        <f>VLOOKUP($A53,'CCRA3 Risks'!$A:$AG,29,FALSE)</f>
        <v>Y</v>
      </c>
      <c r="AN53" s="123">
        <f>VLOOKUP($A53,'CCRA3 Risks'!$A:$AG,30,FALSE)</f>
        <v>0</v>
      </c>
      <c r="AO53" s="123">
        <f>VLOOKUP($A53,'CCRA3 Risks'!$A:$AG,31,FALSE)</f>
        <v>0</v>
      </c>
      <c r="AP53" s="123">
        <f>VLOOKUP($A53,'CCRA3 Risks'!$A:$AG,32,FALSE)</f>
        <v>0</v>
      </c>
      <c r="AQ53" s="123">
        <f>VLOOKUP($A53,'CCRA3 Risks'!$A:$AG,33,FALSE)</f>
        <v>0</v>
      </c>
    </row>
    <row r="54" spans="1:43" ht="76.5" x14ac:dyDescent="0.25">
      <c r="A54" s="88" t="s">
        <v>233</v>
      </c>
      <c r="B54" s="88" t="s">
        <v>636</v>
      </c>
      <c r="C54" s="83" t="s">
        <v>637</v>
      </c>
      <c r="D54" s="83" t="s">
        <v>403</v>
      </c>
      <c r="E54" s="88" t="s">
        <v>67</v>
      </c>
      <c r="F54" s="83" t="s">
        <v>421</v>
      </c>
      <c r="G54" s="83" t="s">
        <v>53</v>
      </c>
      <c r="H54" s="83" t="s">
        <v>638</v>
      </c>
      <c r="I54" s="88"/>
      <c r="J54" s="88" t="s">
        <v>417</v>
      </c>
      <c r="K54" s="83" t="s">
        <v>639</v>
      </c>
      <c r="L54" s="88" t="s">
        <v>480</v>
      </c>
      <c r="M54" s="88" t="s">
        <v>35</v>
      </c>
      <c r="N54" s="206" t="str">
        <f>VLOOKUP($A54,'CCRA3 Risks'!$A:$R,2,FALSE)</f>
        <v>H3 Risks to people, communities and buildings from flooding</v>
      </c>
      <c r="O54" s="206" t="str">
        <f>VLOOKUP($A54,'CCRA3 Risks'!$A:$R,3,FALSE)</f>
        <v>No</v>
      </c>
      <c r="P54" s="207">
        <f>VLOOKUP($A54,'CCRA3 Risks'!$A:$R,4,FALSE)</f>
        <v>5</v>
      </c>
      <c r="Q54" s="206" t="str">
        <f>VLOOKUP($A54,'CCRA3 Risks'!$A:$R,7,FALSE)</f>
        <v>England</v>
      </c>
      <c r="R54" s="206" t="str">
        <f>VLOOKUP($A54,'CCRA3 Risks'!$A:$R,8,FALSE)</f>
        <v>High</v>
      </c>
      <c r="S54" s="206" t="str">
        <f>VLOOKUP($A54,'CCRA3 Risks'!$A:$R,9,FALSE)</f>
        <v>High</v>
      </c>
      <c r="T54" s="206" t="str">
        <f>VLOOKUP($A54,'CCRA3 Risks'!$A:$R,10,FALSE)</f>
        <v>High</v>
      </c>
      <c r="U54" s="206" t="str">
        <f>VLOOKUP($A54,'CCRA3 Risks'!$A:$R,11,FALSE)</f>
        <v>High</v>
      </c>
      <c r="V54" s="206" t="str">
        <f>VLOOKUP($A54,'CCRA3 Risks'!$A:$R,12,FALSE)</f>
        <v>High</v>
      </c>
      <c r="W54" s="206" t="str">
        <f>VLOOKUP($A54,'CCRA3 Risks'!$A:$R,13,FALSE)</f>
        <v>Partially</v>
      </c>
      <c r="X54" s="206" t="str">
        <f>VLOOKUP($A54,'CCRA3 Risks'!$A:$R,14,FALSE)</f>
        <v>More action needed</v>
      </c>
      <c r="Y54" s="206" t="str">
        <f>VLOOKUP($A54,'CCRA3 Risks'!$A:$R,15,FALSE)</f>
        <v>More action needed</v>
      </c>
      <c r="Z54" s="206" t="str">
        <f>VLOOKUP($A54,'CCRA3 Risks'!$A:$R,16,FALSE)</f>
        <v>Medium (5)</v>
      </c>
      <c r="AA54" s="206" t="str">
        <f>VLOOKUP($A54,'CCRA3 Risks'!$A:$R,17,FALSE)</f>
        <v>Medium (Amber)</v>
      </c>
      <c r="AB54" s="206" t="str">
        <f>VLOOKUP($A54,'CCRA3 Risks'!$A:$R,18,FALSE)</f>
        <v>Medium (implementation of flood policies)</v>
      </c>
      <c r="AC54" s="202">
        <f>VLOOKUP($A54,'CCRA3 Risks'!$A:$AG,19,FALSE)</f>
        <v>0</v>
      </c>
      <c r="AD54" s="123">
        <f>VLOOKUP($A54,'CCRA3 Risks'!$A:$AG,20,FALSE)</f>
        <v>0</v>
      </c>
      <c r="AE54" s="123">
        <f>VLOOKUP($A54,'CCRA3 Risks'!$A:$AG,21,FALSE)</f>
        <v>0</v>
      </c>
      <c r="AF54" s="123">
        <f>VLOOKUP($A54,'CCRA3 Risks'!$A:$AG,22,FALSE)</f>
        <v>0</v>
      </c>
      <c r="AG54" s="123">
        <f>VLOOKUP($A54,'CCRA3 Risks'!$A:$AG,23,FALSE)</f>
        <v>0</v>
      </c>
      <c r="AH54" s="123">
        <f>VLOOKUP($A54,'CCRA3 Risks'!$A:$AG,24,FALSE)</f>
        <v>0</v>
      </c>
      <c r="AI54" s="123">
        <f>VLOOKUP($A54,'CCRA3 Risks'!$A:$AG,25,FALSE)</f>
        <v>0</v>
      </c>
      <c r="AJ54" s="123" t="str">
        <f>VLOOKUP($A54,'CCRA3 Risks'!$A:$AG,26,FALSE)</f>
        <v>Y</v>
      </c>
      <c r="AK54" s="123" t="str">
        <f>VLOOKUP($A54,'CCRA3 Risks'!$A:$AG,27,FALSE)</f>
        <v>Y</v>
      </c>
      <c r="AL54" s="123" t="str">
        <f>VLOOKUP($A54,'CCRA3 Risks'!$A:$AG,28,FALSE)</f>
        <v>Y</v>
      </c>
      <c r="AM54" s="123" t="str">
        <f>VLOOKUP($A54,'CCRA3 Risks'!$A:$AG,29,FALSE)</f>
        <v>Y</v>
      </c>
      <c r="AN54" s="123">
        <f>VLOOKUP($A54,'CCRA3 Risks'!$A:$AG,30,FALSE)</f>
        <v>0</v>
      </c>
      <c r="AO54" s="123">
        <f>VLOOKUP($A54,'CCRA3 Risks'!$A:$AG,31,FALSE)</f>
        <v>0</v>
      </c>
      <c r="AP54" s="123">
        <f>VLOOKUP($A54,'CCRA3 Risks'!$A:$AG,32,FALSE)</f>
        <v>0</v>
      </c>
      <c r="AQ54" s="123">
        <f>VLOOKUP($A54,'CCRA3 Risks'!$A:$AG,33,FALSE)</f>
        <v>0</v>
      </c>
    </row>
    <row r="55" spans="1:43" ht="89.25" x14ac:dyDescent="0.25">
      <c r="A55" s="88" t="s">
        <v>233</v>
      </c>
      <c r="B55" s="88" t="s">
        <v>640</v>
      </c>
      <c r="C55" s="83" t="s">
        <v>641</v>
      </c>
      <c r="D55" s="83" t="s">
        <v>461</v>
      </c>
      <c r="E55" s="88" t="s">
        <v>67</v>
      </c>
      <c r="F55" s="83" t="s">
        <v>396</v>
      </c>
      <c r="G55" s="83" t="s">
        <v>30</v>
      </c>
      <c r="H55" s="83" t="s">
        <v>642</v>
      </c>
      <c r="I55" s="88"/>
      <c r="J55" s="88" t="s">
        <v>398</v>
      </c>
      <c r="K55" s="83" t="s">
        <v>643</v>
      </c>
      <c r="L55" s="88" t="s">
        <v>480</v>
      </c>
      <c r="M55" s="83" t="s">
        <v>644</v>
      </c>
      <c r="N55" s="206" t="str">
        <f>VLOOKUP($A55,'CCRA3 Risks'!$A:$R,2,FALSE)</f>
        <v>H3 Risks to people, communities and buildings from flooding</v>
      </c>
      <c r="O55" s="206" t="str">
        <f>VLOOKUP($A55,'CCRA3 Risks'!$A:$R,3,FALSE)</f>
        <v>No</v>
      </c>
      <c r="P55" s="207">
        <f>VLOOKUP($A55,'CCRA3 Risks'!$A:$R,4,FALSE)</f>
        <v>5</v>
      </c>
      <c r="Q55" s="206" t="str">
        <f>VLOOKUP($A55,'CCRA3 Risks'!$A:$R,7,FALSE)</f>
        <v>England</v>
      </c>
      <c r="R55" s="206" t="str">
        <f>VLOOKUP($A55,'CCRA3 Risks'!$A:$R,8,FALSE)</f>
        <v>High</v>
      </c>
      <c r="S55" s="206" t="str">
        <f>VLOOKUP($A55,'CCRA3 Risks'!$A:$R,9,FALSE)</f>
        <v>High</v>
      </c>
      <c r="T55" s="206" t="str">
        <f>VLOOKUP($A55,'CCRA3 Risks'!$A:$R,10,FALSE)</f>
        <v>High</v>
      </c>
      <c r="U55" s="206" t="str">
        <f>VLOOKUP($A55,'CCRA3 Risks'!$A:$R,11,FALSE)</f>
        <v>High</v>
      </c>
      <c r="V55" s="206" t="str">
        <f>VLOOKUP($A55,'CCRA3 Risks'!$A:$R,12,FALSE)</f>
        <v>High</v>
      </c>
      <c r="W55" s="206" t="str">
        <f>VLOOKUP($A55,'CCRA3 Risks'!$A:$R,13,FALSE)</f>
        <v>Partially</v>
      </c>
      <c r="X55" s="206" t="str">
        <f>VLOOKUP($A55,'CCRA3 Risks'!$A:$R,14,FALSE)</f>
        <v>More action needed</v>
      </c>
      <c r="Y55" s="206" t="str">
        <f>VLOOKUP($A55,'CCRA3 Risks'!$A:$R,15,FALSE)</f>
        <v>More action needed</v>
      </c>
      <c r="Z55" s="206" t="str">
        <f>VLOOKUP($A55,'CCRA3 Risks'!$A:$R,16,FALSE)</f>
        <v>Medium (5)</v>
      </c>
      <c r="AA55" s="206" t="str">
        <f>VLOOKUP($A55,'CCRA3 Risks'!$A:$R,17,FALSE)</f>
        <v>Medium (Amber)</v>
      </c>
      <c r="AB55" s="206" t="str">
        <f>VLOOKUP($A55,'CCRA3 Risks'!$A:$R,18,FALSE)</f>
        <v>Medium (implementation of flood policies)</v>
      </c>
      <c r="AC55" s="202">
        <f>VLOOKUP($A55,'CCRA3 Risks'!$A:$AG,19,FALSE)</f>
        <v>0</v>
      </c>
      <c r="AD55" s="123">
        <f>VLOOKUP($A55,'CCRA3 Risks'!$A:$AG,20,FALSE)</f>
        <v>0</v>
      </c>
      <c r="AE55" s="123">
        <f>VLOOKUP($A55,'CCRA3 Risks'!$A:$AG,21,FALSE)</f>
        <v>0</v>
      </c>
      <c r="AF55" s="123">
        <f>VLOOKUP($A55,'CCRA3 Risks'!$A:$AG,22,FALSE)</f>
        <v>0</v>
      </c>
      <c r="AG55" s="123">
        <f>VLOOKUP($A55,'CCRA3 Risks'!$A:$AG,23,FALSE)</f>
        <v>0</v>
      </c>
      <c r="AH55" s="123">
        <f>VLOOKUP($A55,'CCRA3 Risks'!$A:$AG,24,FALSE)</f>
        <v>0</v>
      </c>
      <c r="AI55" s="123">
        <f>VLOOKUP($A55,'CCRA3 Risks'!$A:$AG,25,FALSE)</f>
        <v>0</v>
      </c>
      <c r="AJ55" s="123" t="str">
        <f>VLOOKUP($A55,'CCRA3 Risks'!$A:$AG,26,FALSE)</f>
        <v>Y</v>
      </c>
      <c r="AK55" s="123" t="str">
        <f>VLOOKUP($A55,'CCRA3 Risks'!$A:$AG,27,FALSE)</f>
        <v>Y</v>
      </c>
      <c r="AL55" s="123" t="str">
        <f>VLOOKUP($A55,'CCRA3 Risks'!$A:$AG,28,FALSE)</f>
        <v>Y</v>
      </c>
      <c r="AM55" s="123" t="str">
        <f>VLOOKUP($A55,'CCRA3 Risks'!$A:$AG,29,FALSE)</f>
        <v>Y</v>
      </c>
      <c r="AN55" s="123">
        <f>VLOOKUP($A55,'CCRA3 Risks'!$A:$AG,30,FALSE)</f>
        <v>0</v>
      </c>
      <c r="AO55" s="123">
        <f>VLOOKUP($A55,'CCRA3 Risks'!$A:$AG,31,FALSE)</f>
        <v>0</v>
      </c>
      <c r="AP55" s="123">
        <f>VLOOKUP($A55,'CCRA3 Risks'!$A:$AG,32,FALSE)</f>
        <v>0</v>
      </c>
      <c r="AQ55" s="123">
        <f>VLOOKUP($A55,'CCRA3 Risks'!$A:$AG,33,FALSE)</f>
        <v>0</v>
      </c>
    </row>
    <row r="56" spans="1:43" ht="165.6" customHeight="1" x14ac:dyDescent="0.25">
      <c r="A56" s="88" t="s">
        <v>233</v>
      </c>
      <c r="B56" s="88" t="s">
        <v>645</v>
      </c>
      <c r="C56" s="83" t="s">
        <v>646</v>
      </c>
      <c r="D56" s="83" t="s">
        <v>403</v>
      </c>
      <c r="E56" s="83" t="s">
        <v>647</v>
      </c>
      <c r="F56" s="83" t="s">
        <v>396</v>
      </c>
      <c r="G56" s="83" t="s">
        <v>30</v>
      </c>
      <c r="H56" s="83" t="s">
        <v>648</v>
      </c>
      <c r="I56" s="88"/>
      <c r="J56" s="88" t="s">
        <v>463</v>
      </c>
      <c r="K56" s="83" t="s">
        <v>649</v>
      </c>
      <c r="L56" s="88" t="s">
        <v>480</v>
      </c>
      <c r="M56" s="88" t="s">
        <v>480</v>
      </c>
      <c r="N56" s="206" t="str">
        <f>VLOOKUP($A56,'CCRA3 Risks'!$A:$R,2,FALSE)</f>
        <v>H3 Risks to people, communities and buildings from flooding</v>
      </c>
      <c r="O56" s="206" t="str">
        <f>VLOOKUP($A56,'CCRA3 Risks'!$A:$R,3,FALSE)</f>
        <v>No</v>
      </c>
      <c r="P56" s="207">
        <f>VLOOKUP($A56,'CCRA3 Risks'!$A:$R,4,FALSE)</f>
        <v>5</v>
      </c>
      <c r="Q56" s="206" t="str">
        <f>VLOOKUP($A56,'CCRA3 Risks'!$A:$R,7,FALSE)</f>
        <v>England</v>
      </c>
      <c r="R56" s="206" t="str">
        <f>VLOOKUP($A56,'CCRA3 Risks'!$A:$R,8,FALSE)</f>
        <v>High</v>
      </c>
      <c r="S56" s="206" t="str">
        <f>VLOOKUP($A56,'CCRA3 Risks'!$A:$R,9,FALSE)</f>
        <v>High</v>
      </c>
      <c r="T56" s="206" t="str">
        <f>VLOOKUP($A56,'CCRA3 Risks'!$A:$R,10,FALSE)</f>
        <v>High</v>
      </c>
      <c r="U56" s="206" t="str">
        <f>VLOOKUP($A56,'CCRA3 Risks'!$A:$R,11,FALSE)</f>
        <v>High</v>
      </c>
      <c r="V56" s="206" t="str">
        <f>VLOOKUP($A56,'CCRA3 Risks'!$A:$R,12,FALSE)</f>
        <v>High</v>
      </c>
      <c r="W56" s="206" t="str">
        <f>VLOOKUP($A56,'CCRA3 Risks'!$A:$R,13,FALSE)</f>
        <v>Partially</v>
      </c>
      <c r="X56" s="206" t="str">
        <f>VLOOKUP($A56,'CCRA3 Risks'!$A:$R,14,FALSE)</f>
        <v>More action needed</v>
      </c>
      <c r="Y56" s="206" t="str">
        <f>VLOOKUP($A56,'CCRA3 Risks'!$A:$R,15,FALSE)</f>
        <v>More action needed</v>
      </c>
      <c r="Z56" s="206" t="str">
        <f>VLOOKUP($A56,'CCRA3 Risks'!$A:$R,16,FALSE)</f>
        <v>Medium (5)</v>
      </c>
      <c r="AA56" s="206" t="str">
        <f>VLOOKUP($A56,'CCRA3 Risks'!$A:$R,17,FALSE)</f>
        <v>Medium (Amber)</v>
      </c>
      <c r="AB56" s="206" t="str">
        <f>VLOOKUP($A56,'CCRA3 Risks'!$A:$R,18,FALSE)</f>
        <v>Medium (implementation of flood policies)</v>
      </c>
      <c r="AC56" s="202">
        <f>VLOOKUP($A56,'CCRA3 Risks'!$A:$AG,19,FALSE)</f>
        <v>0</v>
      </c>
      <c r="AD56" s="123">
        <f>VLOOKUP($A56,'CCRA3 Risks'!$A:$AG,20,FALSE)</f>
        <v>0</v>
      </c>
      <c r="AE56" s="123">
        <f>VLOOKUP($A56,'CCRA3 Risks'!$A:$AG,21,FALSE)</f>
        <v>0</v>
      </c>
      <c r="AF56" s="123">
        <f>VLOOKUP($A56,'CCRA3 Risks'!$A:$AG,22,FALSE)</f>
        <v>0</v>
      </c>
      <c r="AG56" s="123">
        <f>VLOOKUP($A56,'CCRA3 Risks'!$A:$AG,23,FALSE)</f>
        <v>0</v>
      </c>
      <c r="AH56" s="123">
        <f>VLOOKUP($A56,'CCRA3 Risks'!$A:$AG,24,FALSE)</f>
        <v>0</v>
      </c>
      <c r="AI56" s="123">
        <f>VLOOKUP($A56,'CCRA3 Risks'!$A:$AG,25,FALSE)</f>
        <v>0</v>
      </c>
      <c r="AJ56" s="123" t="str">
        <f>VLOOKUP($A56,'CCRA3 Risks'!$A:$AG,26,FALSE)</f>
        <v>Y</v>
      </c>
      <c r="AK56" s="123" t="str">
        <f>VLOOKUP($A56,'CCRA3 Risks'!$A:$AG,27,FALSE)</f>
        <v>Y</v>
      </c>
      <c r="AL56" s="123" t="str">
        <f>VLOOKUP($A56,'CCRA3 Risks'!$A:$AG,28,FALSE)</f>
        <v>Y</v>
      </c>
      <c r="AM56" s="123" t="str">
        <f>VLOOKUP($A56,'CCRA3 Risks'!$A:$AG,29,FALSE)</f>
        <v>Y</v>
      </c>
      <c r="AN56" s="123">
        <f>VLOOKUP($A56,'CCRA3 Risks'!$A:$AG,30,FALSE)</f>
        <v>0</v>
      </c>
      <c r="AO56" s="123">
        <f>VLOOKUP($A56,'CCRA3 Risks'!$A:$AG,31,FALSE)</f>
        <v>0</v>
      </c>
      <c r="AP56" s="123">
        <f>VLOOKUP($A56,'CCRA3 Risks'!$A:$AG,32,FALSE)</f>
        <v>0</v>
      </c>
      <c r="AQ56" s="123">
        <f>VLOOKUP($A56,'CCRA3 Risks'!$A:$AG,33,FALSE)</f>
        <v>0</v>
      </c>
    </row>
    <row r="57" spans="1:43" ht="51" x14ac:dyDescent="0.25">
      <c r="A57" s="88" t="s">
        <v>233</v>
      </c>
      <c r="B57" s="88" t="s">
        <v>650</v>
      </c>
      <c r="C57" s="83" t="s">
        <v>651</v>
      </c>
      <c r="D57" s="83" t="s">
        <v>461</v>
      </c>
      <c r="E57" s="83" t="s">
        <v>67</v>
      </c>
      <c r="F57" s="83" t="s">
        <v>396</v>
      </c>
      <c r="G57" s="83" t="s">
        <v>30</v>
      </c>
      <c r="H57" s="83" t="s">
        <v>652</v>
      </c>
      <c r="I57" s="88"/>
      <c r="J57" s="88" t="s">
        <v>398</v>
      </c>
      <c r="K57" s="83" t="s">
        <v>653</v>
      </c>
      <c r="L57" s="88" t="s">
        <v>480</v>
      </c>
      <c r="M57" s="88" t="s">
        <v>480</v>
      </c>
      <c r="N57" s="206" t="str">
        <f>VLOOKUP($A57,'CCRA3 Risks'!$A:$R,2,FALSE)</f>
        <v>H3 Risks to people, communities and buildings from flooding</v>
      </c>
      <c r="O57" s="206" t="str">
        <f>VLOOKUP($A57,'CCRA3 Risks'!$A:$R,3,FALSE)</f>
        <v>No</v>
      </c>
      <c r="P57" s="207">
        <f>VLOOKUP($A57,'CCRA3 Risks'!$A:$R,4,FALSE)</f>
        <v>5</v>
      </c>
      <c r="Q57" s="206" t="str">
        <f>VLOOKUP($A57,'CCRA3 Risks'!$A:$R,7,FALSE)</f>
        <v>England</v>
      </c>
      <c r="R57" s="206" t="str">
        <f>VLOOKUP($A57,'CCRA3 Risks'!$A:$R,8,FALSE)</f>
        <v>High</v>
      </c>
      <c r="S57" s="206" t="str">
        <f>VLOOKUP($A57,'CCRA3 Risks'!$A:$R,9,FALSE)</f>
        <v>High</v>
      </c>
      <c r="T57" s="206" t="str">
        <f>VLOOKUP($A57,'CCRA3 Risks'!$A:$R,10,FALSE)</f>
        <v>High</v>
      </c>
      <c r="U57" s="206" t="str">
        <f>VLOOKUP($A57,'CCRA3 Risks'!$A:$R,11,FALSE)</f>
        <v>High</v>
      </c>
      <c r="V57" s="206" t="str">
        <f>VLOOKUP($A57,'CCRA3 Risks'!$A:$R,12,FALSE)</f>
        <v>High</v>
      </c>
      <c r="W57" s="206" t="str">
        <f>VLOOKUP($A57,'CCRA3 Risks'!$A:$R,13,FALSE)</f>
        <v>Partially</v>
      </c>
      <c r="X57" s="206" t="str">
        <f>VLOOKUP($A57,'CCRA3 Risks'!$A:$R,14,FALSE)</f>
        <v>More action needed</v>
      </c>
      <c r="Y57" s="206" t="str">
        <f>VLOOKUP($A57,'CCRA3 Risks'!$A:$R,15,FALSE)</f>
        <v>More action needed</v>
      </c>
      <c r="Z57" s="206" t="str">
        <f>VLOOKUP($A57,'CCRA3 Risks'!$A:$R,16,FALSE)</f>
        <v>Medium (5)</v>
      </c>
      <c r="AA57" s="206" t="str">
        <f>VLOOKUP($A57,'CCRA3 Risks'!$A:$R,17,FALSE)</f>
        <v>Medium (Amber)</v>
      </c>
      <c r="AB57" s="206" t="str">
        <f>VLOOKUP($A57,'CCRA3 Risks'!$A:$R,18,FALSE)</f>
        <v>Medium (implementation of flood policies)</v>
      </c>
      <c r="AC57" s="202">
        <f>VLOOKUP($A57,'CCRA3 Risks'!$A:$AG,19,FALSE)</f>
        <v>0</v>
      </c>
      <c r="AD57" s="123">
        <f>VLOOKUP($A57,'CCRA3 Risks'!$A:$AG,20,FALSE)</f>
        <v>0</v>
      </c>
      <c r="AE57" s="123">
        <f>VLOOKUP($A57,'CCRA3 Risks'!$A:$AG,21,FALSE)</f>
        <v>0</v>
      </c>
      <c r="AF57" s="123">
        <f>VLOOKUP($A57,'CCRA3 Risks'!$A:$AG,22,FALSE)</f>
        <v>0</v>
      </c>
      <c r="AG57" s="123">
        <f>VLOOKUP($A57,'CCRA3 Risks'!$A:$AG,23,FALSE)</f>
        <v>0</v>
      </c>
      <c r="AH57" s="123">
        <f>VLOOKUP($A57,'CCRA3 Risks'!$A:$AG,24,FALSE)</f>
        <v>0</v>
      </c>
      <c r="AI57" s="123">
        <f>VLOOKUP($A57,'CCRA3 Risks'!$A:$AG,25,FALSE)</f>
        <v>0</v>
      </c>
      <c r="AJ57" s="123" t="str">
        <f>VLOOKUP($A57,'CCRA3 Risks'!$A:$AG,26,FALSE)</f>
        <v>Y</v>
      </c>
      <c r="AK57" s="123" t="str">
        <f>VLOOKUP($A57,'CCRA3 Risks'!$A:$AG,27,FALSE)</f>
        <v>Y</v>
      </c>
      <c r="AL57" s="123" t="str">
        <f>VLOOKUP($A57,'CCRA3 Risks'!$A:$AG,28,FALSE)</f>
        <v>Y</v>
      </c>
      <c r="AM57" s="123" t="str">
        <f>VLOOKUP($A57,'CCRA3 Risks'!$A:$AG,29,FALSE)</f>
        <v>Y</v>
      </c>
      <c r="AN57" s="123">
        <f>VLOOKUP($A57,'CCRA3 Risks'!$A:$AG,30,FALSE)</f>
        <v>0</v>
      </c>
      <c r="AO57" s="123">
        <f>VLOOKUP($A57,'CCRA3 Risks'!$A:$AG,31,FALSE)</f>
        <v>0</v>
      </c>
      <c r="AP57" s="123">
        <f>VLOOKUP($A57,'CCRA3 Risks'!$A:$AG,32,FALSE)</f>
        <v>0</v>
      </c>
      <c r="AQ57" s="123">
        <f>VLOOKUP($A57,'CCRA3 Risks'!$A:$AG,33,FALSE)</f>
        <v>0</v>
      </c>
    </row>
    <row r="58" spans="1:43" ht="409.5" x14ac:dyDescent="0.25">
      <c r="A58" s="88" t="s">
        <v>236</v>
      </c>
      <c r="B58" s="88" t="s">
        <v>654</v>
      </c>
      <c r="C58" s="83" t="s">
        <v>655</v>
      </c>
      <c r="D58" s="83" t="s">
        <v>461</v>
      </c>
      <c r="E58" s="83" t="s">
        <v>656</v>
      </c>
      <c r="F58" s="83" t="s">
        <v>421</v>
      </c>
      <c r="G58" s="83" t="s">
        <v>53</v>
      </c>
      <c r="H58" s="83" t="s">
        <v>657</v>
      </c>
      <c r="I58" s="88"/>
      <c r="J58" s="88" t="s">
        <v>463</v>
      </c>
      <c r="K58" s="83" t="s">
        <v>658</v>
      </c>
      <c r="L58" s="88" t="s">
        <v>659</v>
      </c>
      <c r="M58" s="83" t="s">
        <v>635</v>
      </c>
      <c r="N58" s="206" t="str">
        <f>VLOOKUP($A58,'CCRA3 Risks'!$A:$R,2,FALSE)</f>
        <v>H4 Risks to people, communities and buildings from sea level rise</v>
      </c>
      <c r="O58" s="206" t="str">
        <f>VLOOKUP($A58,'CCRA3 Risks'!$A:$R,3,FALSE)</f>
        <v>No</v>
      </c>
      <c r="P58" s="207">
        <f>VLOOKUP($A58,'CCRA3 Risks'!$A:$R,4,FALSE)</f>
        <v>5</v>
      </c>
      <c r="Q58" s="206" t="str">
        <f>VLOOKUP($A58,'CCRA3 Risks'!$A:$R,7,FALSE)</f>
        <v>England</v>
      </c>
      <c r="R58" s="206" t="str">
        <f>VLOOKUP($A58,'CCRA3 Risks'!$A:$R,8,FALSE)</f>
        <v>Low</v>
      </c>
      <c r="S58" s="206" t="str">
        <f>VLOOKUP($A58,'CCRA3 Risks'!$A:$R,9,FALSE)</f>
        <v>Medium</v>
      </c>
      <c r="T58" s="206" t="str">
        <f>VLOOKUP($A58,'CCRA3 Risks'!$A:$R,10,FALSE)</f>
        <v>Medium</v>
      </c>
      <c r="U58" s="206" t="str">
        <f>VLOOKUP($A58,'CCRA3 Risks'!$A:$R,11,FALSE)</f>
        <v>High</v>
      </c>
      <c r="V58" s="206" t="str">
        <f>VLOOKUP($A58,'CCRA3 Risks'!$A:$R,12,FALSE)</f>
        <v>High</v>
      </c>
      <c r="W58" s="206" t="str">
        <f>VLOOKUP($A58,'CCRA3 Risks'!$A:$R,13,FALSE)</f>
        <v>Partially</v>
      </c>
      <c r="X58" s="206" t="str">
        <f>VLOOKUP($A58,'CCRA3 Risks'!$A:$R,14,FALSE)</f>
        <v>More action needed</v>
      </c>
      <c r="Y58" s="206" t="str">
        <f>VLOOKUP($A58,'CCRA3 Risks'!$A:$R,15,FALSE)</f>
        <v>More action needed</v>
      </c>
      <c r="Z58" s="206" t="str">
        <f>VLOOKUP($A58,'CCRA3 Risks'!$A:$R,16,FALSE)</f>
        <v>Medium (5)</v>
      </c>
      <c r="AA58" s="206" t="str">
        <f>VLOOKUP($A58,'CCRA3 Risks'!$A:$R,17,FALSE)</f>
        <v>Medium (Amber)</v>
      </c>
      <c r="AB58" s="206" t="str">
        <f>VLOOKUP($A58,'CCRA3 Risks'!$A:$R,18,FALSE)</f>
        <v>Medium (New or reviewed coastal policies and implementation of renewed flood policies)</v>
      </c>
      <c r="AC58" s="202">
        <f>VLOOKUP($A58,'CCRA3 Risks'!$A:$AG,19,FALSE)</f>
        <v>0</v>
      </c>
      <c r="AD58" s="123">
        <f>VLOOKUP($A58,'CCRA3 Risks'!$A:$AG,20,FALSE)</f>
        <v>0</v>
      </c>
      <c r="AE58" s="123">
        <f>VLOOKUP($A58,'CCRA3 Risks'!$A:$AG,21,FALSE)</f>
        <v>0</v>
      </c>
      <c r="AF58" s="123">
        <f>VLOOKUP($A58,'CCRA3 Risks'!$A:$AG,22,FALSE)</f>
        <v>0</v>
      </c>
      <c r="AG58" s="123">
        <f>VLOOKUP($A58,'CCRA3 Risks'!$A:$AG,23,FALSE)</f>
        <v>0</v>
      </c>
      <c r="AH58" s="123">
        <f>VLOOKUP($A58,'CCRA3 Risks'!$A:$AG,24,FALSE)</f>
        <v>0</v>
      </c>
      <c r="AI58" s="123">
        <f>VLOOKUP($A58,'CCRA3 Risks'!$A:$AG,25,FALSE)</f>
        <v>0</v>
      </c>
      <c r="AJ58" s="123" t="str">
        <f>VLOOKUP($A58,'CCRA3 Risks'!$A:$AG,26,FALSE)</f>
        <v>Y</v>
      </c>
      <c r="AK58" s="123">
        <f>VLOOKUP($A58,'CCRA3 Risks'!$A:$AG,27,FALSE)</f>
        <v>0</v>
      </c>
      <c r="AL58" s="123">
        <f>VLOOKUP($A58,'CCRA3 Risks'!$A:$AG,28,FALSE)</f>
        <v>0</v>
      </c>
      <c r="AM58" s="123" t="str">
        <f>VLOOKUP($A58,'CCRA3 Risks'!$A:$AG,29,FALSE)</f>
        <v>Y</v>
      </c>
      <c r="AN58" s="123">
        <f>VLOOKUP($A58,'CCRA3 Risks'!$A:$AG,30,FALSE)</f>
        <v>0</v>
      </c>
      <c r="AO58" s="123">
        <f>VLOOKUP($A58,'CCRA3 Risks'!$A:$AG,31,FALSE)</f>
        <v>0</v>
      </c>
      <c r="AP58" s="123">
        <f>VLOOKUP($A58,'CCRA3 Risks'!$A:$AG,32,FALSE)</f>
        <v>0</v>
      </c>
      <c r="AQ58" s="123">
        <f>VLOOKUP($A58,'CCRA3 Risks'!$A:$AG,33,FALSE)</f>
        <v>0</v>
      </c>
    </row>
    <row r="59" spans="1:43" ht="153" x14ac:dyDescent="0.25">
      <c r="A59" s="88" t="s">
        <v>236</v>
      </c>
      <c r="B59" s="88" t="s">
        <v>660</v>
      </c>
      <c r="C59" s="83" t="s">
        <v>661</v>
      </c>
      <c r="D59" s="83" t="s">
        <v>403</v>
      </c>
      <c r="E59" s="88" t="s">
        <v>67</v>
      </c>
      <c r="F59" s="83" t="s">
        <v>421</v>
      </c>
      <c r="G59" s="83" t="s">
        <v>53</v>
      </c>
      <c r="H59" s="83" t="s">
        <v>662</v>
      </c>
      <c r="I59" s="88"/>
      <c r="J59" s="88" t="s">
        <v>398</v>
      </c>
      <c r="K59" s="83" t="s">
        <v>663</v>
      </c>
      <c r="L59" s="88" t="s">
        <v>659</v>
      </c>
      <c r="M59" s="83" t="s">
        <v>664</v>
      </c>
      <c r="N59" s="206" t="str">
        <f>VLOOKUP($A59,'CCRA3 Risks'!$A:$R,2,FALSE)</f>
        <v>H4 Risks to people, communities and buildings from sea level rise</v>
      </c>
      <c r="O59" s="206" t="str">
        <f>VLOOKUP($A59,'CCRA3 Risks'!$A:$R,3,FALSE)</f>
        <v>No</v>
      </c>
      <c r="P59" s="207">
        <f>VLOOKUP($A59,'CCRA3 Risks'!$A:$R,4,FALSE)</f>
        <v>5</v>
      </c>
      <c r="Q59" s="206" t="str">
        <f>VLOOKUP($A59,'CCRA3 Risks'!$A:$R,7,FALSE)</f>
        <v>England</v>
      </c>
      <c r="R59" s="206" t="str">
        <f>VLOOKUP($A59,'CCRA3 Risks'!$A:$R,8,FALSE)</f>
        <v>Low</v>
      </c>
      <c r="S59" s="206" t="str">
        <f>VLOOKUP($A59,'CCRA3 Risks'!$A:$R,9,FALSE)</f>
        <v>Medium</v>
      </c>
      <c r="T59" s="206" t="str">
        <f>VLOOKUP($A59,'CCRA3 Risks'!$A:$R,10,FALSE)</f>
        <v>Medium</v>
      </c>
      <c r="U59" s="206" t="str">
        <f>VLOOKUP($A59,'CCRA3 Risks'!$A:$R,11,FALSE)</f>
        <v>High</v>
      </c>
      <c r="V59" s="206" t="str">
        <f>VLOOKUP($A59,'CCRA3 Risks'!$A:$R,12,FALSE)</f>
        <v>High</v>
      </c>
      <c r="W59" s="206" t="str">
        <f>VLOOKUP($A59,'CCRA3 Risks'!$A:$R,13,FALSE)</f>
        <v>Partially</v>
      </c>
      <c r="X59" s="206" t="str">
        <f>VLOOKUP($A59,'CCRA3 Risks'!$A:$R,14,FALSE)</f>
        <v>More action needed</v>
      </c>
      <c r="Y59" s="206" t="str">
        <f>VLOOKUP($A59,'CCRA3 Risks'!$A:$R,15,FALSE)</f>
        <v>More action needed</v>
      </c>
      <c r="Z59" s="206" t="str">
        <f>VLOOKUP($A59,'CCRA3 Risks'!$A:$R,16,FALSE)</f>
        <v>Medium (5)</v>
      </c>
      <c r="AA59" s="206" t="str">
        <f>VLOOKUP($A59,'CCRA3 Risks'!$A:$R,17,FALSE)</f>
        <v>Medium (Amber)</v>
      </c>
      <c r="AB59" s="206" t="str">
        <f>VLOOKUP($A59,'CCRA3 Risks'!$A:$R,18,FALSE)</f>
        <v>Medium (New or reviewed coastal policies and implementation of renewed flood policies)</v>
      </c>
      <c r="AC59" s="202">
        <f>VLOOKUP($A59,'CCRA3 Risks'!$A:$AG,19,FALSE)</f>
        <v>0</v>
      </c>
      <c r="AD59" s="123">
        <f>VLOOKUP($A59,'CCRA3 Risks'!$A:$AG,20,FALSE)</f>
        <v>0</v>
      </c>
      <c r="AE59" s="123">
        <f>VLOOKUP($A59,'CCRA3 Risks'!$A:$AG,21,FALSE)</f>
        <v>0</v>
      </c>
      <c r="AF59" s="123">
        <f>VLOOKUP($A59,'CCRA3 Risks'!$A:$AG,22,FALSE)</f>
        <v>0</v>
      </c>
      <c r="AG59" s="123">
        <f>VLOOKUP($A59,'CCRA3 Risks'!$A:$AG,23,FALSE)</f>
        <v>0</v>
      </c>
      <c r="AH59" s="123">
        <f>VLOOKUP($A59,'CCRA3 Risks'!$A:$AG,24,FALSE)</f>
        <v>0</v>
      </c>
      <c r="AI59" s="123">
        <f>VLOOKUP($A59,'CCRA3 Risks'!$A:$AG,25,FALSE)</f>
        <v>0</v>
      </c>
      <c r="AJ59" s="123" t="str">
        <f>VLOOKUP($A59,'CCRA3 Risks'!$A:$AG,26,FALSE)</f>
        <v>Y</v>
      </c>
      <c r="AK59" s="123">
        <f>VLOOKUP($A59,'CCRA3 Risks'!$A:$AG,27,FALSE)</f>
        <v>0</v>
      </c>
      <c r="AL59" s="123">
        <f>VLOOKUP($A59,'CCRA3 Risks'!$A:$AG,28,FALSE)</f>
        <v>0</v>
      </c>
      <c r="AM59" s="123" t="str">
        <f>VLOOKUP($A59,'CCRA3 Risks'!$A:$AG,29,FALSE)</f>
        <v>Y</v>
      </c>
      <c r="AN59" s="123">
        <f>VLOOKUP($A59,'CCRA3 Risks'!$A:$AG,30,FALSE)</f>
        <v>0</v>
      </c>
      <c r="AO59" s="123">
        <f>VLOOKUP($A59,'CCRA3 Risks'!$A:$AG,31,FALSE)</f>
        <v>0</v>
      </c>
      <c r="AP59" s="123">
        <f>VLOOKUP($A59,'CCRA3 Risks'!$A:$AG,32,FALSE)</f>
        <v>0</v>
      </c>
      <c r="AQ59" s="123">
        <f>VLOOKUP($A59,'CCRA3 Risks'!$A:$AG,33,FALSE)</f>
        <v>0</v>
      </c>
    </row>
    <row r="60" spans="1:43" ht="63.75" x14ac:dyDescent="0.25">
      <c r="A60" s="88" t="s">
        <v>236</v>
      </c>
      <c r="B60" s="88" t="s">
        <v>665</v>
      </c>
      <c r="C60" s="83" t="s">
        <v>666</v>
      </c>
      <c r="D60" s="83" t="s">
        <v>403</v>
      </c>
      <c r="E60" s="88" t="s">
        <v>67</v>
      </c>
      <c r="F60" s="83" t="s">
        <v>421</v>
      </c>
      <c r="G60" s="83" t="s">
        <v>53</v>
      </c>
      <c r="H60" s="83" t="s">
        <v>667</v>
      </c>
      <c r="I60" s="88"/>
      <c r="J60" s="88" t="s">
        <v>398</v>
      </c>
      <c r="K60" s="83" t="s">
        <v>668</v>
      </c>
      <c r="L60" s="88" t="s">
        <v>659</v>
      </c>
      <c r="M60" s="88" t="s">
        <v>659</v>
      </c>
      <c r="N60" s="206" t="str">
        <f>VLOOKUP($A60,'CCRA3 Risks'!$A:$R,2,FALSE)</f>
        <v>H4 Risks to people, communities and buildings from sea level rise</v>
      </c>
      <c r="O60" s="206" t="str">
        <f>VLOOKUP($A60,'CCRA3 Risks'!$A:$R,3,FALSE)</f>
        <v>No</v>
      </c>
      <c r="P60" s="207">
        <f>VLOOKUP($A60,'CCRA3 Risks'!$A:$R,4,FALSE)</f>
        <v>5</v>
      </c>
      <c r="Q60" s="206" t="str">
        <f>VLOOKUP($A60,'CCRA3 Risks'!$A:$R,7,FALSE)</f>
        <v>England</v>
      </c>
      <c r="R60" s="206" t="str">
        <f>VLOOKUP($A60,'CCRA3 Risks'!$A:$R,8,FALSE)</f>
        <v>Low</v>
      </c>
      <c r="S60" s="206" t="str">
        <f>VLOOKUP($A60,'CCRA3 Risks'!$A:$R,9,FALSE)</f>
        <v>Medium</v>
      </c>
      <c r="T60" s="206" t="str">
        <f>VLOOKUP($A60,'CCRA3 Risks'!$A:$R,10,FALSE)</f>
        <v>Medium</v>
      </c>
      <c r="U60" s="206" t="str">
        <f>VLOOKUP($A60,'CCRA3 Risks'!$A:$R,11,FALSE)</f>
        <v>High</v>
      </c>
      <c r="V60" s="206" t="str">
        <f>VLOOKUP($A60,'CCRA3 Risks'!$A:$R,12,FALSE)</f>
        <v>High</v>
      </c>
      <c r="W60" s="206" t="str">
        <f>VLOOKUP($A60,'CCRA3 Risks'!$A:$R,13,FALSE)</f>
        <v>Partially</v>
      </c>
      <c r="X60" s="206" t="str">
        <f>VLOOKUP($A60,'CCRA3 Risks'!$A:$R,14,FALSE)</f>
        <v>More action needed</v>
      </c>
      <c r="Y60" s="206" t="str">
        <f>VLOOKUP($A60,'CCRA3 Risks'!$A:$R,15,FALSE)</f>
        <v>More action needed</v>
      </c>
      <c r="Z60" s="206" t="str">
        <f>VLOOKUP($A60,'CCRA3 Risks'!$A:$R,16,FALSE)</f>
        <v>Medium (5)</v>
      </c>
      <c r="AA60" s="206" t="str">
        <f>VLOOKUP($A60,'CCRA3 Risks'!$A:$R,17,FALSE)</f>
        <v>Medium (Amber)</v>
      </c>
      <c r="AB60" s="206" t="str">
        <f>VLOOKUP($A60,'CCRA3 Risks'!$A:$R,18,FALSE)</f>
        <v>Medium (New or reviewed coastal policies and implementation of renewed flood policies)</v>
      </c>
      <c r="AC60" s="202">
        <f>VLOOKUP($A60,'CCRA3 Risks'!$A:$AG,19,FALSE)</f>
        <v>0</v>
      </c>
      <c r="AD60" s="123">
        <f>VLOOKUP($A60,'CCRA3 Risks'!$A:$AG,20,FALSE)</f>
        <v>0</v>
      </c>
      <c r="AE60" s="123">
        <f>VLOOKUP($A60,'CCRA3 Risks'!$A:$AG,21,FALSE)</f>
        <v>0</v>
      </c>
      <c r="AF60" s="123">
        <f>VLOOKUP($A60,'CCRA3 Risks'!$A:$AG,22,FALSE)</f>
        <v>0</v>
      </c>
      <c r="AG60" s="123">
        <f>VLOOKUP($A60,'CCRA3 Risks'!$A:$AG,23,FALSE)</f>
        <v>0</v>
      </c>
      <c r="AH60" s="123">
        <f>VLOOKUP($A60,'CCRA3 Risks'!$A:$AG,24,FALSE)</f>
        <v>0</v>
      </c>
      <c r="AI60" s="123">
        <f>VLOOKUP($A60,'CCRA3 Risks'!$A:$AG,25,FALSE)</f>
        <v>0</v>
      </c>
      <c r="AJ60" s="123" t="str">
        <f>VLOOKUP($A60,'CCRA3 Risks'!$A:$AG,26,FALSE)</f>
        <v>Y</v>
      </c>
      <c r="AK60" s="123">
        <f>VLOOKUP($A60,'CCRA3 Risks'!$A:$AG,27,FALSE)</f>
        <v>0</v>
      </c>
      <c r="AL60" s="123">
        <f>VLOOKUP($A60,'CCRA3 Risks'!$A:$AG,28,FALSE)</f>
        <v>0</v>
      </c>
      <c r="AM60" s="123" t="str">
        <f>VLOOKUP($A60,'CCRA3 Risks'!$A:$AG,29,FALSE)</f>
        <v>Y</v>
      </c>
      <c r="AN60" s="123">
        <f>VLOOKUP($A60,'CCRA3 Risks'!$A:$AG,30,FALSE)</f>
        <v>0</v>
      </c>
      <c r="AO60" s="123">
        <f>VLOOKUP($A60,'CCRA3 Risks'!$A:$AG,31,FALSE)</f>
        <v>0</v>
      </c>
      <c r="AP60" s="123">
        <f>VLOOKUP($A60,'CCRA3 Risks'!$A:$AG,32,FALSE)</f>
        <v>0</v>
      </c>
      <c r="AQ60" s="123">
        <f>VLOOKUP($A60,'CCRA3 Risks'!$A:$AG,33,FALSE)</f>
        <v>0</v>
      </c>
    </row>
    <row r="61" spans="1:43" ht="153" x14ac:dyDescent="0.25">
      <c r="A61" s="88" t="s">
        <v>236</v>
      </c>
      <c r="B61" s="88" t="s">
        <v>669</v>
      </c>
      <c r="C61" s="83" t="s">
        <v>670</v>
      </c>
      <c r="D61" s="83" t="s">
        <v>461</v>
      </c>
      <c r="E61" s="88" t="s">
        <v>67</v>
      </c>
      <c r="F61" s="83" t="s">
        <v>421</v>
      </c>
      <c r="G61" s="83" t="s">
        <v>53</v>
      </c>
      <c r="H61" s="83" t="s">
        <v>671</v>
      </c>
      <c r="I61" s="88"/>
      <c r="J61" s="88" t="s">
        <v>463</v>
      </c>
      <c r="K61" s="83" t="s">
        <v>672</v>
      </c>
      <c r="L61" s="88" t="s">
        <v>659</v>
      </c>
      <c r="M61" s="83" t="s">
        <v>673</v>
      </c>
      <c r="N61" s="206" t="str">
        <f>VLOOKUP($A61,'CCRA3 Risks'!$A:$R,2,FALSE)</f>
        <v>H4 Risks to people, communities and buildings from sea level rise</v>
      </c>
      <c r="O61" s="206" t="str">
        <f>VLOOKUP($A61,'CCRA3 Risks'!$A:$R,3,FALSE)</f>
        <v>No</v>
      </c>
      <c r="P61" s="207">
        <f>VLOOKUP($A61,'CCRA3 Risks'!$A:$R,4,FALSE)</f>
        <v>5</v>
      </c>
      <c r="Q61" s="206" t="str">
        <f>VLOOKUP($A61,'CCRA3 Risks'!$A:$R,7,FALSE)</f>
        <v>England</v>
      </c>
      <c r="R61" s="206" t="str">
        <f>VLOOKUP($A61,'CCRA3 Risks'!$A:$R,8,FALSE)</f>
        <v>Low</v>
      </c>
      <c r="S61" s="206" t="str">
        <f>VLOOKUP($A61,'CCRA3 Risks'!$A:$R,9,FALSE)</f>
        <v>Medium</v>
      </c>
      <c r="T61" s="206" t="str">
        <f>VLOOKUP($A61,'CCRA3 Risks'!$A:$R,10,FALSE)</f>
        <v>Medium</v>
      </c>
      <c r="U61" s="206" t="str">
        <f>VLOOKUP($A61,'CCRA3 Risks'!$A:$R,11,FALSE)</f>
        <v>High</v>
      </c>
      <c r="V61" s="206" t="str">
        <f>VLOOKUP($A61,'CCRA3 Risks'!$A:$R,12,FALSE)</f>
        <v>High</v>
      </c>
      <c r="W61" s="206" t="str">
        <f>VLOOKUP($A61,'CCRA3 Risks'!$A:$R,13,FALSE)</f>
        <v>Partially</v>
      </c>
      <c r="X61" s="206" t="str">
        <f>VLOOKUP($A61,'CCRA3 Risks'!$A:$R,14,FALSE)</f>
        <v>More action needed</v>
      </c>
      <c r="Y61" s="206" t="str">
        <f>VLOOKUP($A61,'CCRA3 Risks'!$A:$R,15,FALSE)</f>
        <v>More action needed</v>
      </c>
      <c r="Z61" s="206" t="str">
        <f>VLOOKUP($A61,'CCRA3 Risks'!$A:$R,16,FALSE)</f>
        <v>Medium (5)</v>
      </c>
      <c r="AA61" s="206" t="str">
        <f>VLOOKUP($A61,'CCRA3 Risks'!$A:$R,17,FALSE)</f>
        <v>Medium (Amber)</v>
      </c>
      <c r="AB61" s="206" t="str">
        <f>VLOOKUP($A61,'CCRA3 Risks'!$A:$R,18,FALSE)</f>
        <v>Medium (New or reviewed coastal policies and implementation of renewed flood policies)</v>
      </c>
      <c r="AC61" s="202">
        <f>VLOOKUP($A61,'CCRA3 Risks'!$A:$AG,19,FALSE)</f>
        <v>0</v>
      </c>
      <c r="AD61" s="123">
        <f>VLOOKUP($A61,'CCRA3 Risks'!$A:$AG,20,FALSE)</f>
        <v>0</v>
      </c>
      <c r="AE61" s="123">
        <f>VLOOKUP($A61,'CCRA3 Risks'!$A:$AG,21,FALSE)</f>
        <v>0</v>
      </c>
      <c r="AF61" s="123">
        <f>VLOOKUP($A61,'CCRA3 Risks'!$A:$AG,22,FALSE)</f>
        <v>0</v>
      </c>
      <c r="AG61" s="123">
        <f>VLOOKUP($A61,'CCRA3 Risks'!$A:$AG,23,FALSE)</f>
        <v>0</v>
      </c>
      <c r="AH61" s="123">
        <f>VLOOKUP($A61,'CCRA3 Risks'!$A:$AG,24,FALSE)</f>
        <v>0</v>
      </c>
      <c r="AI61" s="123">
        <f>VLOOKUP($A61,'CCRA3 Risks'!$A:$AG,25,FALSE)</f>
        <v>0</v>
      </c>
      <c r="AJ61" s="123" t="str">
        <f>VLOOKUP($A61,'CCRA3 Risks'!$A:$AG,26,FALSE)</f>
        <v>Y</v>
      </c>
      <c r="AK61" s="123">
        <f>VLOOKUP($A61,'CCRA3 Risks'!$A:$AG,27,FALSE)</f>
        <v>0</v>
      </c>
      <c r="AL61" s="123">
        <f>VLOOKUP($A61,'CCRA3 Risks'!$A:$AG,28,FALSE)</f>
        <v>0</v>
      </c>
      <c r="AM61" s="123" t="str">
        <f>VLOOKUP($A61,'CCRA3 Risks'!$A:$AG,29,FALSE)</f>
        <v>Y</v>
      </c>
      <c r="AN61" s="123">
        <f>VLOOKUP($A61,'CCRA3 Risks'!$A:$AG,30,FALSE)</f>
        <v>0</v>
      </c>
      <c r="AO61" s="123">
        <f>VLOOKUP($A61,'CCRA3 Risks'!$A:$AG,31,FALSE)</f>
        <v>0</v>
      </c>
      <c r="AP61" s="123">
        <f>VLOOKUP($A61,'CCRA3 Risks'!$A:$AG,32,FALSE)</f>
        <v>0</v>
      </c>
      <c r="AQ61" s="123">
        <f>VLOOKUP($A61,'CCRA3 Risks'!$A:$AG,33,FALSE)</f>
        <v>0</v>
      </c>
    </row>
    <row r="62" spans="1:43" ht="38.25" x14ac:dyDescent="0.25">
      <c r="A62" s="88" t="s">
        <v>236</v>
      </c>
      <c r="B62" s="88" t="s">
        <v>674</v>
      </c>
      <c r="C62" s="83" t="s">
        <v>675</v>
      </c>
      <c r="D62" s="83" t="s">
        <v>461</v>
      </c>
      <c r="E62" s="88" t="s">
        <v>67</v>
      </c>
      <c r="F62" s="83" t="s">
        <v>396</v>
      </c>
      <c r="G62" s="83" t="s">
        <v>53</v>
      </c>
      <c r="H62" s="82" t="s">
        <v>676</v>
      </c>
      <c r="I62" s="88"/>
      <c r="J62" s="88" t="s">
        <v>417</v>
      </c>
      <c r="K62" s="83" t="s">
        <v>677</v>
      </c>
      <c r="L62" s="88" t="s">
        <v>659</v>
      </c>
      <c r="M62" s="88" t="s">
        <v>35</v>
      </c>
      <c r="N62" s="206" t="str">
        <f>VLOOKUP($A62,'CCRA3 Risks'!$A:$R,2,FALSE)</f>
        <v>H4 Risks to people, communities and buildings from sea level rise</v>
      </c>
      <c r="O62" s="206" t="str">
        <f>VLOOKUP($A62,'CCRA3 Risks'!$A:$R,3,FALSE)</f>
        <v>No</v>
      </c>
      <c r="P62" s="207">
        <f>VLOOKUP($A62,'CCRA3 Risks'!$A:$R,4,FALSE)</f>
        <v>5</v>
      </c>
      <c r="Q62" s="206" t="str">
        <f>VLOOKUP($A62,'CCRA3 Risks'!$A:$R,7,FALSE)</f>
        <v>England</v>
      </c>
      <c r="R62" s="206" t="str">
        <f>VLOOKUP($A62,'CCRA3 Risks'!$A:$R,8,FALSE)</f>
        <v>Low</v>
      </c>
      <c r="S62" s="206" t="str">
        <f>VLOOKUP($A62,'CCRA3 Risks'!$A:$R,9,FALSE)</f>
        <v>Medium</v>
      </c>
      <c r="T62" s="206" t="str">
        <f>VLOOKUP($A62,'CCRA3 Risks'!$A:$R,10,FALSE)</f>
        <v>Medium</v>
      </c>
      <c r="U62" s="206" t="str">
        <f>VLOOKUP($A62,'CCRA3 Risks'!$A:$R,11,FALSE)</f>
        <v>High</v>
      </c>
      <c r="V62" s="206" t="str">
        <f>VLOOKUP($A62,'CCRA3 Risks'!$A:$R,12,FALSE)</f>
        <v>High</v>
      </c>
      <c r="W62" s="206" t="str">
        <f>VLOOKUP($A62,'CCRA3 Risks'!$A:$R,13,FALSE)</f>
        <v>Partially</v>
      </c>
      <c r="X62" s="206" t="str">
        <f>VLOOKUP($A62,'CCRA3 Risks'!$A:$R,14,FALSE)</f>
        <v>More action needed</v>
      </c>
      <c r="Y62" s="206" t="str">
        <f>VLOOKUP($A62,'CCRA3 Risks'!$A:$R,15,FALSE)</f>
        <v>More action needed</v>
      </c>
      <c r="Z62" s="206" t="str">
        <f>VLOOKUP($A62,'CCRA3 Risks'!$A:$R,16,FALSE)</f>
        <v>Medium (5)</v>
      </c>
      <c r="AA62" s="206" t="str">
        <f>VLOOKUP($A62,'CCRA3 Risks'!$A:$R,17,FALSE)</f>
        <v>Medium (Amber)</v>
      </c>
      <c r="AB62" s="206" t="str">
        <f>VLOOKUP($A62,'CCRA3 Risks'!$A:$R,18,FALSE)</f>
        <v>Medium (New or reviewed coastal policies and implementation of renewed flood policies)</v>
      </c>
      <c r="AC62" s="202">
        <f>VLOOKUP($A62,'CCRA3 Risks'!$A:$AG,19,FALSE)</f>
        <v>0</v>
      </c>
      <c r="AD62" s="123">
        <f>VLOOKUP($A62,'CCRA3 Risks'!$A:$AG,20,FALSE)</f>
        <v>0</v>
      </c>
      <c r="AE62" s="123">
        <f>VLOOKUP($A62,'CCRA3 Risks'!$A:$AG,21,FALSE)</f>
        <v>0</v>
      </c>
      <c r="AF62" s="123">
        <f>VLOOKUP($A62,'CCRA3 Risks'!$A:$AG,22,FALSE)</f>
        <v>0</v>
      </c>
      <c r="AG62" s="123">
        <f>VLOOKUP($A62,'CCRA3 Risks'!$A:$AG,23,FALSE)</f>
        <v>0</v>
      </c>
      <c r="AH62" s="123">
        <f>VLOOKUP($A62,'CCRA3 Risks'!$A:$AG,24,FALSE)</f>
        <v>0</v>
      </c>
      <c r="AI62" s="123">
        <f>VLOOKUP($A62,'CCRA3 Risks'!$A:$AG,25,FALSE)</f>
        <v>0</v>
      </c>
      <c r="AJ62" s="123" t="str">
        <f>VLOOKUP($A62,'CCRA3 Risks'!$A:$AG,26,FALSE)</f>
        <v>Y</v>
      </c>
      <c r="AK62" s="123">
        <f>VLOOKUP($A62,'CCRA3 Risks'!$A:$AG,27,FALSE)</f>
        <v>0</v>
      </c>
      <c r="AL62" s="123">
        <f>VLOOKUP($A62,'CCRA3 Risks'!$A:$AG,28,FALSE)</f>
        <v>0</v>
      </c>
      <c r="AM62" s="123" t="str">
        <f>VLOOKUP($A62,'CCRA3 Risks'!$A:$AG,29,FALSE)</f>
        <v>Y</v>
      </c>
      <c r="AN62" s="123">
        <f>VLOOKUP($A62,'CCRA3 Risks'!$A:$AG,30,FALSE)</f>
        <v>0</v>
      </c>
      <c r="AO62" s="123">
        <f>VLOOKUP($A62,'CCRA3 Risks'!$A:$AG,31,FALSE)</f>
        <v>0</v>
      </c>
      <c r="AP62" s="123">
        <f>VLOOKUP($A62,'CCRA3 Risks'!$A:$AG,32,FALSE)</f>
        <v>0</v>
      </c>
      <c r="AQ62" s="123">
        <f>VLOOKUP($A62,'CCRA3 Risks'!$A:$AG,33,FALSE)</f>
        <v>0</v>
      </c>
    </row>
    <row r="63" spans="1:43" ht="59.45" customHeight="1" x14ac:dyDescent="0.25">
      <c r="A63" s="88" t="s">
        <v>236</v>
      </c>
      <c r="B63" s="88" t="s">
        <v>678</v>
      </c>
      <c r="C63" s="83" t="s">
        <v>679</v>
      </c>
      <c r="D63" s="83" t="s">
        <v>461</v>
      </c>
      <c r="E63" s="88" t="s">
        <v>67</v>
      </c>
      <c r="F63" s="83" t="s">
        <v>421</v>
      </c>
      <c r="G63" s="83" t="s">
        <v>53</v>
      </c>
      <c r="H63" s="83" t="s">
        <v>680</v>
      </c>
      <c r="I63" s="88"/>
      <c r="J63" s="88" t="s">
        <v>417</v>
      </c>
      <c r="K63" s="83" t="s">
        <v>681</v>
      </c>
      <c r="L63" s="88" t="s">
        <v>659</v>
      </c>
      <c r="M63" s="88" t="s">
        <v>35</v>
      </c>
      <c r="N63" s="206" t="str">
        <f>VLOOKUP($A63,'CCRA3 Risks'!$A:$R,2,FALSE)</f>
        <v>H4 Risks to people, communities and buildings from sea level rise</v>
      </c>
      <c r="O63" s="206" t="str">
        <f>VLOOKUP($A63,'CCRA3 Risks'!$A:$R,3,FALSE)</f>
        <v>No</v>
      </c>
      <c r="P63" s="207">
        <f>VLOOKUP($A63,'CCRA3 Risks'!$A:$R,4,FALSE)</f>
        <v>5</v>
      </c>
      <c r="Q63" s="206" t="str">
        <f>VLOOKUP($A63,'CCRA3 Risks'!$A:$R,7,FALSE)</f>
        <v>England</v>
      </c>
      <c r="R63" s="206" t="str">
        <f>VLOOKUP($A63,'CCRA3 Risks'!$A:$R,8,FALSE)</f>
        <v>Low</v>
      </c>
      <c r="S63" s="206" t="str">
        <f>VLOOKUP($A63,'CCRA3 Risks'!$A:$R,9,FALSE)</f>
        <v>Medium</v>
      </c>
      <c r="T63" s="206" t="str">
        <f>VLOOKUP($A63,'CCRA3 Risks'!$A:$R,10,FALSE)</f>
        <v>Medium</v>
      </c>
      <c r="U63" s="206" t="str">
        <f>VLOOKUP($A63,'CCRA3 Risks'!$A:$R,11,FALSE)</f>
        <v>High</v>
      </c>
      <c r="V63" s="206" t="str">
        <f>VLOOKUP($A63,'CCRA3 Risks'!$A:$R,12,FALSE)</f>
        <v>High</v>
      </c>
      <c r="W63" s="206" t="str">
        <f>VLOOKUP($A63,'CCRA3 Risks'!$A:$R,13,FALSE)</f>
        <v>Partially</v>
      </c>
      <c r="X63" s="206" t="str">
        <f>VLOOKUP($A63,'CCRA3 Risks'!$A:$R,14,FALSE)</f>
        <v>More action needed</v>
      </c>
      <c r="Y63" s="206" t="str">
        <f>VLOOKUP($A63,'CCRA3 Risks'!$A:$R,15,FALSE)</f>
        <v>More action needed</v>
      </c>
      <c r="Z63" s="206" t="str">
        <f>VLOOKUP($A63,'CCRA3 Risks'!$A:$R,16,FALSE)</f>
        <v>Medium (5)</v>
      </c>
      <c r="AA63" s="206" t="str">
        <f>VLOOKUP($A63,'CCRA3 Risks'!$A:$R,17,FALSE)</f>
        <v>Medium (Amber)</v>
      </c>
      <c r="AB63" s="206" t="str">
        <f>VLOOKUP($A63,'CCRA3 Risks'!$A:$R,18,FALSE)</f>
        <v>Medium (New or reviewed coastal policies and implementation of renewed flood policies)</v>
      </c>
      <c r="AC63" s="202">
        <f>VLOOKUP($A63,'CCRA3 Risks'!$A:$AG,19,FALSE)</f>
        <v>0</v>
      </c>
      <c r="AD63" s="123">
        <f>VLOOKUP($A63,'CCRA3 Risks'!$A:$AG,20,FALSE)</f>
        <v>0</v>
      </c>
      <c r="AE63" s="123">
        <f>VLOOKUP($A63,'CCRA3 Risks'!$A:$AG,21,FALSE)</f>
        <v>0</v>
      </c>
      <c r="AF63" s="123">
        <f>VLOOKUP($A63,'CCRA3 Risks'!$A:$AG,22,FALSE)</f>
        <v>0</v>
      </c>
      <c r="AG63" s="123">
        <f>VLOOKUP($A63,'CCRA3 Risks'!$A:$AG,23,FALSE)</f>
        <v>0</v>
      </c>
      <c r="AH63" s="123">
        <f>VLOOKUP($A63,'CCRA3 Risks'!$A:$AG,24,FALSE)</f>
        <v>0</v>
      </c>
      <c r="AI63" s="123">
        <f>VLOOKUP($A63,'CCRA3 Risks'!$A:$AG,25,FALSE)</f>
        <v>0</v>
      </c>
      <c r="AJ63" s="123" t="str">
        <f>VLOOKUP($A63,'CCRA3 Risks'!$A:$AG,26,FALSE)</f>
        <v>Y</v>
      </c>
      <c r="AK63" s="123">
        <f>VLOOKUP($A63,'CCRA3 Risks'!$A:$AG,27,FALSE)</f>
        <v>0</v>
      </c>
      <c r="AL63" s="123">
        <f>VLOOKUP($A63,'CCRA3 Risks'!$A:$AG,28,FALSE)</f>
        <v>0</v>
      </c>
      <c r="AM63" s="123" t="str">
        <f>VLOOKUP($A63,'CCRA3 Risks'!$A:$AG,29,FALSE)</f>
        <v>Y</v>
      </c>
      <c r="AN63" s="123">
        <f>VLOOKUP($A63,'CCRA3 Risks'!$A:$AG,30,FALSE)</f>
        <v>0</v>
      </c>
      <c r="AO63" s="123">
        <f>VLOOKUP($A63,'CCRA3 Risks'!$A:$AG,31,FALSE)</f>
        <v>0</v>
      </c>
      <c r="AP63" s="123">
        <f>VLOOKUP($A63,'CCRA3 Risks'!$A:$AG,32,FALSE)</f>
        <v>0</v>
      </c>
      <c r="AQ63" s="123">
        <f>VLOOKUP($A63,'CCRA3 Risks'!$A:$AG,33,FALSE)</f>
        <v>0</v>
      </c>
    </row>
    <row r="64" spans="1:43" ht="89.25" x14ac:dyDescent="0.25">
      <c r="A64" s="88" t="s">
        <v>236</v>
      </c>
      <c r="B64" s="88" t="s">
        <v>682</v>
      </c>
      <c r="C64" s="83" t="s">
        <v>683</v>
      </c>
      <c r="D64" s="83" t="s">
        <v>461</v>
      </c>
      <c r="E64" s="88" t="s">
        <v>67</v>
      </c>
      <c r="F64" s="83" t="s">
        <v>421</v>
      </c>
      <c r="G64" s="83" t="s">
        <v>53</v>
      </c>
      <c r="H64" s="83" t="s">
        <v>684</v>
      </c>
      <c r="I64" s="88"/>
      <c r="J64" s="88" t="s">
        <v>398</v>
      </c>
      <c r="K64" s="83" t="s">
        <v>685</v>
      </c>
      <c r="L64" s="88" t="s">
        <v>659</v>
      </c>
      <c r="M64" s="83" t="s">
        <v>686</v>
      </c>
      <c r="N64" s="206" t="str">
        <f>VLOOKUP($A64,'CCRA3 Risks'!$A:$R,2,FALSE)</f>
        <v>H4 Risks to people, communities and buildings from sea level rise</v>
      </c>
      <c r="O64" s="206" t="str">
        <f>VLOOKUP($A64,'CCRA3 Risks'!$A:$R,3,FALSE)</f>
        <v>No</v>
      </c>
      <c r="P64" s="207">
        <f>VLOOKUP($A64,'CCRA3 Risks'!$A:$R,4,FALSE)</f>
        <v>5</v>
      </c>
      <c r="Q64" s="206" t="str">
        <f>VLOOKUP($A64,'CCRA3 Risks'!$A:$R,7,FALSE)</f>
        <v>England</v>
      </c>
      <c r="R64" s="206" t="str">
        <f>VLOOKUP($A64,'CCRA3 Risks'!$A:$R,8,FALSE)</f>
        <v>Low</v>
      </c>
      <c r="S64" s="206" t="str">
        <f>VLOOKUP($A64,'CCRA3 Risks'!$A:$R,9,FALSE)</f>
        <v>Medium</v>
      </c>
      <c r="T64" s="206" t="str">
        <f>VLOOKUP($A64,'CCRA3 Risks'!$A:$R,10,FALSE)</f>
        <v>Medium</v>
      </c>
      <c r="U64" s="206" t="str">
        <f>VLOOKUP($A64,'CCRA3 Risks'!$A:$R,11,FALSE)</f>
        <v>High</v>
      </c>
      <c r="V64" s="206" t="str">
        <f>VLOOKUP($A64,'CCRA3 Risks'!$A:$R,12,FALSE)</f>
        <v>High</v>
      </c>
      <c r="W64" s="206" t="str">
        <f>VLOOKUP($A64,'CCRA3 Risks'!$A:$R,13,FALSE)</f>
        <v>Partially</v>
      </c>
      <c r="X64" s="206" t="str">
        <f>VLOOKUP($A64,'CCRA3 Risks'!$A:$R,14,FALSE)</f>
        <v>More action needed</v>
      </c>
      <c r="Y64" s="206" t="str">
        <f>VLOOKUP($A64,'CCRA3 Risks'!$A:$R,15,FALSE)</f>
        <v>More action needed</v>
      </c>
      <c r="Z64" s="206" t="str">
        <f>VLOOKUP($A64,'CCRA3 Risks'!$A:$R,16,FALSE)</f>
        <v>Medium (5)</v>
      </c>
      <c r="AA64" s="206" t="str">
        <f>VLOOKUP($A64,'CCRA3 Risks'!$A:$R,17,FALSE)</f>
        <v>Medium (Amber)</v>
      </c>
      <c r="AB64" s="206" t="str">
        <f>VLOOKUP($A64,'CCRA3 Risks'!$A:$R,18,FALSE)</f>
        <v>Medium (New or reviewed coastal policies and implementation of renewed flood policies)</v>
      </c>
      <c r="AC64" s="202">
        <f>VLOOKUP($A64,'CCRA3 Risks'!$A:$AG,19,FALSE)</f>
        <v>0</v>
      </c>
      <c r="AD64" s="123">
        <f>VLOOKUP($A64,'CCRA3 Risks'!$A:$AG,20,FALSE)</f>
        <v>0</v>
      </c>
      <c r="AE64" s="123">
        <f>VLOOKUP($A64,'CCRA3 Risks'!$A:$AG,21,FALSE)</f>
        <v>0</v>
      </c>
      <c r="AF64" s="123">
        <f>VLOOKUP($A64,'CCRA3 Risks'!$A:$AG,22,FALSE)</f>
        <v>0</v>
      </c>
      <c r="AG64" s="123">
        <f>VLOOKUP($A64,'CCRA3 Risks'!$A:$AG,23,FALSE)</f>
        <v>0</v>
      </c>
      <c r="AH64" s="123">
        <f>VLOOKUP($A64,'CCRA3 Risks'!$A:$AG,24,FALSE)</f>
        <v>0</v>
      </c>
      <c r="AI64" s="123">
        <f>VLOOKUP($A64,'CCRA3 Risks'!$A:$AG,25,FALSE)</f>
        <v>0</v>
      </c>
      <c r="AJ64" s="123" t="str">
        <f>VLOOKUP($A64,'CCRA3 Risks'!$A:$AG,26,FALSE)</f>
        <v>Y</v>
      </c>
      <c r="AK64" s="123">
        <f>VLOOKUP($A64,'CCRA3 Risks'!$A:$AG,27,FALSE)</f>
        <v>0</v>
      </c>
      <c r="AL64" s="123">
        <f>VLOOKUP($A64,'CCRA3 Risks'!$A:$AG,28,FALSE)</f>
        <v>0</v>
      </c>
      <c r="AM64" s="123" t="str">
        <f>VLOOKUP($A64,'CCRA3 Risks'!$A:$AG,29,FALSE)</f>
        <v>Y</v>
      </c>
      <c r="AN64" s="123">
        <f>VLOOKUP($A64,'CCRA3 Risks'!$A:$AG,30,FALSE)</f>
        <v>0</v>
      </c>
      <c r="AO64" s="123">
        <f>VLOOKUP($A64,'CCRA3 Risks'!$A:$AG,31,FALSE)</f>
        <v>0</v>
      </c>
      <c r="AP64" s="123">
        <f>VLOOKUP($A64,'CCRA3 Risks'!$A:$AG,32,FALSE)</f>
        <v>0</v>
      </c>
      <c r="AQ64" s="123">
        <f>VLOOKUP($A64,'CCRA3 Risks'!$A:$AG,33,FALSE)</f>
        <v>0</v>
      </c>
    </row>
    <row r="65" spans="1:43" ht="63.75" x14ac:dyDescent="0.25">
      <c r="A65" s="88" t="s">
        <v>236</v>
      </c>
      <c r="B65" s="88" t="s">
        <v>687</v>
      </c>
      <c r="C65" s="83" t="s">
        <v>688</v>
      </c>
      <c r="D65" s="83" t="s">
        <v>461</v>
      </c>
      <c r="E65" s="88" t="s">
        <v>67</v>
      </c>
      <c r="F65" s="83" t="s">
        <v>396</v>
      </c>
      <c r="G65" s="83" t="s">
        <v>53</v>
      </c>
      <c r="H65" s="83" t="s">
        <v>689</v>
      </c>
      <c r="I65" s="88"/>
      <c r="J65" s="88" t="s">
        <v>411</v>
      </c>
      <c r="K65" s="83" t="s">
        <v>690</v>
      </c>
      <c r="L65" s="88" t="s">
        <v>659</v>
      </c>
      <c r="M65" s="88" t="s">
        <v>35</v>
      </c>
      <c r="N65" s="206" t="str">
        <f>VLOOKUP($A65,'CCRA3 Risks'!$A:$R,2,FALSE)</f>
        <v>H4 Risks to people, communities and buildings from sea level rise</v>
      </c>
      <c r="O65" s="206" t="str">
        <f>VLOOKUP($A65,'CCRA3 Risks'!$A:$R,3,FALSE)</f>
        <v>No</v>
      </c>
      <c r="P65" s="207">
        <f>VLOOKUP($A65,'CCRA3 Risks'!$A:$R,4,FALSE)</f>
        <v>5</v>
      </c>
      <c r="Q65" s="206" t="str">
        <f>VLOOKUP($A65,'CCRA3 Risks'!$A:$R,7,FALSE)</f>
        <v>England</v>
      </c>
      <c r="R65" s="206" t="str">
        <f>VLOOKUP($A65,'CCRA3 Risks'!$A:$R,8,FALSE)</f>
        <v>Low</v>
      </c>
      <c r="S65" s="206" t="str">
        <f>VLOOKUP($A65,'CCRA3 Risks'!$A:$R,9,FALSE)</f>
        <v>Medium</v>
      </c>
      <c r="T65" s="206" t="str">
        <f>VLOOKUP($A65,'CCRA3 Risks'!$A:$R,10,FALSE)</f>
        <v>Medium</v>
      </c>
      <c r="U65" s="206" t="str">
        <f>VLOOKUP($A65,'CCRA3 Risks'!$A:$R,11,FALSE)</f>
        <v>High</v>
      </c>
      <c r="V65" s="206" t="str">
        <f>VLOOKUP($A65,'CCRA3 Risks'!$A:$R,12,FALSE)</f>
        <v>High</v>
      </c>
      <c r="W65" s="206" t="str">
        <f>VLOOKUP($A65,'CCRA3 Risks'!$A:$R,13,FALSE)</f>
        <v>Partially</v>
      </c>
      <c r="X65" s="206" t="str">
        <f>VLOOKUP($A65,'CCRA3 Risks'!$A:$R,14,FALSE)</f>
        <v>More action needed</v>
      </c>
      <c r="Y65" s="206" t="str">
        <f>VLOOKUP($A65,'CCRA3 Risks'!$A:$R,15,FALSE)</f>
        <v>More action needed</v>
      </c>
      <c r="Z65" s="206" t="str">
        <f>VLOOKUP($A65,'CCRA3 Risks'!$A:$R,16,FALSE)</f>
        <v>Medium (5)</v>
      </c>
      <c r="AA65" s="206" t="str">
        <f>VLOOKUP($A65,'CCRA3 Risks'!$A:$R,17,FALSE)</f>
        <v>Medium (Amber)</v>
      </c>
      <c r="AB65" s="206" t="str">
        <f>VLOOKUP($A65,'CCRA3 Risks'!$A:$R,18,FALSE)</f>
        <v>Medium (New or reviewed coastal policies and implementation of renewed flood policies)</v>
      </c>
      <c r="AC65" s="202">
        <f>VLOOKUP($A65,'CCRA3 Risks'!$A:$AG,19,FALSE)</f>
        <v>0</v>
      </c>
      <c r="AD65" s="123">
        <f>VLOOKUP($A65,'CCRA3 Risks'!$A:$AG,20,FALSE)</f>
        <v>0</v>
      </c>
      <c r="AE65" s="123">
        <f>VLOOKUP($A65,'CCRA3 Risks'!$A:$AG,21,FALSE)</f>
        <v>0</v>
      </c>
      <c r="AF65" s="123">
        <f>VLOOKUP($A65,'CCRA3 Risks'!$A:$AG,22,FALSE)</f>
        <v>0</v>
      </c>
      <c r="AG65" s="123">
        <f>VLOOKUP($A65,'CCRA3 Risks'!$A:$AG,23,FALSE)</f>
        <v>0</v>
      </c>
      <c r="AH65" s="123">
        <f>VLOOKUP($A65,'CCRA3 Risks'!$A:$AG,24,FALSE)</f>
        <v>0</v>
      </c>
      <c r="AI65" s="123">
        <f>VLOOKUP($A65,'CCRA3 Risks'!$A:$AG,25,FALSE)</f>
        <v>0</v>
      </c>
      <c r="AJ65" s="123" t="str">
        <f>VLOOKUP($A65,'CCRA3 Risks'!$A:$AG,26,FALSE)</f>
        <v>Y</v>
      </c>
      <c r="AK65" s="123">
        <f>VLOOKUP($A65,'CCRA3 Risks'!$A:$AG,27,FALSE)</f>
        <v>0</v>
      </c>
      <c r="AL65" s="123">
        <f>VLOOKUP($A65,'CCRA3 Risks'!$A:$AG,28,FALSE)</f>
        <v>0</v>
      </c>
      <c r="AM65" s="123" t="str">
        <f>VLOOKUP($A65,'CCRA3 Risks'!$A:$AG,29,FALSE)</f>
        <v>Y</v>
      </c>
      <c r="AN65" s="123">
        <f>VLOOKUP($A65,'CCRA3 Risks'!$A:$AG,30,FALSE)</f>
        <v>0</v>
      </c>
      <c r="AO65" s="123">
        <f>VLOOKUP($A65,'CCRA3 Risks'!$A:$AG,31,FALSE)</f>
        <v>0</v>
      </c>
      <c r="AP65" s="123">
        <f>VLOOKUP($A65,'CCRA3 Risks'!$A:$AG,32,FALSE)</f>
        <v>0</v>
      </c>
      <c r="AQ65" s="123">
        <f>VLOOKUP($A65,'CCRA3 Risks'!$A:$AG,33,FALSE)</f>
        <v>0</v>
      </c>
    </row>
    <row r="66" spans="1:43" ht="165.75" x14ac:dyDescent="0.25">
      <c r="A66" s="88" t="s">
        <v>239</v>
      </c>
      <c r="B66" s="88" t="s">
        <v>691</v>
      </c>
      <c r="C66" s="83" t="s">
        <v>692</v>
      </c>
      <c r="D66" s="83" t="s">
        <v>403</v>
      </c>
      <c r="E66" s="88" t="s">
        <v>67</v>
      </c>
      <c r="F66" s="83" t="s">
        <v>396</v>
      </c>
      <c r="G66" s="83" t="s">
        <v>20</v>
      </c>
      <c r="H66" s="83" t="s">
        <v>693</v>
      </c>
      <c r="I66" s="88"/>
      <c r="J66" s="88" t="s">
        <v>463</v>
      </c>
      <c r="K66" s="83" t="s">
        <v>694</v>
      </c>
      <c r="L66" s="88" t="s">
        <v>695</v>
      </c>
      <c r="M66" s="88" t="s">
        <v>400</v>
      </c>
      <c r="N66" s="206" t="str">
        <f>VLOOKUP($A66,'CCRA3 Risks'!$A:$R,2,FALSE)</f>
        <v>H5 Risks to building fabric</v>
      </c>
      <c r="O66" s="206" t="str">
        <f>VLOOKUP($A66,'CCRA3 Risks'!$A:$R,3,FALSE)</f>
        <v>No</v>
      </c>
      <c r="P66" s="207">
        <f>VLOOKUP($A66,'CCRA3 Risks'!$A:$R,4,FALSE)</f>
        <v>5</v>
      </c>
      <c r="Q66" s="206" t="str">
        <f>VLOOKUP($A66,'CCRA3 Risks'!$A:$R,7,FALSE)</f>
        <v>England</v>
      </c>
      <c r="R66" s="206" t="str">
        <f>VLOOKUP($A66,'CCRA3 Risks'!$A:$R,8,FALSE)</f>
        <v>Medium</v>
      </c>
      <c r="S66" s="206" t="str">
        <f>VLOOKUP($A66,'CCRA3 Risks'!$A:$R,9,FALSE)</f>
        <v>Medium</v>
      </c>
      <c r="T66" s="206" t="str">
        <f>VLOOKUP($A66,'CCRA3 Risks'!$A:$R,10,FALSE)</f>
        <v>Medium</v>
      </c>
      <c r="U66" s="206" t="str">
        <f>VLOOKUP($A66,'CCRA3 Risks'!$A:$R,11,FALSE)</f>
        <v>High</v>
      </c>
      <c r="V66" s="206" t="str">
        <f>VLOOKUP($A66,'CCRA3 Risks'!$A:$R,12,FALSE)</f>
        <v>High</v>
      </c>
      <c r="W66" s="206" t="str">
        <f>VLOOKUP($A66,'CCRA3 Risks'!$A:$R,13,FALSE)</f>
        <v>Partially</v>
      </c>
      <c r="X66" s="206" t="str">
        <f>VLOOKUP($A66,'CCRA3 Risks'!$A:$R,14,FALSE)</f>
        <v>Further investigation</v>
      </c>
      <c r="Y66" s="206" t="str">
        <f>VLOOKUP($A66,'CCRA3 Risks'!$A:$R,15,FALSE)</f>
        <v>Further Investigation</v>
      </c>
      <c r="Z66" s="206" t="str">
        <f>VLOOKUP($A66,'CCRA3 Risks'!$A:$R,16,FALSE)</f>
        <v>N/A</v>
      </c>
      <c r="AA66" s="206" t="str">
        <f>VLOOKUP($A66,'CCRA3 Risks'!$A:$R,17,FALSE)</f>
        <v>Medium (Amber)</v>
      </c>
      <c r="AB66" s="206" t="str">
        <f>VLOOKUP($A66,'CCRA3 Risks'!$A:$R,18,FALSE)</f>
        <v>Medium (reviews of building regulations)</v>
      </c>
      <c r="AC66" s="202">
        <f>VLOOKUP($A66,'CCRA3 Risks'!$A:$AG,19,FALSE)</f>
        <v>0</v>
      </c>
      <c r="AD66" s="123">
        <f>VLOOKUP($A66,'CCRA3 Risks'!$A:$AG,20,FALSE)</f>
        <v>0</v>
      </c>
      <c r="AE66" s="123">
        <f>VLOOKUP($A66,'CCRA3 Risks'!$A:$AG,21,FALSE)</f>
        <v>0</v>
      </c>
      <c r="AF66" s="123">
        <f>VLOOKUP($A66,'CCRA3 Risks'!$A:$AG,22,FALSE)</f>
        <v>0</v>
      </c>
      <c r="AG66" s="123">
        <f>VLOOKUP($A66,'CCRA3 Risks'!$A:$AG,23,FALSE)</f>
        <v>0</v>
      </c>
      <c r="AH66" s="123">
        <f>VLOOKUP($A66,'CCRA3 Risks'!$A:$AG,24,FALSE)</f>
        <v>0</v>
      </c>
      <c r="AI66" s="123">
        <f>VLOOKUP($A66,'CCRA3 Risks'!$A:$AG,25,FALSE)</f>
        <v>0</v>
      </c>
      <c r="AJ66" s="123">
        <f>VLOOKUP($A66,'CCRA3 Risks'!$A:$AG,26,FALSE)</f>
        <v>0</v>
      </c>
      <c r="AK66" s="123" t="str">
        <f>VLOOKUP($A66,'CCRA3 Risks'!$A:$AG,27,FALSE)</f>
        <v>Y</v>
      </c>
      <c r="AL66" s="123">
        <f>VLOOKUP($A66,'CCRA3 Risks'!$A:$AG,28,FALSE)</f>
        <v>0</v>
      </c>
      <c r="AM66" s="123">
        <f>VLOOKUP($A66,'CCRA3 Risks'!$A:$AG,29,FALSE)</f>
        <v>0</v>
      </c>
      <c r="AN66" s="123">
        <f>VLOOKUP($A66,'CCRA3 Risks'!$A:$AG,30,FALSE)</f>
        <v>0</v>
      </c>
      <c r="AO66" s="123">
        <f>VLOOKUP($A66,'CCRA3 Risks'!$A:$AG,31,FALSE)</f>
        <v>0</v>
      </c>
      <c r="AP66" s="123">
        <f>VLOOKUP($A66,'CCRA3 Risks'!$A:$AG,32,FALSE)</f>
        <v>0</v>
      </c>
      <c r="AQ66" s="123">
        <f>VLOOKUP($A66,'CCRA3 Risks'!$A:$AG,33,FALSE)</f>
        <v>0</v>
      </c>
    </row>
    <row r="67" spans="1:43" ht="114.75" x14ac:dyDescent="0.25">
      <c r="A67" s="88" t="s">
        <v>239</v>
      </c>
      <c r="B67" s="88" t="s">
        <v>696</v>
      </c>
      <c r="C67" s="88" t="s">
        <v>697</v>
      </c>
      <c r="D67" s="88" t="s">
        <v>461</v>
      </c>
      <c r="E67" s="88" t="s">
        <v>67</v>
      </c>
      <c r="F67" s="83" t="s">
        <v>396</v>
      </c>
      <c r="G67" s="83" t="s">
        <v>20</v>
      </c>
      <c r="H67" s="83" t="s">
        <v>698</v>
      </c>
      <c r="I67" s="88"/>
      <c r="J67" s="88" t="s">
        <v>463</v>
      </c>
      <c r="K67" s="83" t="s">
        <v>699</v>
      </c>
      <c r="L67" s="88" t="s">
        <v>695</v>
      </c>
      <c r="M67" s="88" t="s">
        <v>700</v>
      </c>
      <c r="N67" s="206" t="str">
        <f>VLOOKUP($A67,'CCRA3 Risks'!$A:$R,2,FALSE)</f>
        <v>H5 Risks to building fabric</v>
      </c>
      <c r="O67" s="206" t="str">
        <f>VLOOKUP($A67,'CCRA3 Risks'!$A:$R,3,FALSE)</f>
        <v>No</v>
      </c>
      <c r="P67" s="207">
        <f>VLOOKUP($A67,'CCRA3 Risks'!$A:$R,4,FALSE)</f>
        <v>5</v>
      </c>
      <c r="Q67" s="206" t="str">
        <f>VLOOKUP($A67,'CCRA3 Risks'!$A:$R,7,FALSE)</f>
        <v>England</v>
      </c>
      <c r="R67" s="206" t="str">
        <f>VLOOKUP($A67,'CCRA3 Risks'!$A:$R,8,FALSE)</f>
        <v>Medium</v>
      </c>
      <c r="S67" s="206" t="str">
        <f>VLOOKUP($A67,'CCRA3 Risks'!$A:$R,9,FALSE)</f>
        <v>Medium</v>
      </c>
      <c r="T67" s="206" t="str">
        <f>VLOOKUP($A67,'CCRA3 Risks'!$A:$R,10,FALSE)</f>
        <v>Medium</v>
      </c>
      <c r="U67" s="206" t="str">
        <f>VLOOKUP($A67,'CCRA3 Risks'!$A:$R,11,FALSE)</f>
        <v>High</v>
      </c>
      <c r="V67" s="206" t="str">
        <f>VLOOKUP($A67,'CCRA3 Risks'!$A:$R,12,FALSE)</f>
        <v>High</v>
      </c>
      <c r="W67" s="206" t="str">
        <f>VLOOKUP($A67,'CCRA3 Risks'!$A:$R,13,FALSE)</f>
        <v>Partially</v>
      </c>
      <c r="X67" s="206" t="str">
        <f>VLOOKUP($A67,'CCRA3 Risks'!$A:$R,14,FALSE)</f>
        <v>Further investigation</v>
      </c>
      <c r="Y67" s="206" t="str">
        <f>VLOOKUP($A67,'CCRA3 Risks'!$A:$R,15,FALSE)</f>
        <v>Further Investigation</v>
      </c>
      <c r="Z67" s="206" t="str">
        <f>VLOOKUP($A67,'CCRA3 Risks'!$A:$R,16,FALSE)</f>
        <v>N/A</v>
      </c>
      <c r="AA67" s="206" t="str">
        <f>VLOOKUP($A67,'CCRA3 Risks'!$A:$R,17,FALSE)</f>
        <v>Medium (Amber)</v>
      </c>
      <c r="AB67" s="206" t="str">
        <f>VLOOKUP($A67,'CCRA3 Risks'!$A:$R,18,FALSE)</f>
        <v>Medium (reviews of building regulations)</v>
      </c>
      <c r="AC67" s="202">
        <f>VLOOKUP($A67,'CCRA3 Risks'!$A:$AG,19,FALSE)</f>
        <v>0</v>
      </c>
      <c r="AD67" s="123">
        <f>VLOOKUP($A67,'CCRA3 Risks'!$A:$AG,20,FALSE)</f>
        <v>0</v>
      </c>
      <c r="AE67" s="123">
        <f>VLOOKUP($A67,'CCRA3 Risks'!$A:$AG,21,FALSE)</f>
        <v>0</v>
      </c>
      <c r="AF67" s="123">
        <f>VLOOKUP($A67,'CCRA3 Risks'!$A:$AG,22,FALSE)</f>
        <v>0</v>
      </c>
      <c r="AG67" s="123">
        <f>VLOOKUP($A67,'CCRA3 Risks'!$A:$AG,23,FALSE)</f>
        <v>0</v>
      </c>
      <c r="AH67" s="123">
        <f>VLOOKUP($A67,'CCRA3 Risks'!$A:$AG,24,FALSE)</f>
        <v>0</v>
      </c>
      <c r="AI67" s="123">
        <f>VLOOKUP($A67,'CCRA3 Risks'!$A:$AG,25,FALSE)</f>
        <v>0</v>
      </c>
      <c r="AJ67" s="123">
        <f>VLOOKUP($A67,'CCRA3 Risks'!$A:$AG,26,FALSE)</f>
        <v>0</v>
      </c>
      <c r="AK67" s="123" t="str">
        <f>VLOOKUP($A67,'CCRA3 Risks'!$A:$AG,27,FALSE)</f>
        <v>Y</v>
      </c>
      <c r="AL67" s="123">
        <f>VLOOKUP($A67,'CCRA3 Risks'!$A:$AG,28,FALSE)</f>
        <v>0</v>
      </c>
      <c r="AM67" s="123">
        <f>VLOOKUP($A67,'CCRA3 Risks'!$A:$AG,29,FALSE)</f>
        <v>0</v>
      </c>
      <c r="AN67" s="123">
        <f>VLOOKUP($A67,'CCRA3 Risks'!$A:$AG,30,FALSE)</f>
        <v>0</v>
      </c>
      <c r="AO67" s="123">
        <f>VLOOKUP($A67,'CCRA3 Risks'!$A:$AG,31,FALSE)</f>
        <v>0</v>
      </c>
      <c r="AP67" s="123">
        <f>VLOOKUP($A67,'CCRA3 Risks'!$A:$AG,32,FALSE)</f>
        <v>0</v>
      </c>
      <c r="AQ67" s="123">
        <f>VLOOKUP($A67,'CCRA3 Risks'!$A:$AG,33,FALSE)</f>
        <v>0</v>
      </c>
    </row>
    <row r="68" spans="1:43" ht="102" x14ac:dyDescent="0.25">
      <c r="A68" s="88" t="s">
        <v>239</v>
      </c>
      <c r="B68" s="88" t="s">
        <v>701</v>
      </c>
      <c r="C68" s="83" t="s">
        <v>702</v>
      </c>
      <c r="D68" s="83" t="s">
        <v>461</v>
      </c>
      <c r="E68" s="88" t="s">
        <v>67</v>
      </c>
      <c r="F68" s="83" t="s">
        <v>33</v>
      </c>
      <c r="G68" s="83" t="s">
        <v>30</v>
      </c>
      <c r="H68" s="83" t="s">
        <v>703</v>
      </c>
      <c r="I68" s="88"/>
      <c r="J68" s="88" t="s">
        <v>398</v>
      </c>
      <c r="K68" s="83" t="s">
        <v>704</v>
      </c>
      <c r="L68" s="88" t="s">
        <v>695</v>
      </c>
      <c r="M68" s="88" t="s">
        <v>700</v>
      </c>
      <c r="N68" s="206" t="str">
        <f>VLOOKUP($A68,'CCRA3 Risks'!$A:$R,2,FALSE)</f>
        <v>H5 Risks to building fabric</v>
      </c>
      <c r="O68" s="206" t="str">
        <f>VLOOKUP($A68,'CCRA3 Risks'!$A:$R,3,FALSE)</f>
        <v>No</v>
      </c>
      <c r="P68" s="207">
        <f>VLOOKUP($A68,'CCRA3 Risks'!$A:$R,4,FALSE)</f>
        <v>5</v>
      </c>
      <c r="Q68" s="206" t="str">
        <f>VLOOKUP($A68,'CCRA3 Risks'!$A:$R,7,FALSE)</f>
        <v>England</v>
      </c>
      <c r="R68" s="206" t="str">
        <f>VLOOKUP($A68,'CCRA3 Risks'!$A:$R,8,FALSE)</f>
        <v>Medium</v>
      </c>
      <c r="S68" s="206" t="str">
        <f>VLOOKUP($A68,'CCRA3 Risks'!$A:$R,9,FALSE)</f>
        <v>Medium</v>
      </c>
      <c r="T68" s="206" t="str">
        <f>VLOOKUP($A68,'CCRA3 Risks'!$A:$R,10,FALSE)</f>
        <v>Medium</v>
      </c>
      <c r="U68" s="206" t="str">
        <f>VLOOKUP($A68,'CCRA3 Risks'!$A:$R,11,FALSE)</f>
        <v>High</v>
      </c>
      <c r="V68" s="206" t="str">
        <f>VLOOKUP($A68,'CCRA3 Risks'!$A:$R,12,FALSE)</f>
        <v>High</v>
      </c>
      <c r="W68" s="206" t="str">
        <f>VLOOKUP($A68,'CCRA3 Risks'!$A:$R,13,FALSE)</f>
        <v>Partially</v>
      </c>
      <c r="X68" s="206" t="str">
        <f>VLOOKUP($A68,'CCRA3 Risks'!$A:$R,14,FALSE)</f>
        <v>Further investigation</v>
      </c>
      <c r="Y68" s="206" t="str">
        <f>VLOOKUP($A68,'CCRA3 Risks'!$A:$R,15,FALSE)</f>
        <v>Further Investigation</v>
      </c>
      <c r="Z68" s="206" t="str">
        <f>VLOOKUP($A68,'CCRA3 Risks'!$A:$R,16,FALSE)</f>
        <v>N/A</v>
      </c>
      <c r="AA68" s="206" t="str">
        <f>VLOOKUP($A68,'CCRA3 Risks'!$A:$R,17,FALSE)</f>
        <v>Medium (Amber)</v>
      </c>
      <c r="AB68" s="206" t="str">
        <f>VLOOKUP($A68,'CCRA3 Risks'!$A:$R,18,FALSE)</f>
        <v>Medium (reviews of building regulations)</v>
      </c>
      <c r="AC68" s="202">
        <f>VLOOKUP($A68,'CCRA3 Risks'!$A:$AG,19,FALSE)</f>
        <v>0</v>
      </c>
      <c r="AD68" s="123">
        <f>VLOOKUP($A68,'CCRA3 Risks'!$A:$AG,20,FALSE)</f>
        <v>0</v>
      </c>
      <c r="AE68" s="123">
        <f>VLOOKUP($A68,'CCRA3 Risks'!$A:$AG,21,FALSE)</f>
        <v>0</v>
      </c>
      <c r="AF68" s="123">
        <f>VLOOKUP($A68,'CCRA3 Risks'!$A:$AG,22,FALSE)</f>
        <v>0</v>
      </c>
      <c r="AG68" s="123">
        <f>VLOOKUP($A68,'CCRA3 Risks'!$A:$AG,23,FALSE)</f>
        <v>0</v>
      </c>
      <c r="AH68" s="123">
        <f>VLOOKUP($A68,'CCRA3 Risks'!$A:$AG,24,FALSE)</f>
        <v>0</v>
      </c>
      <c r="AI68" s="123">
        <f>VLOOKUP($A68,'CCRA3 Risks'!$A:$AG,25,FALSE)</f>
        <v>0</v>
      </c>
      <c r="AJ68" s="123">
        <f>VLOOKUP($A68,'CCRA3 Risks'!$A:$AG,26,FALSE)</f>
        <v>0</v>
      </c>
      <c r="AK68" s="123" t="str">
        <f>VLOOKUP($A68,'CCRA3 Risks'!$A:$AG,27,FALSE)</f>
        <v>Y</v>
      </c>
      <c r="AL68" s="123">
        <f>VLOOKUP($A68,'CCRA3 Risks'!$A:$AG,28,FALSE)</f>
        <v>0</v>
      </c>
      <c r="AM68" s="123">
        <f>VLOOKUP($A68,'CCRA3 Risks'!$A:$AG,29,FALSE)</f>
        <v>0</v>
      </c>
      <c r="AN68" s="123">
        <f>VLOOKUP($A68,'CCRA3 Risks'!$A:$AG,30,FALSE)</f>
        <v>0</v>
      </c>
      <c r="AO68" s="123">
        <f>VLOOKUP($A68,'CCRA3 Risks'!$A:$AG,31,FALSE)</f>
        <v>0</v>
      </c>
      <c r="AP68" s="123">
        <f>VLOOKUP($A68,'CCRA3 Risks'!$A:$AG,32,FALSE)</f>
        <v>0</v>
      </c>
      <c r="AQ68" s="123">
        <f>VLOOKUP($A68,'CCRA3 Risks'!$A:$AG,33,FALSE)</f>
        <v>0</v>
      </c>
    </row>
    <row r="69" spans="1:43" ht="178.5" x14ac:dyDescent="0.25">
      <c r="A69" s="88" t="s">
        <v>239</v>
      </c>
      <c r="B69" s="88" t="s">
        <v>705</v>
      </c>
      <c r="C69" s="83" t="s">
        <v>706</v>
      </c>
      <c r="D69" s="83" t="s">
        <v>461</v>
      </c>
      <c r="E69" s="88" t="s">
        <v>67</v>
      </c>
      <c r="F69" s="83" t="s">
        <v>421</v>
      </c>
      <c r="G69" s="83" t="s">
        <v>30</v>
      </c>
      <c r="H69" s="83" t="s">
        <v>707</v>
      </c>
      <c r="I69" s="88"/>
      <c r="J69" s="88" t="s">
        <v>398</v>
      </c>
      <c r="K69" s="83" t="s">
        <v>708</v>
      </c>
      <c r="L69" s="88" t="s">
        <v>695</v>
      </c>
      <c r="M69" s="83" t="s">
        <v>709</v>
      </c>
      <c r="N69" s="206" t="str">
        <f>VLOOKUP($A69,'CCRA3 Risks'!$A:$R,2,FALSE)</f>
        <v>H5 Risks to building fabric</v>
      </c>
      <c r="O69" s="206" t="str">
        <f>VLOOKUP($A69,'CCRA3 Risks'!$A:$R,3,FALSE)</f>
        <v>No</v>
      </c>
      <c r="P69" s="207">
        <f>VLOOKUP($A69,'CCRA3 Risks'!$A:$R,4,FALSE)</f>
        <v>5</v>
      </c>
      <c r="Q69" s="206" t="str">
        <f>VLOOKUP($A69,'CCRA3 Risks'!$A:$R,7,FALSE)</f>
        <v>England</v>
      </c>
      <c r="R69" s="206" t="str">
        <f>VLOOKUP($A69,'CCRA3 Risks'!$A:$R,8,FALSE)</f>
        <v>Medium</v>
      </c>
      <c r="S69" s="206" t="str">
        <f>VLOOKUP($A69,'CCRA3 Risks'!$A:$R,9,FALSE)</f>
        <v>Medium</v>
      </c>
      <c r="T69" s="206" t="str">
        <f>VLOOKUP($A69,'CCRA3 Risks'!$A:$R,10,FALSE)</f>
        <v>Medium</v>
      </c>
      <c r="U69" s="206" t="str">
        <f>VLOOKUP($A69,'CCRA3 Risks'!$A:$R,11,FALSE)</f>
        <v>High</v>
      </c>
      <c r="V69" s="206" t="str">
        <f>VLOOKUP($A69,'CCRA3 Risks'!$A:$R,12,FALSE)</f>
        <v>High</v>
      </c>
      <c r="W69" s="206" t="str">
        <f>VLOOKUP($A69,'CCRA3 Risks'!$A:$R,13,FALSE)</f>
        <v>Partially</v>
      </c>
      <c r="X69" s="206" t="str">
        <f>VLOOKUP($A69,'CCRA3 Risks'!$A:$R,14,FALSE)</f>
        <v>Further investigation</v>
      </c>
      <c r="Y69" s="206" t="str">
        <f>VLOOKUP($A69,'CCRA3 Risks'!$A:$R,15,FALSE)</f>
        <v>Further Investigation</v>
      </c>
      <c r="Z69" s="206" t="str">
        <f>VLOOKUP($A69,'CCRA3 Risks'!$A:$R,16,FALSE)</f>
        <v>N/A</v>
      </c>
      <c r="AA69" s="206" t="str">
        <f>VLOOKUP($A69,'CCRA3 Risks'!$A:$R,17,FALSE)</f>
        <v>Medium (Amber)</v>
      </c>
      <c r="AB69" s="206" t="str">
        <f>VLOOKUP($A69,'CCRA3 Risks'!$A:$R,18,FALSE)</f>
        <v>Medium (reviews of building regulations)</v>
      </c>
      <c r="AC69" s="202">
        <f>VLOOKUP($A69,'CCRA3 Risks'!$A:$AG,19,FALSE)</f>
        <v>0</v>
      </c>
      <c r="AD69" s="123">
        <f>VLOOKUP($A69,'CCRA3 Risks'!$A:$AG,20,FALSE)</f>
        <v>0</v>
      </c>
      <c r="AE69" s="123">
        <f>VLOOKUP($A69,'CCRA3 Risks'!$A:$AG,21,FALSE)</f>
        <v>0</v>
      </c>
      <c r="AF69" s="123">
        <f>VLOOKUP($A69,'CCRA3 Risks'!$A:$AG,22,FALSE)</f>
        <v>0</v>
      </c>
      <c r="AG69" s="123">
        <f>VLOOKUP($A69,'CCRA3 Risks'!$A:$AG,23,FALSE)</f>
        <v>0</v>
      </c>
      <c r="AH69" s="123">
        <f>VLOOKUP($A69,'CCRA3 Risks'!$A:$AG,24,FALSE)</f>
        <v>0</v>
      </c>
      <c r="AI69" s="123">
        <f>VLOOKUP($A69,'CCRA3 Risks'!$A:$AG,25,FALSE)</f>
        <v>0</v>
      </c>
      <c r="AJ69" s="123">
        <f>VLOOKUP($A69,'CCRA3 Risks'!$A:$AG,26,FALSE)</f>
        <v>0</v>
      </c>
      <c r="AK69" s="123" t="str">
        <f>VLOOKUP($A69,'CCRA3 Risks'!$A:$AG,27,FALSE)</f>
        <v>Y</v>
      </c>
      <c r="AL69" s="123">
        <f>VLOOKUP($A69,'CCRA3 Risks'!$A:$AG,28,FALSE)</f>
        <v>0</v>
      </c>
      <c r="AM69" s="123">
        <f>VLOOKUP($A69,'CCRA3 Risks'!$A:$AG,29,FALSE)</f>
        <v>0</v>
      </c>
      <c r="AN69" s="123">
        <f>VLOOKUP($A69,'CCRA3 Risks'!$A:$AG,30,FALSE)</f>
        <v>0</v>
      </c>
      <c r="AO69" s="123">
        <f>VLOOKUP($A69,'CCRA3 Risks'!$A:$AG,31,FALSE)</f>
        <v>0</v>
      </c>
      <c r="AP69" s="123">
        <f>VLOOKUP($A69,'CCRA3 Risks'!$A:$AG,32,FALSE)</f>
        <v>0</v>
      </c>
      <c r="AQ69" s="123">
        <f>VLOOKUP($A69,'CCRA3 Risks'!$A:$AG,33,FALSE)</f>
        <v>0</v>
      </c>
    </row>
    <row r="70" spans="1:43" ht="44.1" customHeight="1" x14ac:dyDescent="0.25">
      <c r="A70" s="88" t="s">
        <v>241</v>
      </c>
      <c r="B70" s="88" t="s">
        <v>710</v>
      </c>
      <c r="C70" s="83" t="s">
        <v>711</v>
      </c>
      <c r="D70" s="83" t="s">
        <v>461</v>
      </c>
      <c r="E70" s="88" t="s">
        <v>67</v>
      </c>
      <c r="F70" s="83" t="s">
        <v>396</v>
      </c>
      <c r="G70" s="83" t="s">
        <v>30</v>
      </c>
      <c r="H70" s="83" t="s">
        <v>712</v>
      </c>
      <c r="I70" s="88"/>
      <c r="J70" s="88" t="s">
        <v>417</v>
      </c>
      <c r="K70" s="83" t="s">
        <v>713</v>
      </c>
      <c r="L70" s="88" t="s">
        <v>700</v>
      </c>
      <c r="M70" s="88" t="s">
        <v>35</v>
      </c>
      <c r="N70" s="206" t="str">
        <f>VLOOKUP($A70,'CCRA3 Risks'!$A:$R,2,FALSE)</f>
        <v xml:space="preserve">H6 Risks and opportunities from summer and winter household energy demand 
(a) Opportunity - winter </v>
      </c>
      <c r="O70" s="206" t="str">
        <f>VLOOKUP($A70,'CCRA3 Risks'!$A:$R,3,FALSE)</f>
        <v>Yes</v>
      </c>
      <c r="P70" s="207">
        <f>VLOOKUP($A70,'CCRA3 Risks'!$A:$R,4,FALSE)</f>
        <v>5</v>
      </c>
      <c r="Q70" s="206" t="str">
        <f>VLOOKUP($A70,'CCRA3 Risks'!$A:$R,7,FALSE)</f>
        <v>England</v>
      </c>
      <c r="R70" s="206" t="str">
        <f>VLOOKUP($A70,'CCRA3 Risks'!$A:$R,8,FALSE)</f>
        <v>Medium</v>
      </c>
      <c r="S70" s="206" t="str">
        <f>VLOOKUP($A70,'CCRA3 Risks'!$A:$R,9,FALSE)</f>
        <v>High</v>
      </c>
      <c r="T70" s="206" t="str">
        <f>VLOOKUP($A70,'CCRA3 Risks'!$A:$R,10,FALSE)</f>
        <v>High</v>
      </c>
      <c r="U70" s="206" t="str">
        <f>VLOOKUP($A70,'CCRA3 Risks'!$A:$R,11,FALSE)</f>
        <v>High</v>
      </c>
      <c r="V70" s="206" t="str">
        <f>VLOOKUP($A70,'CCRA3 Risks'!$A:$R,12,FALSE)</f>
        <v>High</v>
      </c>
      <c r="W70" s="206" t="str">
        <f>VLOOKUP($A70,'CCRA3 Risks'!$A:$R,13,FALSE)</f>
        <v>No</v>
      </c>
      <c r="X70" s="206" t="str">
        <f>VLOOKUP($A70,'CCRA3 Risks'!$A:$R,14,FALSE)</f>
        <v>More action needed</v>
      </c>
      <c r="Y70" s="206" t="str">
        <f>VLOOKUP($A70,'CCRA3 Risks'!$A:$R,15,FALSE)</f>
        <v>More action needed</v>
      </c>
      <c r="Z70" s="206" t="str">
        <f>VLOOKUP($A70,'CCRA3 Risks'!$A:$R,16,FALSE)</f>
        <v>N/A</v>
      </c>
      <c r="AA70" s="206" t="str">
        <f>VLOOKUP($A70,'CCRA3 Risks'!$A:$R,17,FALSE)</f>
        <v>N/A</v>
      </c>
      <c r="AB70" s="206" t="str">
        <f>VLOOKUP($A70,'CCRA3 Risks'!$A:$R,18,FALSE)</f>
        <v>High (Net Zero)</v>
      </c>
      <c r="AC70" s="202">
        <f>VLOOKUP($A70,'CCRA3 Risks'!$A:$AG,19,FALSE)</f>
        <v>0</v>
      </c>
      <c r="AD70" s="123">
        <f>VLOOKUP($A70,'CCRA3 Risks'!$A:$AG,20,FALSE)</f>
        <v>0</v>
      </c>
      <c r="AE70" s="123">
        <f>VLOOKUP($A70,'CCRA3 Risks'!$A:$AG,21,FALSE)</f>
        <v>0</v>
      </c>
      <c r="AF70" s="123">
        <f>VLOOKUP($A70,'CCRA3 Risks'!$A:$AG,22,FALSE)</f>
        <v>0</v>
      </c>
      <c r="AG70" s="123" t="str">
        <f>VLOOKUP($A70,'CCRA3 Risks'!$A:$AG,23,FALSE)</f>
        <v>Y</v>
      </c>
      <c r="AH70" s="123">
        <f>VLOOKUP($A70,'CCRA3 Risks'!$A:$AG,24,FALSE)</f>
        <v>0</v>
      </c>
      <c r="AI70" s="123">
        <f>VLOOKUP($A70,'CCRA3 Risks'!$A:$AG,25,FALSE)</f>
        <v>0</v>
      </c>
      <c r="AJ70" s="123">
        <f>VLOOKUP($A70,'CCRA3 Risks'!$A:$AG,26,FALSE)</f>
        <v>0</v>
      </c>
      <c r="AK70" s="123" t="str">
        <f>VLOOKUP($A70,'CCRA3 Risks'!$A:$AG,27,FALSE)</f>
        <v>Y</v>
      </c>
      <c r="AL70" s="123">
        <f>VLOOKUP($A70,'CCRA3 Risks'!$A:$AG,28,FALSE)</f>
        <v>0</v>
      </c>
      <c r="AM70" s="123">
        <f>VLOOKUP($A70,'CCRA3 Risks'!$A:$AG,29,FALSE)</f>
        <v>0</v>
      </c>
      <c r="AN70" s="123">
        <f>VLOOKUP($A70,'CCRA3 Risks'!$A:$AG,30,FALSE)</f>
        <v>0</v>
      </c>
      <c r="AO70" s="123">
        <f>VLOOKUP($A70,'CCRA3 Risks'!$A:$AG,31,FALSE)</f>
        <v>0</v>
      </c>
      <c r="AP70" s="123">
        <f>VLOOKUP($A70,'CCRA3 Risks'!$A:$AG,32,FALSE)</f>
        <v>0</v>
      </c>
      <c r="AQ70" s="123">
        <f>VLOOKUP($A70,'CCRA3 Risks'!$A:$AG,33,FALSE)</f>
        <v>0</v>
      </c>
    </row>
    <row r="71" spans="1:43" ht="165.75" x14ac:dyDescent="0.25">
      <c r="A71" s="88" t="s">
        <v>241</v>
      </c>
      <c r="B71" s="88" t="s">
        <v>714</v>
      </c>
      <c r="C71" s="83" t="s">
        <v>715</v>
      </c>
      <c r="D71" s="83" t="s">
        <v>461</v>
      </c>
      <c r="E71" s="88" t="s">
        <v>67</v>
      </c>
      <c r="F71" s="83" t="s">
        <v>396</v>
      </c>
      <c r="G71" s="83" t="s">
        <v>30</v>
      </c>
      <c r="H71" s="83" t="s">
        <v>716</v>
      </c>
      <c r="I71" s="88"/>
      <c r="J71" s="88" t="s">
        <v>398</v>
      </c>
      <c r="K71" s="83" t="s">
        <v>717</v>
      </c>
      <c r="L71" s="88" t="s">
        <v>700</v>
      </c>
      <c r="M71" s="83" t="s">
        <v>718</v>
      </c>
      <c r="N71" s="206" t="str">
        <f>VLOOKUP($A71,'CCRA3 Risks'!$A:$R,2,FALSE)</f>
        <v xml:space="preserve">H6 Risks and opportunities from summer and winter household energy demand 
(a) Opportunity - winter </v>
      </c>
      <c r="O71" s="206" t="str">
        <f>VLOOKUP($A71,'CCRA3 Risks'!$A:$R,3,FALSE)</f>
        <v>Yes</v>
      </c>
      <c r="P71" s="207">
        <f>VLOOKUP($A71,'CCRA3 Risks'!$A:$R,4,FALSE)</f>
        <v>5</v>
      </c>
      <c r="Q71" s="206" t="str">
        <f>VLOOKUP($A71,'CCRA3 Risks'!$A:$R,7,FALSE)</f>
        <v>England</v>
      </c>
      <c r="R71" s="206" t="str">
        <f>VLOOKUP($A71,'CCRA3 Risks'!$A:$R,8,FALSE)</f>
        <v>Medium</v>
      </c>
      <c r="S71" s="206" t="str">
        <f>VLOOKUP($A71,'CCRA3 Risks'!$A:$R,9,FALSE)</f>
        <v>High</v>
      </c>
      <c r="T71" s="206" t="str">
        <f>VLOOKUP($A71,'CCRA3 Risks'!$A:$R,10,FALSE)</f>
        <v>High</v>
      </c>
      <c r="U71" s="206" t="str">
        <f>VLOOKUP($A71,'CCRA3 Risks'!$A:$R,11,FALSE)</f>
        <v>High</v>
      </c>
      <c r="V71" s="206" t="str">
        <f>VLOOKUP($A71,'CCRA3 Risks'!$A:$R,12,FALSE)</f>
        <v>High</v>
      </c>
      <c r="W71" s="206" t="str">
        <f>VLOOKUP($A71,'CCRA3 Risks'!$A:$R,13,FALSE)</f>
        <v>No</v>
      </c>
      <c r="X71" s="206" t="str">
        <f>VLOOKUP($A71,'CCRA3 Risks'!$A:$R,14,FALSE)</f>
        <v>More action needed</v>
      </c>
      <c r="Y71" s="206" t="str">
        <f>VLOOKUP($A71,'CCRA3 Risks'!$A:$R,15,FALSE)</f>
        <v>More action needed</v>
      </c>
      <c r="Z71" s="206" t="str">
        <f>VLOOKUP($A71,'CCRA3 Risks'!$A:$R,16,FALSE)</f>
        <v>N/A</v>
      </c>
      <c r="AA71" s="206" t="str">
        <f>VLOOKUP($A71,'CCRA3 Risks'!$A:$R,17,FALSE)</f>
        <v>N/A</v>
      </c>
      <c r="AB71" s="206" t="str">
        <f>VLOOKUP($A71,'CCRA3 Risks'!$A:$R,18,FALSE)</f>
        <v>High (Net Zero)</v>
      </c>
      <c r="AC71" s="202">
        <f>VLOOKUP($A71,'CCRA3 Risks'!$A:$AG,19,FALSE)</f>
        <v>0</v>
      </c>
      <c r="AD71" s="123">
        <f>VLOOKUP($A71,'CCRA3 Risks'!$A:$AG,20,FALSE)</f>
        <v>0</v>
      </c>
      <c r="AE71" s="123">
        <f>VLOOKUP($A71,'CCRA3 Risks'!$A:$AG,21,FALSE)</f>
        <v>0</v>
      </c>
      <c r="AF71" s="123">
        <f>VLOOKUP($A71,'CCRA3 Risks'!$A:$AG,22,FALSE)</f>
        <v>0</v>
      </c>
      <c r="AG71" s="123" t="str">
        <f>VLOOKUP($A71,'CCRA3 Risks'!$A:$AG,23,FALSE)</f>
        <v>Y</v>
      </c>
      <c r="AH71" s="123">
        <f>VLOOKUP($A71,'CCRA3 Risks'!$A:$AG,24,FALSE)</f>
        <v>0</v>
      </c>
      <c r="AI71" s="123">
        <f>VLOOKUP($A71,'CCRA3 Risks'!$A:$AG,25,FALSE)</f>
        <v>0</v>
      </c>
      <c r="AJ71" s="123">
        <f>VLOOKUP($A71,'CCRA3 Risks'!$A:$AG,26,FALSE)</f>
        <v>0</v>
      </c>
      <c r="AK71" s="123" t="str">
        <f>VLOOKUP($A71,'CCRA3 Risks'!$A:$AG,27,FALSE)</f>
        <v>Y</v>
      </c>
      <c r="AL71" s="123">
        <f>VLOOKUP($A71,'CCRA3 Risks'!$A:$AG,28,FALSE)</f>
        <v>0</v>
      </c>
      <c r="AM71" s="123">
        <f>VLOOKUP($A71,'CCRA3 Risks'!$A:$AG,29,FALSE)</f>
        <v>0</v>
      </c>
      <c r="AN71" s="123">
        <f>VLOOKUP($A71,'CCRA3 Risks'!$A:$AG,30,FALSE)</f>
        <v>0</v>
      </c>
      <c r="AO71" s="123">
        <f>VLOOKUP($A71,'CCRA3 Risks'!$A:$AG,31,FALSE)</f>
        <v>0</v>
      </c>
      <c r="AP71" s="123">
        <f>VLOOKUP($A71,'CCRA3 Risks'!$A:$AG,32,FALSE)</f>
        <v>0</v>
      </c>
      <c r="AQ71" s="123">
        <f>VLOOKUP($A71,'CCRA3 Risks'!$A:$AG,33,FALSE)</f>
        <v>0</v>
      </c>
    </row>
    <row r="72" spans="1:43" ht="63.75" x14ac:dyDescent="0.25">
      <c r="A72" s="88" t="s">
        <v>241</v>
      </c>
      <c r="B72" s="88" t="s">
        <v>719</v>
      </c>
      <c r="C72" s="83" t="s">
        <v>720</v>
      </c>
      <c r="D72" s="83" t="s">
        <v>461</v>
      </c>
      <c r="E72" s="88" t="s">
        <v>67</v>
      </c>
      <c r="F72" s="83" t="s">
        <v>421</v>
      </c>
      <c r="G72" s="83" t="s">
        <v>30</v>
      </c>
      <c r="H72" s="83" t="s">
        <v>721</v>
      </c>
      <c r="I72" s="88"/>
      <c r="J72" s="88" t="s">
        <v>398</v>
      </c>
      <c r="K72" s="83" t="s">
        <v>722</v>
      </c>
      <c r="L72" s="88" t="s">
        <v>700</v>
      </c>
      <c r="M72" s="83" t="s">
        <v>723</v>
      </c>
      <c r="N72" s="206" t="str">
        <f>VLOOKUP($A72,'CCRA3 Risks'!$A:$R,2,FALSE)</f>
        <v xml:space="preserve">H6 Risks and opportunities from summer and winter household energy demand 
(a) Opportunity - winter </v>
      </c>
      <c r="O72" s="206" t="str">
        <f>VLOOKUP($A72,'CCRA3 Risks'!$A:$R,3,FALSE)</f>
        <v>Yes</v>
      </c>
      <c r="P72" s="207">
        <f>VLOOKUP($A72,'CCRA3 Risks'!$A:$R,4,FALSE)</f>
        <v>5</v>
      </c>
      <c r="Q72" s="206" t="str">
        <f>VLOOKUP($A72,'CCRA3 Risks'!$A:$R,7,FALSE)</f>
        <v>England</v>
      </c>
      <c r="R72" s="206" t="str">
        <f>VLOOKUP($A72,'CCRA3 Risks'!$A:$R,8,FALSE)</f>
        <v>Medium</v>
      </c>
      <c r="S72" s="206" t="str">
        <f>VLOOKUP($A72,'CCRA3 Risks'!$A:$R,9,FALSE)</f>
        <v>High</v>
      </c>
      <c r="T72" s="206" t="str">
        <f>VLOOKUP($A72,'CCRA3 Risks'!$A:$R,10,FALSE)</f>
        <v>High</v>
      </c>
      <c r="U72" s="206" t="str">
        <f>VLOOKUP($A72,'CCRA3 Risks'!$A:$R,11,FALSE)</f>
        <v>High</v>
      </c>
      <c r="V72" s="206" t="str">
        <f>VLOOKUP($A72,'CCRA3 Risks'!$A:$R,12,FALSE)</f>
        <v>High</v>
      </c>
      <c r="W72" s="206" t="str">
        <f>VLOOKUP($A72,'CCRA3 Risks'!$A:$R,13,FALSE)</f>
        <v>No</v>
      </c>
      <c r="X72" s="206" t="str">
        <f>VLOOKUP($A72,'CCRA3 Risks'!$A:$R,14,FALSE)</f>
        <v>More action needed</v>
      </c>
      <c r="Y72" s="206" t="str">
        <f>VLOOKUP($A72,'CCRA3 Risks'!$A:$R,15,FALSE)</f>
        <v>More action needed</v>
      </c>
      <c r="Z72" s="206" t="str">
        <f>VLOOKUP($A72,'CCRA3 Risks'!$A:$R,16,FALSE)</f>
        <v>N/A</v>
      </c>
      <c r="AA72" s="206" t="str">
        <f>VLOOKUP($A72,'CCRA3 Risks'!$A:$R,17,FALSE)</f>
        <v>N/A</v>
      </c>
      <c r="AB72" s="206" t="str">
        <f>VLOOKUP($A72,'CCRA3 Risks'!$A:$R,18,FALSE)</f>
        <v>High (Net Zero)</v>
      </c>
      <c r="AC72" s="202">
        <f>VLOOKUP($A72,'CCRA3 Risks'!$A:$AG,19,FALSE)</f>
        <v>0</v>
      </c>
      <c r="AD72" s="123">
        <f>VLOOKUP($A72,'CCRA3 Risks'!$A:$AG,20,FALSE)</f>
        <v>0</v>
      </c>
      <c r="AE72" s="123">
        <f>VLOOKUP($A72,'CCRA3 Risks'!$A:$AG,21,FALSE)</f>
        <v>0</v>
      </c>
      <c r="AF72" s="123">
        <f>VLOOKUP($A72,'CCRA3 Risks'!$A:$AG,22,FALSE)</f>
        <v>0</v>
      </c>
      <c r="AG72" s="123" t="str">
        <f>VLOOKUP($A72,'CCRA3 Risks'!$A:$AG,23,FALSE)</f>
        <v>Y</v>
      </c>
      <c r="AH72" s="123">
        <f>VLOOKUP($A72,'CCRA3 Risks'!$A:$AG,24,FALSE)</f>
        <v>0</v>
      </c>
      <c r="AI72" s="123">
        <f>VLOOKUP($A72,'CCRA3 Risks'!$A:$AG,25,FALSE)</f>
        <v>0</v>
      </c>
      <c r="AJ72" s="123">
        <f>VLOOKUP($A72,'CCRA3 Risks'!$A:$AG,26,FALSE)</f>
        <v>0</v>
      </c>
      <c r="AK72" s="123" t="str">
        <f>VLOOKUP($A72,'CCRA3 Risks'!$A:$AG,27,FALSE)</f>
        <v>Y</v>
      </c>
      <c r="AL72" s="123">
        <f>VLOOKUP($A72,'CCRA3 Risks'!$A:$AG,28,FALSE)</f>
        <v>0</v>
      </c>
      <c r="AM72" s="123">
        <f>VLOOKUP($A72,'CCRA3 Risks'!$A:$AG,29,FALSE)</f>
        <v>0</v>
      </c>
      <c r="AN72" s="123">
        <f>VLOOKUP($A72,'CCRA3 Risks'!$A:$AG,30,FALSE)</f>
        <v>0</v>
      </c>
      <c r="AO72" s="123">
        <f>VLOOKUP($A72,'CCRA3 Risks'!$A:$AG,31,FALSE)</f>
        <v>0</v>
      </c>
      <c r="AP72" s="123">
        <f>VLOOKUP($A72,'CCRA3 Risks'!$A:$AG,32,FALSE)</f>
        <v>0</v>
      </c>
      <c r="AQ72" s="123">
        <f>VLOOKUP($A72,'CCRA3 Risks'!$A:$AG,33,FALSE)</f>
        <v>0</v>
      </c>
    </row>
    <row r="73" spans="1:43" ht="114.75" x14ac:dyDescent="0.25">
      <c r="A73" s="88" t="s">
        <v>241</v>
      </c>
      <c r="B73" s="88" t="s">
        <v>724</v>
      </c>
      <c r="C73" s="83" t="s">
        <v>725</v>
      </c>
      <c r="D73" s="83" t="s">
        <v>461</v>
      </c>
      <c r="E73" s="88" t="s">
        <v>67</v>
      </c>
      <c r="F73" s="83" t="s">
        <v>396</v>
      </c>
      <c r="G73" s="83" t="s">
        <v>30</v>
      </c>
      <c r="H73" s="83" t="s">
        <v>726</v>
      </c>
      <c r="I73" s="88"/>
      <c r="J73" s="88" t="s">
        <v>398</v>
      </c>
      <c r="K73" s="83" t="s">
        <v>727</v>
      </c>
      <c r="L73" s="88" t="s">
        <v>700</v>
      </c>
      <c r="M73" s="88" t="s">
        <v>728</v>
      </c>
      <c r="N73" s="206" t="str">
        <f>VLOOKUP($A73,'CCRA3 Risks'!$A:$R,2,FALSE)</f>
        <v xml:space="preserve">H6 Risks and opportunities from summer and winter household energy demand 
(a) Opportunity - winter </v>
      </c>
      <c r="O73" s="206" t="str">
        <f>VLOOKUP($A73,'CCRA3 Risks'!$A:$R,3,FALSE)</f>
        <v>Yes</v>
      </c>
      <c r="P73" s="207">
        <f>VLOOKUP($A73,'CCRA3 Risks'!$A:$R,4,FALSE)</f>
        <v>5</v>
      </c>
      <c r="Q73" s="206" t="str">
        <f>VLOOKUP($A73,'CCRA3 Risks'!$A:$R,7,FALSE)</f>
        <v>England</v>
      </c>
      <c r="R73" s="206" t="str">
        <f>VLOOKUP($A73,'CCRA3 Risks'!$A:$R,8,FALSE)</f>
        <v>Medium</v>
      </c>
      <c r="S73" s="206" t="str">
        <f>VLOOKUP($A73,'CCRA3 Risks'!$A:$R,9,FALSE)</f>
        <v>High</v>
      </c>
      <c r="T73" s="206" t="str">
        <f>VLOOKUP($A73,'CCRA3 Risks'!$A:$R,10,FALSE)</f>
        <v>High</v>
      </c>
      <c r="U73" s="206" t="str">
        <f>VLOOKUP($A73,'CCRA3 Risks'!$A:$R,11,FALSE)</f>
        <v>High</v>
      </c>
      <c r="V73" s="206" t="str">
        <f>VLOOKUP($A73,'CCRA3 Risks'!$A:$R,12,FALSE)</f>
        <v>High</v>
      </c>
      <c r="W73" s="206" t="str">
        <f>VLOOKUP($A73,'CCRA3 Risks'!$A:$R,13,FALSE)</f>
        <v>No</v>
      </c>
      <c r="X73" s="206" t="str">
        <f>VLOOKUP($A73,'CCRA3 Risks'!$A:$R,14,FALSE)</f>
        <v>More action needed</v>
      </c>
      <c r="Y73" s="206" t="str">
        <f>VLOOKUP($A73,'CCRA3 Risks'!$A:$R,15,FALSE)</f>
        <v>More action needed</v>
      </c>
      <c r="Z73" s="206" t="str">
        <f>VLOOKUP($A73,'CCRA3 Risks'!$A:$R,16,FALSE)</f>
        <v>N/A</v>
      </c>
      <c r="AA73" s="206" t="str">
        <f>VLOOKUP($A73,'CCRA3 Risks'!$A:$R,17,FALSE)</f>
        <v>N/A</v>
      </c>
      <c r="AB73" s="206" t="str">
        <f>VLOOKUP($A73,'CCRA3 Risks'!$A:$R,18,FALSE)</f>
        <v>High (Net Zero)</v>
      </c>
      <c r="AC73" s="202">
        <f>VLOOKUP($A73,'CCRA3 Risks'!$A:$AG,19,FALSE)</f>
        <v>0</v>
      </c>
      <c r="AD73" s="123">
        <f>VLOOKUP($A73,'CCRA3 Risks'!$A:$AG,20,FALSE)</f>
        <v>0</v>
      </c>
      <c r="AE73" s="123">
        <f>VLOOKUP($A73,'CCRA3 Risks'!$A:$AG,21,FALSE)</f>
        <v>0</v>
      </c>
      <c r="AF73" s="123">
        <f>VLOOKUP($A73,'CCRA3 Risks'!$A:$AG,22,FALSE)</f>
        <v>0</v>
      </c>
      <c r="AG73" s="123" t="str">
        <f>VLOOKUP($A73,'CCRA3 Risks'!$A:$AG,23,FALSE)</f>
        <v>Y</v>
      </c>
      <c r="AH73" s="123">
        <f>VLOOKUP($A73,'CCRA3 Risks'!$A:$AG,24,FALSE)</f>
        <v>0</v>
      </c>
      <c r="AI73" s="123">
        <f>VLOOKUP($A73,'CCRA3 Risks'!$A:$AG,25,FALSE)</f>
        <v>0</v>
      </c>
      <c r="AJ73" s="123">
        <f>VLOOKUP($A73,'CCRA3 Risks'!$A:$AG,26,FALSE)</f>
        <v>0</v>
      </c>
      <c r="AK73" s="123" t="str">
        <f>VLOOKUP($A73,'CCRA3 Risks'!$A:$AG,27,FALSE)</f>
        <v>Y</v>
      </c>
      <c r="AL73" s="123">
        <f>VLOOKUP($A73,'CCRA3 Risks'!$A:$AG,28,FALSE)</f>
        <v>0</v>
      </c>
      <c r="AM73" s="123">
        <f>VLOOKUP($A73,'CCRA3 Risks'!$A:$AG,29,FALSE)</f>
        <v>0</v>
      </c>
      <c r="AN73" s="123">
        <f>VLOOKUP($A73,'CCRA3 Risks'!$A:$AG,30,FALSE)</f>
        <v>0</v>
      </c>
      <c r="AO73" s="123">
        <f>VLOOKUP($A73,'CCRA3 Risks'!$A:$AG,31,FALSE)</f>
        <v>0</v>
      </c>
      <c r="AP73" s="123">
        <f>VLOOKUP($A73,'CCRA3 Risks'!$A:$AG,32,FALSE)</f>
        <v>0</v>
      </c>
      <c r="AQ73" s="123">
        <f>VLOOKUP($A73,'CCRA3 Risks'!$A:$AG,33,FALSE)</f>
        <v>0</v>
      </c>
    </row>
    <row r="74" spans="1:43" ht="51" x14ac:dyDescent="0.25">
      <c r="A74" s="88" t="s">
        <v>243</v>
      </c>
      <c r="B74" s="88" t="s">
        <v>729</v>
      </c>
      <c r="C74" s="83" t="s">
        <v>730</v>
      </c>
      <c r="D74" s="83" t="s">
        <v>403</v>
      </c>
      <c r="E74" s="88" t="s">
        <v>67</v>
      </c>
      <c r="F74" s="83" t="s">
        <v>396</v>
      </c>
      <c r="G74" s="83" t="s">
        <v>30</v>
      </c>
      <c r="H74" s="83" t="s">
        <v>731</v>
      </c>
      <c r="I74" s="88"/>
      <c r="J74" s="88" t="s">
        <v>398</v>
      </c>
      <c r="K74" s="83" t="s">
        <v>732</v>
      </c>
      <c r="L74" s="88" t="s">
        <v>480</v>
      </c>
      <c r="M74" s="88" t="s">
        <v>480</v>
      </c>
      <c r="N74" s="206" t="str">
        <f>VLOOKUP($A74,'CCRA3 Risks'!$A:$R,2,FALSE)</f>
        <v>H7 Risks to health and wellbeing from changes in air quality</v>
      </c>
      <c r="O74" s="206" t="str">
        <f>VLOOKUP($A74,'CCRA3 Risks'!$A:$R,3,FALSE)</f>
        <v>No</v>
      </c>
      <c r="P74" s="207">
        <f>VLOOKUP($A74,'CCRA3 Risks'!$A:$R,4,FALSE)</f>
        <v>5</v>
      </c>
      <c r="Q74" s="206" t="str">
        <f>VLOOKUP($A74,'CCRA3 Risks'!$A:$R,7,FALSE)</f>
        <v>England</v>
      </c>
      <c r="R74" s="206" t="str">
        <f>VLOOKUP($A74,'CCRA3 Risks'!$A:$R,8,FALSE)</f>
        <v>High</v>
      </c>
      <c r="S74" s="206" t="str">
        <f>VLOOKUP($A74,'CCRA3 Risks'!$A:$R,9,FALSE)</f>
        <v>Medium</v>
      </c>
      <c r="T74" s="206" t="str">
        <f>VLOOKUP($A74,'CCRA3 Risks'!$A:$R,10,FALSE)</f>
        <v>Medium</v>
      </c>
      <c r="U74" s="206" t="str">
        <f>VLOOKUP($A74,'CCRA3 Risks'!$A:$R,11,FALSE)</f>
        <v>Medium</v>
      </c>
      <c r="V74" s="206" t="str">
        <f>VLOOKUP($A74,'CCRA3 Risks'!$A:$R,12,FALSE)</f>
        <v>Medium</v>
      </c>
      <c r="W74" s="206" t="str">
        <f>VLOOKUP($A74,'CCRA3 Risks'!$A:$R,13,FALSE)</f>
        <v>Partially</v>
      </c>
      <c r="X74" s="206" t="str">
        <f>VLOOKUP($A74,'CCRA3 Risks'!$A:$R,14,FALSE)</f>
        <v>Further investigation</v>
      </c>
      <c r="Y74" s="206" t="str">
        <f>VLOOKUP($A74,'CCRA3 Risks'!$A:$R,15,FALSE)</f>
        <v>Further Investigation</v>
      </c>
      <c r="Z74" s="206" t="str">
        <f>VLOOKUP($A74,'CCRA3 Risks'!$A:$R,16,FALSE)</f>
        <v>Low (3)</v>
      </c>
      <c r="AA74" s="206" t="str">
        <f>VLOOKUP($A74,'CCRA3 Risks'!$A:$R,17,FALSE)</f>
        <v>Medium (Amber)</v>
      </c>
      <c r="AB74" s="206" t="str">
        <f>VLOOKUP($A74,'CCRA3 Risks'!$A:$R,18,FALSE)</f>
        <v>Low (no key policies in the next two years)</v>
      </c>
      <c r="AC74" s="202">
        <f>VLOOKUP($A74,'CCRA3 Risks'!$A:$AG,19,FALSE)</f>
        <v>0</v>
      </c>
      <c r="AD74" s="123">
        <f>VLOOKUP($A74,'CCRA3 Risks'!$A:$AG,20,FALSE)</f>
        <v>0</v>
      </c>
      <c r="AE74" s="123">
        <f>VLOOKUP($A74,'CCRA3 Risks'!$A:$AG,21,FALSE)</f>
        <v>0</v>
      </c>
      <c r="AF74" s="123">
        <f>VLOOKUP($A74,'CCRA3 Risks'!$A:$AG,22,FALSE)</f>
        <v>0</v>
      </c>
      <c r="AG74" s="123">
        <f>VLOOKUP($A74,'CCRA3 Risks'!$A:$AG,23,FALSE)</f>
        <v>0</v>
      </c>
      <c r="AH74" s="123">
        <f>VLOOKUP($A74,'CCRA3 Risks'!$A:$AG,24,FALSE)</f>
        <v>0</v>
      </c>
      <c r="AI74" s="123">
        <f>VLOOKUP($A74,'CCRA3 Risks'!$A:$AG,25,FALSE)</f>
        <v>0</v>
      </c>
      <c r="AJ74" s="123">
        <f>VLOOKUP($A74,'CCRA3 Risks'!$A:$AG,26,FALSE)</f>
        <v>0</v>
      </c>
      <c r="AK74" s="123">
        <f>VLOOKUP($A74,'CCRA3 Risks'!$A:$AG,27,FALSE)</f>
        <v>0</v>
      </c>
      <c r="AL74" s="123" t="str">
        <f>VLOOKUP($A74,'CCRA3 Risks'!$A:$AG,28,FALSE)</f>
        <v>Y</v>
      </c>
      <c r="AM74" s="123">
        <f>VLOOKUP($A74,'CCRA3 Risks'!$A:$AG,29,FALSE)</f>
        <v>0</v>
      </c>
      <c r="AN74" s="123">
        <f>VLOOKUP($A74,'CCRA3 Risks'!$A:$AG,30,FALSE)</f>
        <v>0</v>
      </c>
      <c r="AO74" s="123">
        <f>VLOOKUP($A74,'CCRA3 Risks'!$A:$AG,31,FALSE)</f>
        <v>0</v>
      </c>
      <c r="AP74" s="123">
        <f>VLOOKUP($A74,'CCRA3 Risks'!$A:$AG,32,FALSE)</f>
        <v>0</v>
      </c>
      <c r="AQ74" s="123">
        <f>VLOOKUP($A74,'CCRA3 Risks'!$A:$AG,33,FALSE)</f>
        <v>0</v>
      </c>
    </row>
    <row r="75" spans="1:43" ht="89.25" x14ac:dyDescent="0.25">
      <c r="A75" s="88" t="s">
        <v>243</v>
      </c>
      <c r="B75" s="88" t="s">
        <v>733</v>
      </c>
      <c r="C75" s="83" t="s">
        <v>734</v>
      </c>
      <c r="D75" s="83" t="s">
        <v>461</v>
      </c>
      <c r="E75" s="88" t="s">
        <v>67</v>
      </c>
      <c r="F75" s="83" t="s">
        <v>33</v>
      </c>
      <c r="G75" s="83" t="s">
        <v>20</v>
      </c>
      <c r="H75" s="83" t="s">
        <v>735</v>
      </c>
      <c r="I75" s="88"/>
      <c r="J75" s="88" t="s">
        <v>398</v>
      </c>
      <c r="K75" s="83" t="s">
        <v>736</v>
      </c>
      <c r="L75" s="88" t="s">
        <v>480</v>
      </c>
      <c r="M75" s="88" t="s">
        <v>35</v>
      </c>
      <c r="N75" s="206" t="str">
        <f>VLOOKUP($A75,'CCRA3 Risks'!$A:$R,2,FALSE)</f>
        <v>H7 Risks to health and wellbeing from changes in air quality</v>
      </c>
      <c r="O75" s="206" t="str">
        <f>VLOOKUP($A75,'CCRA3 Risks'!$A:$R,3,FALSE)</f>
        <v>No</v>
      </c>
      <c r="P75" s="207">
        <f>VLOOKUP($A75,'CCRA3 Risks'!$A:$R,4,FALSE)</f>
        <v>5</v>
      </c>
      <c r="Q75" s="206" t="str">
        <f>VLOOKUP($A75,'CCRA3 Risks'!$A:$R,7,FALSE)</f>
        <v>England</v>
      </c>
      <c r="R75" s="206" t="str">
        <f>VLOOKUP($A75,'CCRA3 Risks'!$A:$R,8,FALSE)</f>
        <v>High</v>
      </c>
      <c r="S75" s="206" t="str">
        <f>VLOOKUP($A75,'CCRA3 Risks'!$A:$R,9,FALSE)</f>
        <v>Medium</v>
      </c>
      <c r="T75" s="206" t="str">
        <f>VLOOKUP($A75,'CCRA3 Risks'!$A:$R,10,FALSE)</f>
        <v>Medium</v>
      </c>
      <c r="U75" s="206" t="str">
        <f>VLOOKUP($A75,'CCRA3 Risks'!$A:$R,11,FALSE)</f>
        <v>Medium</v>
      </c>
      <c r="V75" s="206" t="str">
        <f>VLOOKUP($A75,'CCRA3 Risks'!$A:$R,12,FALSE)</f>
        <v>Medium</v>
      </c>
      <c r="W75" s="206" t="str">
        <f>VLOOKUP($A75,'CCRA3 Risks'!$A:$R,13,FALSE)</f>
        <v>Partially</v>
      </c>
      <c r="X75" s="206" t="str">
        <f>VLOOKUP($A75,'CCRA3 Risks'!$A:$R,14,FALSE)</f>
        <v>Further investigation</v>
      </c>
      <c r="Y75" s="206" t="str">
        <f>VLOOKUP($A75,'CCRA3 Risks'!$A:$R,15,FALSE)</f>
        <v>Further Investigation</v>
      </c>
      <c r="Z75" s="206" t="str">
        <f>VLOOKUP($A75,'CCRA3 Risks'!$A:$R,16,FALSE)</f>
        <v>Low (3)</v>
      </c>
      <c r="AA75" s="206" t="str">
        <f>VLOOKUP($A75,'CCRA3 Risks'!$A:$R,17,FALSE)</f>
        <v>Medium (Amber)</v>
      </c>
      <c r="AB75" s="206" t="str">
        <f>VLOOKUP($A75,'CCRA3 Risks'!$A:$R,18,FALSE)</f>
        <v>Low (no key policies in the next two years)</v>
      </c>
      <c r="AC75" s="202">
        <f>VLOOKUP($A75,'CCRA3 Risks'!$A:$AG,19,FALSE)</f>
        <v>0</v>
      </c>
      <c r="AD75" s="123">
        <f>VLOOKUP($A75,'CCRA3 Risks'!$A:$AG,20,FALSE)</f>
        <v>0</v>
      </c>
      <c r="AE75" s="123">
        <f>VLOOKUP($A75,'CCRA3 Risks'!$A:$AG,21,FALSE)</f>
        <v>0</v>
      </c>
      <c r="AF75" s="123">
        <f>VLOOKUP($A75,'CCRA3 Risks'!$A:$AG,22,FALSE)</f>
        <v>0</v>
      </c>
      <c r="AG75" s="123">
        <f>VLOOKUP($A75,'CCRA3 Risks'!$A:$AG,23,FALSE)</f>
        <v>0</v>
      </c>
      <c r="AH75" s="123">
        <f>VLOOKUP($A75,'CCRA3 Risks'!$A:$AG,24,FALSE)</f>
        <v>0</v>
      </c>
      <c r="AI75" s="123">
        <f>VLOOKUP($A75,'CCRA3 Risks'!$A:$AG,25,FALSE)</f>
        <v>0</v>
      </c>
      <c r="AJ75" s="123">
        <f>VLOOKUP($A75,'CCRA3 Risks'!$A:$AG,26,FALSE)</f>
        <v>0</v>
      </c>
      <c r="AK75" s="123">
        <f>VLOOKUP($A75,'CCRA3 Risks'!$A:$AG,27,FALSE)</f>
        <v>0</v>
      </c>
      <c r="AL75" s="123" t="str">
        <f>VLOOKUP($A75,'CCRA3 Risks'!$A:$AG,28,FALSE)</f>
        <v>Y</v>
      </c>
      <c r="AM75" s="123">
        <f>VLOOKUP($A75,'CCRA3 Risks'!$A:$AG,29,FALSE)</f>
        <v>0</v>
      </c>
      <c r="AN75" s="123">
        <f>VLOOKUP($A75,'CCRA3 Risks'!$A:$AG,30,FALSE)</f>
        <v>0</v>
      </c>
      <c r="AO75" s="123">
        <f>VLOOKUP($A75,'CCRA3 Risks'!$A:$AG,31,FALSE)</f>
        <v>0</v>
      </c>
      <c r="AP75" s="123">
        <f>VLOOKUP($A75,'CCRA3 Risks'!$A:$AG,32,FALSE)</f>
        <v>0</v>
      </c>
      <c r="AQ75" s="123">
        <f>VLOOKUP($A75,'CCRA3 Risks'!$A:$AG,33,FALSE)</f>
        <v>0</v>
      </c>
    </row>
    <row r="76" spans="1:43" ht="38.25" x14ac:dyDescent="0.25">
      <c r="A76" s="88" t="s">
        <v>243</v>
      </c>
      <c r="B76" s="88" t="s">
        <v>737</v>
      </c>
      <c r="C76" s="83" t="s">
        <v>738</v>
      </c>
      <c r="D76" s="83" t="s">
        <v>461</v>
      </c>
      <c r="E76" s="88" t="s">
        <v>67</v>
      </c>
      <c r="F76" s="83" t="s">
        <v>33</v>
      </c>
      <c r="G76" s="83" t="s">
        <v>20</v>
      </c>
      <c r="H76" s="83" t="s">
        <v>739</v>
      </c>
      <c r="I76" s="88"/>
      <c r="J76" s="88" t="s">
        <v>405</v>
      </c>
      <c r="K76" s="83" t="s">
        <v>740</v>
      </c>
      <c r="L76" s="88" t="s">
        <v>480</v>
      </c>
      <c r="M76" s="88" t="s">
        <v>480</v>
      </c>
      <c r="N76" s="206" t="str">
        <f>VLOOKUP($A76,'CCRA3 Risks'!$A:$R,2,FALSE)</f>
        <v>H7 Risks to health and wellbeing from changes in air quality</v>
      </c>
      <c r="O76" s="206" t="str">
        <f>VLOOKUP($A76,'CCRA3 Risks'!$A:$R,3,FALSE)</f>
        <v>No</v>
      </c>
      <c r="P76" s="207">
        <f>VLOOKUP($A76,'CCRA3 Risks'!$A:$R,4,FALSE)</f>
        <v>5</v>
      </c>
      <c r="Q76" s="206" t="str">
        <f>VLOOKUP($A76,'CCRA3 Risks'!$A:$R,7,FALSE)</f>
        <v>England</v>
      </c>
      <c r="R76" s="206" t="str">
        <f>VLOOKUP($A76,'CCRA3 Risks'!$A:$R,8,FALSE)</f>
        <v>High</v>
      </c>
      <c r="S76" s="206" t="str">
        <f>VLOOKUP($A76,'CCRA3 Risks'!$A:$R,9,FALSE)</f>
        <v>Medium</v>
      </c>
      <c r="T76" s="206" t="str">
        <f>VLOOKUP($A76,'CCRA3 Risks'!$A:$R,10,FALSE)</f>
        <v>Medium</v>
      </c>
      <c r="U76" s="206" t="str">
        <f>VLOOKUP($A76,'CCRA3 Risks'!$A:$R,11,FALSE)</f>
        <v>Medium</v>
      </c>
      <c r="V76" s="206" t="str">
        <f>VLOOKUP($A76,'CCRA3 Risks'!$A:$R,12,FALSE)</f>
        <v>Medium</v>
      </c>
      <c r="W76" s="206" t="str">
        <f>VLOOKUP($A76,'CCRA3 Risks'!$A:$R,13,FALSE)</f>
        <v>Partially</v>
      </c>
      <c r="X76" s="206" t="str">
        <f>VLOOKUP($A76,'CCRA3 Risks'!$A:$R,14,FALSE)</f>
        <v>Further investigation</v>
      </c>
      <c r="Y76" s="206" t="str">
        <f>VLOOKUP($A76,'CCRA3 Risks'!$A:$R,15,FALSE)</f>
        <v>Further Investigation</v>
      </c>
      <c r="Z76" s="206" t="str">
        <f>VLOOKUP($A76,'CCRA3 Risks'!$A:$R,16,FALSE)</f>
        <v>Low (3)</v>
      </c>
      <c r="AA76" s="206" t="str">
        <f>VLOOKUP($A76,'CCRA3 Risks'!$A:$R,17,FALSE)</f>
        <v>Medium (Amber)</v>
      </c>
      <c r="AB76" s="206" t="str">
        <f>VLOOKUP($A76,'CCRA3 Risks'!$A:$R,18,FALSE)</f>
        <v>Low (no key policies in the next two years)</v>
      </c>
      <c r="AC76" s="202">
        <f>VLOOKUP($A76,'CCRA3 Risks'!$A:$AG,19,FALSE)</f>
        <v>0</v>
      </c>
      <c r="AD76" s="123">
        <f>VLOOKUP($A76,'CCRA3 Risks'!$A:$AG,20,FALSE)</f>
        <v>0</v>
      </c>
      <c r="AE76" s="123">
        <f>VLOOKUP($A76,'CCRA3 Risks'!$A:$AG,21,FALSE)</f>
        <v>0</v>
      </c>
      <c r="AF76" s="123">
        <f>VLOOKUP($A76,'CCRA3 Risks'!$A:$AG,22,FALSE)</f>
        <v>0</v>
      </c>
      <c r="AG76" s="123">
        <f>VLOOKUP($A76,'CCRA3 Risks'!$A:$AG,23,FALSE)</f>
        <v>0</v>
      </c>
      <c r="AH76" s="123">
        <f>VLOOKUP($A76,'CCRA3 Risks'!$A:$AG,24,FALSE)</f>
        <v>0</v>
      </c>
      <c r="AI76" s="123">
        <f>VLOOKUP($A76,'CCRA3 Risks'!$A:$AG,25,FALSE)</f>
        <v>0</v>
      </c>
      <c r="AJ76" s="123">
        <f>VLOOKUP($A76,'CCRA3 Risks'!$A:$AG,26,FALSE)</f>
        <v>0</v>
      </c>
      <c r="AK76" s="123">
        <f>VLOOKUP($A76,'CCRA3 Risks'!$A:$AG,27,FALSE)</f>
        <v>0</v>
      </c>
      <c r="AL76" s="123" t="str">
        <f>VLOOKUP($A76,'CCRA3 Risks'!$A:$AG,28,FALSE)</f>
        <v>Y</v>
      </c>
      <c r="AM76" s="123">
        <f>VLOOKUP($A76,'CCRA3 Risks'!$A:$AG,29,FALSE)</f>
        <v>0</v>
      </c>
      <c r="AN76" s="123">
        <f>VLOOKUP($A76,'CCRA3 Risks'!$A:$AG,30,FALSE)</f>
        <v>0</v>
      </c>
      <c r="AO76" s="123">
        <f>VLOOKUP($A76,'CCRA3 Risks'!$A:$AG,31,FALSE)</f>
        <v>0</v>
      </c>
      <c r="AP76" s="123">
        <f>VLOOKUP($A76,'CCRA3 Risks'!$A:$AG,32,FALSE)</f>
        <v>0</v>
      </c>
      <c r="AQ76" s="123">
        <f>VLOOKUP($A76,'CCRA3 Risks'!$A:$AG,33,FALSE)</f>
        <v>0</v>
      </c>
    </row>
    <row r="77" spans="1:43" ht="102" x14ac:dyDescent="0.25">
      <c r="A77" s="88" t="s">
        <v>243</v>
      </c>
      <c r="B77" s="88" t="s">
        <v>741</v>
      </c>
      <c r="C77" s="83" t="s">
        <v>742</v>
      </c>
      <c r="D77" s="83" t="s">
        <v>403</v>
      </c>
      <c r="E77" s="88" t="s">
        <v>67</v>
      </c>
      <c r="F77" s="83" t="s">
        <v>396</v>
      </c>
      <c r="G77" s="83" t="s">
        <v>30</v>
      </c>
      <c r="H77" s="83" t="s">
        <v>743</v>
      </c>
      <c r="I77" s="88"/>
      <c r="J77" s="88" t="s">
        <v>398</v>
      </c>
      <c r="K77" s="83" t="s">
        <v>744</v>
      </c>
      <c r="L77" s="88" t="s">
        <v>480</v>
      </c>
      <c r="M77" s="88" t="s">
        <v>700</v>
      </c>
      <c r="N77" s="206" t="str">
        <f>VLOOKUP($A77,'CCRA3 Risks'!$A:$R,2,FALSE)</f>
        <v>H7 Risks to health and wellbeing from changes in air quality</v>
      </c>
      <c r="O77" s="206" t="str">
        <f>VLOOKUP($A77,'CCRA3 Risks'!$A:$R,3,FALSE)</f>
        <v>No</v>
      </c>
      <c r="P77" s="207">
        <f>VLOOKUP($A77,'CCRA3 Risks'!$A:$R,4,FALSE)</f>
        <v>5</v>
      </c>
      <c r="Q77" s="206" t="str">
        <f>VLOOKUP($A77,'CCRA3 Risks'!$A:$R,7,FALSE)</f>
        <v>England</v>
      </c>
      <c r="R77" s="206" t="str">
        <f>VLOOKUP($A77,'CCRA3 Risks'!$A:$R,8,FALSE)</f>
        <v>High</v>
      </c>
      <c r="S77" s="206" t="str">
        <f>VLOOKUP($A77,'CCRA3 Risks'!$A:$R,9,FALSE)</f>
        <v>Medium</v>
      </c>
      <c r="T77" s="206" t="str">
        <f>VLOOKUP($A77,'CCRA3 Risks'!$A:$R,10,FALSE)</f>
        <v>Medium</v>
      </c>
      <c r="U77" s="206" t="str">
        <f>VLOOKUP($A77,'CCRA3 Risks'!$A:$R,11,FALSE)</f>
        <v>Medium</v>
      </c>
      <c r="V77" s="206" t="str">
        <f>VLOOKUP($A77,'CCRA3 Risks'!$A:$R,12,FALSE)</f>
        <v>Medium</v>
      </c>
      <c r="W77" s="206" t="str">
        <f>VLOOKUP($A77,'CCRA3 Risks'!$A:$R,13,FALSE)</f>
        <v>Partially</v>
      </c>
      <c r="X77" s="206" t="str">
        <f>VLOOKUP($A77,'CCRA3 Risks'!$A:$R,14,FALSE)</f>
        <v>Further investigation</v>
      </c>
      <c r="Y77" s="206" t="str">
        <f>VLOOKUP($A77,'CCRA3 Risks'!$A:$R,15,FALSE)</f>
        <v>Further Investigation</v>
      </c>
      <c r="Z77" s="206" t="str">
        <f>VLOOKUP($A77,'CCRA3 Risks'!$A:$R,16,FALSE)</f>
        <v>Low (3)</v>
      </c>
      <c r="AA77" s="206" t="str">
        <f>VLOOKUP($A77,'CCRA3 Risks'!$A:$R,17,FALSE)</f>
        <v>Medium (Amber)</v>
      </c>
      <c r="AB77" s="206" t="str">
        <f>VLOOKUP($A77,'CCRA3 Risks'!$A:$R,18,FALSE)</f>
        <v>Low (no key policies in the next two years)</v>
      </c>
      <c r="AC77" s="202">
        <f>VLOOKUP($A77,'CCRA3 Risks'!$A:$AG,19,FALSE)</f>
        <v>0</v>
      </c>
      <c r="AD77" s="123">
        <f>VLOOKUP($A77,'CCRA3 Risks'!$A:$AG,20,FALSE)</f>
        <v>0</v>
      </c>
      <c r="AE77" s="123">
        <f>VLOOKUP($A77,'CCRA3 Risks'!$A:$AG,21,FALSE)</f>
        <v>0</v>
      </c>
      <c r="AF77" s="123">
        <f>VLOOKUP($A77,'CCRA3 Risks'!$A:$AG,22,FALSE)</f>
        <v>0</v>
      </c>
      <c r="AG77" s="123">
        <f>VLOOKUP($A77,'CCRA3 Risks'!$A:$AG,23,FALSE)</f>
        <v>0</v>
      </c>
      <c r="AH77" s="123">
        <f>VLOOKUP($A77,'CCRA3 Risks'!$A:$AG,24,FALSE)</f>
        <v>0</v>
      </c>
      <c r="AI77" s="123">
        <f>VLOOKUP($A77,'CCRA3 Risks'!$A:$AG,25,FALSE)</f>
        <v>0</v>
      </c>
      <c r="AJ77" s="123">
        <f>VLOOKUP($A77,'CCRA3 Risks'!$A:$AG,26,FALSE)</f>
        <v>0</v>
      </c>
      <c r="AK77" s="123">
        <f>VLOOKUP($A77,'CCRA3 Risks'!$A:$AG,27,FALSE)</f>
        <v>0</v>
      </c>
      <c r="AL77" s="123" t="str">
        <f>VLOOKUP($A77,'CCRA3 Risks'!$A:$AG,28,FALSE)</f>
        <v>Y</v>
      </c>
      <c r="AM77" s="123">
        <f>VLOOKUP($A77,'CCRA3 Risks'!$A:$AG,29,FALSE)</f>
        <v>0</v>
      </c>
      <c r="AN77" s="123">
        <f>VLOOKUP($A77,'CCRA3 Risks'!$A:$AG,30,FALSE)</f>
        <v>0</v>
      </c>
      <c r="AO77" s="123">
        <f>VLOOKUP($A77,'CCRA3 Risks'!$A:$AG,31,FALSE)</f>
        <v>0</v>
      </c>
      <c r="AP77" s="123">
        <f>VLOOKUP($A77,'CCRA3 Risks'!$A:$AG,32,FALSE)</f>
        <v>0</v>
      </c>
      <c r="AQ77" s="123">
        <f>VLOOKUP($A77,'CCRA3 Risks'!$A:$AG,33,FALSE)</f>
        <v>0</v>
      </c>
    </row>
    <row r="78" spans="1:43" ht="89.25" x14ac:dyDescent="0.25">
      <c r="A78" s="88" t="s">
        <v>243</v>
      </c>
      <c r="B78" s="88" t="s">
        <v>745</v>
      </c>
      <c r="C78" s="83" t="s">
        <v>746</v>
      </c>
      <c r="D78" s="83" t="s">
        <v>403</v>
      </c>
      <c r="E78" s="88" t="s">
        <v>67</v>
      </c>
      <c r="F78" s="83" t="s">
        <v>396</v>
      </c>
      <c r="G78" s="83" t="s">
        <v>30</v>
      </c>
      <c r="H78" s="83" t="s">
        <v>747</v>
      </c>
      <c r="I78" s="88"/>
      <c r="J78" s="88" t="s">
        <v>398</v>
      </c>
      <c r="K78" s="203" t="s">
        <v>748</v>
      </c>
      <c r="L78" s="88" t="s">
        <v>480</v>
      </c>
      <c r="M78" s="88" t="s">
        <v>700</v>
      </c>
      <c r="N78" s="206" t="str">
        <f>VLOOKUP($A78,'CCRA3 Risks'!$A:$R,2,FALSE)</f>
        <v>H7 Risks to health and wellbeing from changes in air quality</v>
      </c>
      <c r="O78" s="206" t="str">
        <f>VLOOKUP($A78,'CCRA3 Risks'!$A:$R,3,FALSE)</f>
        <v>No</v>
      </c>
      <c r="P78" s="207">
        <f>VLOOKUP($A78,'CCRA3 Risks'!$A:$R,4,FALSE)</f>
        <v>5</v>
      </c>
      <c r="Q78" s="206" t="str">
        <f>VLOOKUP($A78,'CCRA3 Risks'!$A:$R,7,FALSE)</f>
        <v>England</v>
      </c>
      <c r="R78" s="206" t="str">
        <f>VLOOKUP($A78,'CCRA3 Risks'!$A:$R,8,FALSE)</f>
        <v>High</v>
      </c>
      <c r="S78" s="206" t="str">
        <f>VLOOKUP($A78,'CCRA3 Risks'!$A:$R,9,FALSE)</f>
        <v>Medium</v>
      </c>
      <c r="T78" s="206" t="str">
        <f>VLOOKUP($A78,'CCRA3 Risks'!$A:$R,10,FALSE)</f>
        <v>Medium</v>
      </c>
      <c r="U78" s="206" t="str">
        <f>VLOOKUP($A78,'CCRA3 Risks'!$A:$R,11,FALSE)</f>
        <v>Medium</v>
      </c>
      <c r="V78" s="206" t="str">
        <f>VLOOKUP($A78,'CCRA3 Risks'!$A:$R,12,FALSE)</f>
        <v>Medium</v>
      </c>
      <c r="W78" s="206" t="str">
        <f>VLOOKUP($A78,'CCRA3 Risks'!$A:$R,13,FALSE)</f>
        <v>Partially</v>
      </c>
      <c r="X78" s="206" t="str">
        <f>VLOOKUP($A78,'CCRA3 Risks'!$A:$R,14,FALSE)</f>
        <v>Further investigation</v>
      </c>
      <c r="Y78" s="206" t="str">
        <f>VLOOKUP($A78,'CCRA3 Risks'!$A:$R,15,FALSE)</f>
        <v>Further Investigation</v>
      </c>
      <c r="Z78" s="206" t="str">
        <f>VLOOKUP($A78,'CCRA3 Risks'!$A:$R,16,FALSE)</f>
        <v>Low (3)</v>
      </c>
      <c r="AA78" s="206" t="str">
        <f>VLOOKUP($A78,'CCRA3 Risks'!$A:$R,17,FALSE)</f>
        <v>Medium (Amber)</v>
      </c>
      <c r="AB78" s="206" t="str">
        <f>VLOOKUP($A78,'CCRA3 Risks'!$A:$R,18,FALSE)</f>
        <v>Low (no key policies in the next two years)</v>
      </c>
      <c r="AC78" s="202">
        <f>VLOOKUP($A78,'CCRA3 Risks'!$A:$AG,19,FALSE)</f>
        <v>0</v>
      </c>
      <c r="AD78" s="123">
        <f>VLOOKUP($A78,'CCRA3 Risks'!$A:$AG,20,FALSE)</f>
        <v>0</v>
      </c>
      <c r="AE78" s="123">
        <f>VLOOKUP($A78,'CCRA3 Risks'!$A:$AG,21,FALSE)</f>
        <v>0</v>
      </c>
      <c r="AF78" s="123">
        <f>VLOOKUP($A78,'CCRA3 Risks'!$A:$AG,22,FALSE)</f>
        <v>0</v>
      </c>
      <c r="AG78" s="123">
        <f>VLOOKUP($A78,'CCRA3 Risks'!$A:$AG,23,FALSE)</f>
        <v>0</v>
      </c>
      <c r="AH78" s="123">
        <f>VLOOKUP($A78,'CCRA3 Risks'!$A:$AG,24,FALSE)</f>
        <v>0</v>
      </c>
      <c r="AI78" s="123">
        <f>VLOOKUP($A78,'CCRA3 Risks'!$A:$AG,25,FALSE)</f>
        <v>0</v>
      </c>
      <c r="AJ78" s="123">
        <f>VLOOKUP($A78,'CCRA3 Risks'!$A:$AG,26,FALSE)</f>
        <v>0</v>
      </c>
      <c r="AK78" s="123">
        <f>VLOOKUP($A78,'CCRA3 Risks'!$A:$AG,27,FALSE)</f>
        <v>0</v>
      </c>
      <c r="AL78" s="123" t="str">
        <f>VLOOKUP($A78,'CCRA3 Risks'!$A:$AG,28,FALSE)</f>
        <v>Y</v>
      </c>
      <c r="AM78" s="123">
        <f>VLOOKUP($A78,'CCRA3 Risks'!$A:$AG,29,FALSE)</f>
        <v>0</v>
      </c>
      <c r="AN78" s="123">
        <f>VLOOKUP($A78,'CCRA3 Risks'!$A:$AG,30,FALSE)</f>
        <v>0</v>
      </c>
      <c r="AO78" s="123">
        <f>VLOOKUP($A78,'CCRA3 Risks'!$A:$AG,31,FALSE)</f>
        <v>0</v>
      </c>
      <c r="AP78" s="123">
        <f>VLOOKUP($A78,'CCRA3 Risks'!$A:$AG,32,FALSE)</f>
        <v>0</v>
      </c>
      <c r="AQ78" s="123">
        <f>VLOOKUP($A78,'CCRA3 Risks'!$A:$AG,33,FALSE)</f>
        <v>0</v>
      </c>
    </row>
    <row r="79" spans="1:43" ht="153" x14ac:dyDescent="0.25">
      <c r="A79" s="88" t="s">
        <v>246</v>
      </c>
      <c r="B79" s="88" t="s">
        <v>749</v>
      </c>
      <c r="C79" s="83" t="s">
        <v>750</v>
      </c>
      <c r="D79" s="83" t="s">
        <v>461</v>
      </c>
      <c r="E79" s="88" t="s">
        <v>67</v>
      </c>
      <c r="F79" s="83" t="s">
        <v>396</v>
      </c>
      <c r="G79" s="83" t="s">
        <v>20</v>
      </c>
      <c r="H79" s="83" t="s">
        <v>751</v>
      </c>
      <c r="I79" s="88"/>
      <c r="J79" s="88" t="s">
        <v>405</v>
      </c>
      <c r="K79" s="83" t="s">
        <v>752</v>
      </c>
      <c r="L79" s="88" t="s">
        <v>629</v>
      </c>
      <c r="M79" s="83" t="s">
        <v>753</v>
      </c>
      <c r="N79" s="206" t="str">
        <f>VLOOKUP($A79,'CCRA3 Risks'!$A:$R,2,FALSE)</f>
        <v>H8 Risks to health from vector-borne diseases</v>
      </c>
      <c r="O79" s="206" t="str">
        <f>VLOOKUP($A79,'CCRA3 Risks'!$A:$R,3,FALSE)</f>
        <v>No</v>
      </c>
      <c r="P79" s="207">
        <f>VLOOKUP($A79,'CCRA3 Risks'!$A:$R,4,FALSE)</f>
        <v>5</v>
      </c>
      <c r="Q79" s="206" t="str">
        <f>VLOOKUP($A79,'CCRA3 Risks'!$A:$R,7,FALSE)</f>
        <v>England</v>
      </c>
      <c r="R79" s="206" t="str">
        <f>VLOOKUP($A79,'CCRA3 Risks'!$A:$R,8,FALSE)</f>
        <v>Medium</v>
      </c>
      <c r="S79" s="206" t="str">
        <f>VLOOKUP($A79,'CCRA3 Risks'!$A:$R,9,FALSE)</f>
        <v>Medium</v>
      </c>
      <c r="T79" s="206" t="str">
        <f>VLOOKUP($A79,'CCRA3 Risks'!$A:$R,10,FALSE)</f>
        <v>Medium</v>
      </c>
      <c r="U79" s="206" t="str">
        <f>VLOOKUP($A79,'CCRA3 Risks'!$A:$R,11,FALSE)</f>
        <v>High</v>
      </c>
      <c r="V79" s="206" t="str">
        <f>VLOOKUP($A79,'CCRA3 Risks'!$A:$R,12,FALSE)</f>
        <v>High</v>
      </c>
      <c r="W79" s="206" t="str">
        <f>VLOOKUP($A79,'CCRA3 Risks'!$A:$R,13,FALSE)</f>
        <v>Partially</v>
      </c>
      <c r="X79" s="206" t="str">
        <f>VLOOKUP($A79,'CCRA3 Risks'!$A:$R,14,FALSE)</f>
        <v>More action needed</v>
      </c>
      <c r="Y79" s="206" t="str">
        <f>VLOOKUP($A79,'CCRA3 Risks'!$A:$R,15,FALSE)</f>
        <v>More action needed</v>
      </c>
      <c r="Z79" s="206" t="str">
        <f>VLOOKUP($A79,'CCRA3 Risks'!$A:$R,16,FALSE)</f>
        <v>Low (2)</v>
      </c>
      <c r="AA79" s="206" t="str">
        <f>VLOOKUP($A79,'CCRA3 Risks'!$A:$R,17,FALSE)</f>
        <v>Medium (Amber)</v>
      </c>
      <c r="AB79" s="206" t="str">
        <f>VLOOKUP($A79,'CCRA3 Risks'!$A:$R,18,FALSE)</f>
        <v>Medium (reviews of disease planning may emerge post-Covid, but uncertain)</v>
      </c>
      <c r="AC79" s="202">
        <f>VLOOKUP($A79,'CCRA3 Risks'!$A:$AG,19,FALSE)</f>
        <v>0</v>
      </c>
      <c r="AD79" s="123">
        <f>VLOOKUP($A79,'CCRA3 Risks'!$A:$AG,20,FALSE)</f>
        <v>0</v>
      </c>
      <c r="AE79" s="123">
        <f>VLOOKUP($A79,'CCRA3 Risks'!$A:$AG,21,FALSE)</f>
        <v>0</v>
      </c>
      <c r="AF79" s="123">
        <f>VLOOKUP($A79,'CCRA3 Risks'!$A:$AG,22,FALSE)</f>
        <v>0</v>
      </c>
      <c r="AG79" s="123">
        <f>VLOOKUP($A79,'CCRA3 Risks'!$A:$AG,23,FALSE)</f>
        <v>0</v>
      </c>
      <c r="AH79" s="123">
        <f>VLOOKUP($A79,'CCRA3 Risks'!$A:$AG,24,FALSE)</f>
        <v>0</v>
      </c>
      <c r="AI79" s="123">
        <f>VLOOKUP($A79,'CCRA3 Risks'!$A:$AG,25,FALSE)</f>
        <v>0</v>
      </c>
      <c r="AJ79" s="123">
        <f>VLOOKUP($A79,'CCRA3 Risks'!$A:$AG,26,FALSE)</f>
        <v>0</v>
      </c>
      <c r="AK79" s="123">
        <f>VLOOKUP($A79,'CCRA3 Risks'!$A:$AG,27,FALSE)</f>
        <v>0</v>
      </c>
      <c r="AL79" s="123" t="str">
        <f>VLOOKUP($A79,'CCRA3 Risks'!$A:$AG,28,FALSE)</f>
        <v>Y</v>
      </c>
      <c r="AM79" s="123">
        <f>VLOOKUP($A79,'CCRA3 Risks'!$A:$AG,29,FALSE)</f>
        <v>0</v>
      </c>
      <c r="AN79" s="123">
        <f>VLOOKUP($A79,'CCRA3 Risks'!$A:$AG,30,FALSE)</f>
        <v>0</v>
      </c>
      <c r="AO79" s="123">
        <f>VLOOKUP($A79,'CCRA3 Risks'!$A:$AG,31,FALSE)</f>
        <v>0</v>
      </c>
      <c r="AP79" s="123">
        <f>VLOOKUP($A79,'CCRA3 Risks'!$A:$AG,32,FALSE)</f>
        <v>0</v>
      </c>
      <c r="AQ79" s="123">
        <f>VLOOKUP($A79,'CCRA3 Risks'!$A:$AG,33,FALSE)</f>
        <v>0</v>
      </c>
    </row>
    <row r="80" spans="1:43" ht="51" x14ac:dyDescent="0.25">
      <c r="A80" s="88" t="s">
        <v>246</v>
      </c>
      <c r="B80" s="88" t="s">
        <v>754</v>
      </c>
      <c r="C80" s="83" t="s">
        <v>755</v>
      </c>
      <c r="D80" s="83" t="s">
        <v>461</v>
      </c>
      <c r="E80" s="88" t="s">
        <v>67</v>
      </c>
      <c r="F80" s="83" t="s">
        <v>33</v>
      </c>
      <c r="G80" s="83" t="s">
        <v>20</v>
      </c>
      <c r="H80" s="83" t="s">
        <v>756</v>
      </c>
      <c r="I80" s="88"/>
      <c r="J80" s="88" t="s">
        <v>463</v>
      </c>
      <c r="K80" s="83" t="s">
        <v>757</v>
      </c>
      <c r="L80" s="88" t="s">
        <v>629</v>
      </c>
      <c r="M80" s="88" t="s">
        <v>624</v>
      </c>
      <c r="N80" s="206" t="str">
        <f>VLOOKUP($A80,'CCRA3 Risks'!$A:$R,2,FALSE)</f>
        <v>H8 Risks to health from vector-borne diseases</v>
      </c>
      <c r="O80" s="206" t="str">
        <f>VLOOKUP($A80,'CCRA3 Risks'!$A:$R,3,FALSE)</f>
        <v>No</v>
      </c>
      <c r="P80" s="207">
        <f>VLOOKUP($A80,'CCRA3 Risks'!$A:$R,4,FALSE)</f>
        <v>5</v>
      </c>
      <c r="Q80" s="206" t="str">
        <f>VLOOKUP($A80,'CCRA3 Risks'!$A:$R,7,FALSE)</f>
        <v>England</v>
      </c>
      <c r="R80" s="206" t="str">
        <f>VLOOKUP($A80,'CCRA3 Risks'!$A:$R,8,FALSE)</f>
        <v>Medium</v>
      </c>
      <c r="S80" s="206" t="str">
        <f>VLOOKUP($A80,'CCRA3 Risks'!$A:$R,9,FALSE)</f>
        <v>Medium</v>
      </c>
      <c r="T80" s="206" t="str">
        <f>VLOOKUP($A80,'CCRA3 Risks'!$A:$R,10,FALSE)</f>
        <v>Medium</v>
      </c>
      <c r="U80" s="206" t="str">
        <f>VLOOKUP($A80,'CCRA3 Risks'!$A:$R,11,FALSE)</f>
        <v>High</v>
      </c>
      <c r="V80" s="206" t="str">
        <f>VLOOKUP($A80,'CCRA3 Risks'!$A:$R,12,FALSE)</f>
        <v>High</v>
      </c>
      <c r="W80" s="206" t="str">
        <f>VLOOKUP($A80,'CCRA3 Risks'!$A:$R,13,FALSE)</f>
        <v>Partially</v>
      </c>
      <c r="X80" s="206" t="str">
        <f>VLOOKUP($A80,'CCRA3 Risks'!$A:$R,14,FALSE)</f>
        <v>More action needed</v>
      </c>
      <c r="Y80" s="206" t="str">
        <f>VLOOKUP($A80,'CCRA3 Risks'!$A:$R,15,FALSE)</f>
        <v>More action needed</v>
      </c>
      <c r="Z80" s="206" t="str">
        <f>VLOOKUP($A80,'CCRA3 Risks'!$A:$R,16,FALSE)</f>
        <v>Low (2)</v>
      </c>
      <c r="AA80" s="206" t="str">
        <f>VLOOKUP($A80,'CCRA3 Risks'!$A:$R,17,FALSE)</f>
        <v>Medium (Amber)</v>
      </c>
      <c r="AB80" s="206" t="str">
        <f>VLOOKUP($A80,'CCRA3 Risks'!$A:$R,18,FALSE)</f>
        <v>Medium (reviews of disease planning may emerge post-Covid, but uncertain)</v>
      </c>
      <c r="AC80" s="202">
        <f>VLOOKUP($A80,'CCRA3 Risks'!$A:$AG,19,FALSE)</f>
        <v>0</v>
      </c>
      <c r="AD80" s="123">
        <f>VLOOKUP($A80,'CCRA3 Risks'!$A:$AG,20,FALSE)</f>
        <v>0</v>
      </c>
      <c r="AE80" s="123">
        <f>VLOOKUP($A80,'CCRA3 Risks'!$A:$AG,21,FALSE)</f>
        <v>0</v>
      </c>
      <c r="AF80" s="123">
        <f>VLOOKUP($A80,'CCRA3 Risks'!$A:$AG,22,FALSE)</f>
        <v>0</v>
      </c>
      <c r="AG80" s="123">
        <f>VLOOKUP($A80,'CCRA3 Risks'!$A:$AG,23,FALSE)</f>
        <v>0</v>
      </c>
      <c r="AH80" s="123">
        <f>VLOOKUP($A80,'CCRA3 Risks'!$A:$AG,24,FALSE)</f>
        <v>0</v>
      </c>
      <c r="AI80" s="123">
        <f>VLOOKUP($A80,'CCRA3 Risks'!$A:$AG,25,FALSE)</f>
        <v>0</v>
      </c>
      <c r="AJ80" s="123">
        <f>VLOOKUP($A80,'CCRA3 Risks'!$A:$AG,26,FALSE)</f>
        <v>0</v>
      </c>
      <c r="AK80" s="123">
        <f>VLOOKUP($A80,'CCRA3 Risks'!$A:$AG,27,FALSE)</f>
        <v>0</v>
      </c>
      <c r="AL80" s="123" t="str">
        <f>VLOOKUP($A80,'CCRA3 Risks'!$A:$AG,28,FALSE)</f>
        <v>Y</v>
      </c>
      <c r="AM80" s="123">
        <f>VLOOKUP($A80,'CCRA3 Risks'!$A:$AG,29,FALSE)</f>
        <v>0</v>
      </c>
      <c r="AN80" s="123">
        <f>VLOOKUP($A80,'CCRA3 Risks'!$A:$AG,30,FALSE)</f>
        <v>0</v>
      </c>
      <c r="AO80" s="123">
        <f>VLOOKUP($A80,'CCRA3 Risks'!$A:$AG,31,FALSE)</f>
        <v>0</v>
      </c>
      <c r="AP80" s="123">
        <f>VLOOKUP($A80,'CCRA3 Risks'!$A:$AG,32,FALSE)</f>
        <v>0</v>
      </c>
      <c r="AQ80" s="123">
        <f>VLOOKUP($A80,'CCRA3 Risks'!$A:$AG,33,FALSE)</f>
        <v>0</v>
      </c>
    </row>
    <row r="81" spans="1:43" ht="63.75" x14ac:dyDescent="0.25">
      <c r="A81" s="88" t="s">
        <v>246</v>
      </c>
      <c r="B81" s="88" t="s">
        <v>758</v>
      </c>
      <c r="C81" s="83" t="s">
        <v>759</v>
      </c>
      <c r="D81" s="83" t="s">
        <v>461</v>
      </c>
      <c r="E81" s="88" t="s">
        <v>67</v>
      </c>
      <c r="F81" s="83" t="s">
        <v>33</v>
      </c>
      <c r="G81" s="83" t="s">
        <v>20</v>
      </c>
      <c r="H81" s="83" t="s">
        <v>760</v>
      </c>
      <c r="I81" s="88"/>
      <c r="J81" s="88" t="s">
        <v>463</v>
      </c>
      <c r="K81" s="83" t="s">
        <v>757</v>
      </c>
      <c r="L81" s="88" t="s">
        <v>629</v>
      </c>
      <c r="M81" s="88" t="s">
        <v>624</v>
      </c>
      <c r="N81" s="206" t="str">
        <f>VLOOKUP($A81,'CCRA3 Risks'!$A:$R,2,FALSE)</f>
        <v>H8 Risks to health from vector-borne diseases</v>
      </c>
      <c r="O81" s="206" t="str">
        <f>VLOOKUP($A81,'CCRA3 Risks'!$A:$R,3,FALSE)</f>
        <v>No</v>
      </c>
      <c r="P81" s="207">
        <f>VLOOKUP($A81,'CCRA3 Risks'!$A:$R,4,FALSE)</f>
        <v>5</v>
      </c>
      <c r="Q81" s="206" t="str">
        <f>VLOOKUP($A81,'CCRA3 Risks'!$A:$R,7,FALSE)</f>
        <v>England</v>
      </c>
      <c r="R81" s="206" t="str">
        <f>VLOOKUP($A81,'CCRA3 Risks'!$A:$R,8,FALSE)</f>
        <v>Medium</v>
      </c>
      <c r="S81" s="206" t="str">
        <f>VLOOKUP($A81,'CCRA3 Risks'!$A:$R,9,FALSE)</f>
        <v>Medium</v>
      </c>
      <c r="T81" s="206" t="str">
        <f>VLOOKUP($A81,'CCRA3 Risks'!$A:$R,10,FALSE)</f>
        <v>Medium</v>
      </c>
      <c r="U81" s="206" t="str">
        <f>VLOOKUP($A81,'CCRA3 Risks'!$A:$R,11,FALSE)</f>
        <v>High</v>
      </c>
      <c r="V81" s="206" t="str">
        <f>VLOOKUP($A81,'CCRA3 Risks'!$A:$R,12,FALSE)</f>
        <v>High</v>
      </c>
      <c r="W81" s="206" t="str">
        <f>VLOOKUP($A81,'CCRA3 Risks'!$A:$R,13,FALSE)</f>
        <v>Partially</v>
      </c>
      <c r="X81" s="206" t="str">
        <f>VLOOKUP($A81,'CCRA3 Risks'!$A:$R,14,FALSE)</f>
        <v>More action needed</v>
      </c>
      <c r="Y81" s="206" t="str">
        <f>VLOOKUP($A81,'CCRA3 Risks'!$A:$R,15,FALSE)</f>
        <v>More action needed</v>
      </c>
      <c r="Z81" s="206" t="str">
        <f>VLOOKUP($A81,'CCRA3 Risks'!$A:$R,16,FALSE)</f>
        <v>Low (2)</v>
      </c>
      <c r="AA81" s="206" t="str">
        <f>VLOOKUP($A81,'CCRA3 Risks'!$A:$R,17,FALSE)</f>
        <v>Medium (Amber)</v>
      </c>
      <c r="AB81" s="206" t="str">
        <f>VLOOKUP($A81,'CCRA3 Risks'!$A:$R,18,FALSE)</f>
        <v>Medium (reviews of disease planning may emerge post-Covid, but uncertain)</v>
      </c>
      <c r="AC81" s="202">
        <f>VLOOKUP($A81,'CCRA3 Risks'!$A:$AG,19,FALSE)</f>
        <v>0</v>
      </c>
      <c r="AD81" s="123">
        <f>VLOOKUP($A81,'CCRA3 Risks'!$A:$AG,20,FALSE)</f>
        <v>0</v>
      </c>
      <c r="AE81" s="123">
        <f>VLOOKUP($A81,'CCRA3 Risks'!$A:$AG,21,FALSE)</f>
        <v>0</v>
      </c>
      <c r="AF81" s="123">
        <f>VLOOKUP($A81,'CCRA3 Risks'!$A:$AG,22,FALSE)</f>
        <v>0</v>
      </c>
      <c r="AG81" s="123">
        <f>VLOOKUP($A81,'CCRA3 Risks'!$A:$AG,23,FALSE)</f>
        <v>0</v>
      </c>
      <c r="AH81" s="123">
        <f>VLOOKUP($A81,'CCRA3 Risks'!$A:$AG,24,FALSE)</f>
        <v>0</v>
      </c>
      <c r="AI81" s="123">
        <f>VLOOKUP($A81,'CCRA3 Risks'!$A:$AG,25,FALSE)</f>
        <v>0</v>
      </c>
      <c r="AJ81" s="123">
        <f>VLOOKUP($A81,'CCRA3 Risks'!$A:$AG,26,FALSE)</f>
        <v>0</v>
      </c>
      <c r="AK81" s="123">
        <f>VLOOKUP($A81,'CCRA3 Risks'!$A:$AG,27,FALSE)</f>
        <v>0</v>
      </c>
      <c r="AL81" s="123" t="str">
        <f>VLOOKUP($A81,'CCRA3 Risks'!$A:$AG,28,FALSE)</f>
        <v>Y</v>
      </c>
      <c r="AM81" s="123">
        <f>VLOOKUP($A81,'CCRA3 Risks'!$A:$AG,29,FALSE)</f>
        <v>0</v>
      </c>
      <c r="AN81" s="123">
        <f>VLOOKUP($A81,'CCRA3 Risks'!$A:$AG,30,FALSE)</f>
        <v>0</v>
      </c>
      <c r="AO81" s="123">
        <f>VLOOKUP($A81,'CCRA3 Risks'!$A:$AG,31,FALSE)</f>
        <v>0</v>
      </c>
      <c r="AP81" s="123">
        <f>VLOOKUP($A81,'CCRA3 Risks'!$A:$AG,32,FALSE)</f>
        <v>0</v>
      </c>
      <c r="AQ81" s="123">
        <f>VLOOKUP($A81,'CCRA3 Risks'!$A:$AG,33,FALSE)</f>
        <v>0</v>
      </c>
    </row>
    <row r="82" spans="1:43" ht="114.75" x14ac:dyDescent="0.25">
      <c r="A82" s="88" t="s">
        <v>248</v>
      </c>
      <c r="B82" s="88" t="s">
        <v>761</v>
      </c>
      <c r="C82" s="83" t="s">
        <v>762</v>
      </c>
      <c r="D82" s="83" t="s">
        <v>461</v>
      </c>
      <c r="E82" s="88" t="s">
        <v>67</v>
      </c>
      <c r="F82" s="83" t="s">
        <v>396</v>
      </c>
      <c r="G82" s="83" t="s">
        <v>20</v>
      </c>
      <c r="H82" s="83" t="s">
        <v>763</v>
      </c>
      <c r="I82" s="88"/>
      <c r="J82" s="88" t="s">
        <v>463</v>
      </c>
      <c r="K82" s="83" t="s">
        <v>764</v>
      </c>
      <c r="L82" s="88" t="s">
        <v>480</v>
      </c>
      <c r="M82" s="88" t="s">
        <v>765</v>
      </c>
      <c r="N82" s="206" t="str">
        <f>VLOOKUP($A82,'CCRA3 Risks'!$A:$R,2,FALSE)</f>
        <v>H9 Risks to food safety and food security</v>
      </c>
      <c r="O82" s="206" t="str">
        <f>VLOOKUP($A82,'CCRA3 Risks'!$A:$R,3,FALSE)</f>
        <v>No</v>
      </c>
      <c r="P82" s="207">
        <f>VLOOKUP($A82,'CCRA3 Risks'!$A:$R,4,FALSE)</f>
        <v>5</v>
      </c>
      <c r="Q82" s="206" t="str">
        <f>VLOOKUP($A82,'CCRA3 Risks'!$A:$R,7,FALSE)</f>
        <v>UK</v>
      </c>
      <c r="R82" s="206" t="str">
        <f>VLOOKUP($A82,'CCRA3 Risks'!$A:$R,8,FALSE)</f>
        <v>High</v>
      </c>
      <c r="S82" s="206" t="str">
        <f>VLOOKUP($A82,'CCRA3 Risks'!$A:$R,9,FALSE)</f>
        <v>High</v>
      </c>
      <c r="T82" s="206" t="str">
        <f>VLOOKUP($A82,'CCRA3 Risks'!$A:$R,10,FALSE)</f>
        <v>High</v>
      </c>
      <c r="U82" s="206" t="str">
        <f>VLOOKUP($A82,'CCRA3 Risks'!$A:$R,11,FALSE)</f>
        <v>High</v>
      </c>
      <c r="V82" s="206" t="str">
        <f>VLOOKUP($A82,'CCRA3 Risks'!$A:$R,12,FALSE)</f>
        <v>High</v>
      </c>
      <c r="W82" s="206" t="str">
        <f>VLOOKUP($A82,'CCRA3 Risks'!$A:$R,13,FALSE)</f>
        <v>Partially</v>
      </c>
      <c r="X82" s="206" t="str">
        <f>VLOOKUP($A82,'CCRA3 Risks'!$A:$R,14,FALSE)</f>
        <v>Further investigation</v>
      </c>
      <c r="Y82" s="206" t="str">
        <f>VLOOKUP($A82,'CCRA3 Risks'!$A:$R,15,FALSE)</f>
        <v>Further Investigation</v>
      </c>
      <c r="Z82" s="206" t="str">
        <f>VLOOKUP($A82,'CCRA3 Risks'!$A:$R,16,FALSE)</f>
        <v>N/A</v>
      </c>
      <c r="AA82" s="206" t="str">
        <f>VLOOKUP($A82,'CCRA3 Risks'!$A:$R,17,FALSE)</f>
        <v>N/A</v>
      </c>
      <c r="AB82" s="206" t="str">
        <f>VLOOKUP($A82,'CCRA3 Risks'!$A:$R,18,FALSE)</f>
        <v>Medium (new food security strategies)</v>
      </c>
      <c r="AC82" s="202">
        <f>VLOOKUP($A82,'CCRA3 Risks'!$A:$AG,19,FALSE)</f>
        <v>0</v>
      </c>
      <c r="AD82" s="123">
        <f>VLOOKUP($A82,'CCRA3 Risks'!$A:$AG,20,FALSE)</f>
        <v>0</v>
      </c>
      <c r="AE82" s="123" t="str">
        <f>VLOOKUP($A82,'CCRA3 Risks'!$A:$AG,21,FALSE)</f>
        <v>Y</v>
      </c>
      <c r="AF82" s="123">
        <f>VLOOKUP($A82,'CCRA3 Risks'!$A:$AG,22,FALSE)</f>
        <v>0</v>
      </c>
      <c r="AG82" s="123">
        <f>VLOOKUP($A82,'CCRA3 Risks'!$A:$AG,23,FALSE)</f>
        <v>0</v>
      </c>
      <c r="AH82" s="123">
        <f>VLOOKUP($A82,'CCRA3 Risks'!$A:$AG,24,FALSE)</f>
        <v>0</v>
      </c>
      <c r="AI82" s="123">
        <f>VLOOKUP($A82,'CCRA3 Risks'!$A:$AG,25,FALSE)</f>
        <v>0</v>
      </c>
      <c r="AJ82" s="123">
        <f>VLOOKUP($A82,'CCRA3 Risks'!$A:$AG,26,FALSE)</f>
        <v>0</v>
      </c>
      <c r="AK82" s="123">
        <f>VLOOKUP($A82,'CCRA3 Risks'!$A:$AG,27,FALSE)</f>
        <v>0</v>
      </c>
      <c r="AL82" s="123">
        <f>VLOOKUP($A82,'CCRA3 Risks'!$A:$AG,28,FALSE)</f>
        <v>0</v>
      </c>
      <c r="AM82" s="123">
        <f>VLOOKUP($A82,'CCRA3 Risks'!$A:$AG,29,FALSE)</f>
        <v>0</v>
      </c>
      <c r="AN82" s="123">
        <f>VLOOKUP($A82,'CCRA3 Risks'!$A:$AG,30,FALSE)</f>
        <v>0</v>
      </c>
      <c r="AO82" s="123">
        <f>VLOOKUP($A82,'CCRA3 Risks'!$A:$AG,31,FALSE)</f>
        <v>0</v>
      </c>
      <c r="AP82" s="123">
        <f>VLOOKUP($A82,'CCRA3 Risks'!$A:$AG,32,FALSE)</f>
        <v>0</v>
      </c>
      <c r="AQ82" s="123">
        <f>VLOOKUP($A82,'CCRA3 Risks'!$A:$AG,33,FALSE)</f>
        <v>0</v>
      </c>
    </row>
    <row r="83" spans="1:43" ht="51" x14ac:dyDescent="0.25">
      <c r="A83" s="88" t="s">
        <v>248</v>
      </c>
      <c r="B83" s="88" t="s">
        <v>766</v>
      </c>
      <c r="C83" s="83" t="s">
        <v>767</v>
      </c>
      <c r="D83" s="83" t="s">
        <v>461</v>
      </c>
      <c r="E83" s="88" t="s">
        <v>67</v>
      </c>
      <c r="F83" s="83" t="s">
        <v>396</v>
      </c>
      <c r="G83" s="83" t="s">
        <v>53</v>
      </c>
      <c r="H83" s="83" t="s">
        <v>768</v>
      </c>
      <c r="I83" s="88"/>
      <c r="J83" s="88" t="s">
        <v>417</v>
      </c>
      <c r="K83" s="83" t="s">
        <v>769</v>
      </c>
      <c r="L83" s="88" t="s">
        <v>480</v>
      </c>
      <c r="M83" s="88" t="s">
        <v>35</v>
      </c>
      <c r="N83" s="206" t="str">
        <f>VLOOKUP($A83,'CCRA3 Risks'!$A:$R,2,FALSE)</f>
        <v>H9 Risks to food safety and food security</v>
      </c>
      <c r="O83" s="206" t="str">
        <f>VLOOKUP($A83,'CCRA3 Risks'!$A:$R,3,FALSE)</f>
        <v>No</v>
      </c>
      <c r="P83" s="207">
        <f>VLOOKUP($A83,'CCRA3 Risks'!$A:$R,4,FALSE)</f>
        <v>5</v>
      </c>
      <c r="Q83" s="206" t="str">
        <f>VLOOKUP($A83,'CCRA3 Risks'!$A:$R,7,FALSE)</f>
        <v>UK</v>
      </c>
      <c r="R83" s="206" t="str">
        <f>VLOOKUP($A83,'CCRA3 Risks'!$A:$R,8,FALSE)</f>
        <v>High</v>
      </c>
      <c r="S83" s="206" t="str">
        <f>VLOOKUP($A83,'CCRA3 Risks'!$A:$R,9,FALSE)</f>
        <v>High</v>
      </c>
      <c r="T83" s="206" t="str">
        <f>VLOOKUP($A83,'CCRA3 Risks'!$A:$R,10,FALSE)</f>
        <v>High</v>
      </c>
      <c r="U83" s="206" t="str">
        <f>VLOOKUP($A83,'CCRA3 Risks'!$A:$R,11,FALSE)</f>
        <v>High</v>
      </c>
      <c r="V83" s="206" t="str">
        <f>VLOOKUP($A83,'CCRA3 Risks'!$A:$R,12,FALSE)</f>
        <v>High</v>
      </c>
      <c r="W83" s="206" t="str">
        <f>VLOOKUP($A83,'CCRA3 Risks'!$A:$R,13,FALSE)</f>
        <v>Partially</v>
      </c>
      <c r="X83" s="206" t="str">
        <f>VLOOKUP($A83,'CCRA3 Risks'!$A:$R,14,FALSE)</f>
        <v>Further investigation</v>
      </c>
      <c r="Y83" s="206" t="str">
        <f>VLOOKUP($A83,'CCRA3 Risks'!$A:$R,15,FALSE)</f>
        <v>Further Investigation</v>
      </c>
      <c r="Z83" s="206" t="str">
        <f>VLOOKUP($A83,'CCRA3 Risks'!$A:$R,16,FALSE)</f>
        <v>N/A</v>
      </c>
      <c r="AA83" s="206" t="str">
        <f>VLOOKUP($A83,'CCRA3 Risks'!$A:$R,17,FALSE)</f>
        <v>N/A</v>
      </c>
      <c r="AB83" s="206" t="str">
        <f>VLOOKUP($A83,'CCRA3 Risks'!$A:$R,18,FALSE)</f>
        <v>Medium (new food security strategies)</v>
      </c>
      <c r="AC83" s="202">
        <f>VLOOKUP($A83,'CCRA3 Risks'!$A:$AG,19,FALSE)</f>
        <v>0</v>
      </c>
      <c r="AD83" s="123">
        <f>VLOOKUP($A83,'CCRA3 Risks'!$A:$AG,20,FALSE)</f>
        <v>0</v>
      </c>
      <c r="AE83" s="123" t="str">
        <f>VLOOKUP($A83,'CCRA3 Risks'!$A:$AG,21,FALSE)</f>
        <v>Y</v>
      </c>
      <c r="AF83" s="123">
        <f>VLOOKUP($A83,'CCRA3 Risks'!$A:$AG,22,FALSE)</f>
        <v>0</v>
      </c>
      <c r="AG83" s="123">
        <f>VLOOKUP($A83,'CCRA3 Risks'!$A:$AG,23,FALSE)</f>
        <v>0</v>
      </c>
      <c r="AH83" s="123">
        <f>VLOOKUP($A83,'CCRA3 Risks'!$A:$AG,24,FALSE)</f>
        <v>0</v>
      </c>
      <c r="AI83" s="123">
        <f>VLOOKUP($A83,'CCRA3 Risks'!$A:$AG,25,FALSE)</f>
        <v>0</v>
      </c>
      <c r="AJ83" s="123">
        <f>VLOOKUP($A83,'CCRA3 Risks'!$A:$AG,26,FALSE)</f>
        <v>0</v>
      </c>
      <c r="AK83" s="123">
        <f>VLOOKUP($A83,'CCRA3 Risks'!$A:$AG,27,FALSE)</f>
        <v>0</v>
      </c>
      <c r="AL83" s="123">
        <f>VLOOKUP($A83,'CCRA3 Risks'!$A:$AG,28,FALSE)</f>
        <v>0</v>
      </c>
      <c r="AM83" s="123">
        <f>VLOOKUP($A83,'CCRA3 Risks'!$A:$AG,29,FALSE)</f>
        <v>0</v>
      </c>
      <c r="AN83" s="123">
        <f>VLOOKUP($A83,'CCRA3 Risks'!$A:$AG,30,FALSE)</f>
        <v>0</v>
      </c>
      <c r="AO83" s="123">
        <f>VLOOKUP($A83,'CCRA3 Risks'!$A:$AG,31,FALSE)</f>
        <v>0</v>
      </c>
      <c r="AP83" s="123">
        <f>VLOOKUP($A83,'CCRA3 Risks'!$A:$AG,32,FALSE)</f>
        <v>0</v>
      </c>
      <c r="AQ83" s="123">
        <f>VLOOKUP($A83,'CCRA3 Risks'!$A:$AG,33,FALSE)</f>
        <v>0</v>
      </c>
    </row>
    <row r="84" spans="1:43" ht="153" x14ac:dyDescent="0.25">
      <c r="A84" s="88" t="s">
        <v>248</v>
      </c>
      <c r="B84" s="88" t="s">
        <v>770</v>
      </c>
      <c r="C84" s="83" t="s">
        <v>771</v>
      </c>
      <c r="D84" s="83" t="s">
        <v>461</v>
      </c>
      <c r="E84" s="88" t="s">
        <v>67</v>
      </c>
      <c r="F84" s="83" t="s">
        <v>396</v>
      </c>
      <c r="G84" s="83" t="s">
        <v>20</v>
      </c>
      <c r="H84" s="83" t="s">
        <v>772</v>
      </c>
      <c r="I84" s="88"/>
      <c r="J84" s="88" t="s">
        <v>398</v>
      </c>
      <c r="K84" s="83" t="s">
        <v>773</v>
      </c>
      <c r="L84" s="88" t="s">
        <v>480</v>
      </c>
      <c r="M84" s="88" t="s">
        <v>765</v>
      </c>
      <c r="N84" s="206" t="str">
        <f>VLOOKUP($A84,'CCRA3 Risks'!$A:$R,2,FALSE)</f>
        <v>H9 Risks to food safety and food security</v>
      </c>
      <c r="O84" s="206" t="str">
        <f>VLOOKUP($A84,'CCRA3 Risks'!$A:$R,3,FALSE)</f>
        <v>No</v>
      </c>
      <c r="P84" s="207">
        <f>VLOOKUP($A84,'CCRA3 Risks'!$A:$R,4,FALSE)</f>
        <v>5</v>
      </c>
      <c r="Q84" s="206" t="str">
        <f>VLOOKUP($A84,'CCRA3 Risks'!$A:$R,7,FALSE)</f>
        <v>UK</v>
      </c>
      <c r="R84" s="206" t="str">
        <f>VLOOKUP($A84,'CCRA3 Risks'!$A:$R,8,FALSE)</f>
        <v>High</v>
      </c>
      <c r="S84" s="206" t="str">
        <f>VLOOKUP($A84,'CCRA3 Risks'!$A:$R,9,FALSE)</f>
        <v>High</v>
      </c>
      <c r="T84" s="206" t="str">
        <f>VLOOKUP($A84,'CCRA3 Risks'!$A:$R,10,FALSE)</f>
        <v>High</v>
      </c>
      <c r="U84" s="206" t="str">
        <f>VLOOKUP($A84,'CCRA3 Risks'!$A:$R,11,FALSE)</f>
        <v>High</v>
      </c>
      <c r="V84" s="206" t="str">
        <f>VLOOKUP($A84,'CCRA3 Risks'!$A:$R,12,FALSE)</f>
        <v>High</v>
      </c>
      <c r="W84" s="206" t="str">
        <f>VLOOKUP($A84,'CCRA3 Risks'!$A:$R,13,FALSE)</f>
        <v>Partially</v>
      </c>
      <c r="X84" s="206" t="str">
        <f>VLOOKUP($A84,'CCRA3 Risks'!$A:$R,14,FALSE)</f>
        <v>Further investigation</v>
      </c>
      <c r="Y84" s="206" t="str">
        <f>VLOOKUP($A84,'CCRA3 Risks'!$A:$R,15,FALSE)</f>
        <v>Further Investigation</v>
      </c>
      <c r="Z84" s="206" t="str">
        <f>VLOOKUP($A84,'CCRA3 Risks'!$A:$R,16,FALSE)</f>
        <v>N/A</v>
      </c>
      <c r="AA84" s="206" t="str">
        <f>VLOOKUP($A84,'CCRA3 Risks'!$A:$R,17,FALSE)</f>
        <v>N/A</v>
      </c>
      <c r="AB84" s="206" t="str">
        <f>VLOOKUP($A84,'CCRA3 Risks'!$A:$R,18,FALSE)</f>
        <v>Medium (new food security strategies)</v>
      </c>
      <c r="AC84" s="202">
        <f>VLOOKUP($A84,'CCRA3 Risks'!$A:$AG,19,FALSE)</f>
        <v>0</v>
      </c>
      <c r="AD84" s="123">
        <f>VLOOKUP($A84,'CCRA3 Risks'!$A:$AG,20,FALSE)</f>
        <v>0</v>
      </c>
      <c r="AE84" s="123" t="str">
        <f>VLOOKUP($A84,'CCRA3 Risks'!$A:$AG,21,FALSE)</f>
        <v>Y</v>
      </c>
      <c r="AF84" s="123">
        <f>VLOOKUP($A84,'CCRA3 Risks'!$A:$AG,22,FALSE)</f>
        <v>0</v>
      </c>
      <c r="AG84" s="123">
        <f>VLOOKUP($A84,'CCRA3 Risks'!$A:$AG,23,FALSE)</f>
        <v>0</v>
      </c>
      <c r="AH84" s="123">
        <f>VLOOKUP($A84,'CCRA3 Risks'!$A:$AG,24,FALSE)</f>
        <v>0</v>
      </c>
      <c r="AI84" s="123">
        <f>VLOOKUP($A84,'CCRA3 Risks'!$A:$AG,25,FALSE)</f>
        <v>0</v>
      </c>
      <c r="AJ84" s="123">
        <f>VLOOKUP($A84,'CCRA3 Risks'!$A:$AG,26,FALSE)</f>
        <v>0</v>
      </c>
      <c r="AK84" s="123">
        <f>VLOOKUP($A84,'CCRA3 Risks'!$A:$AG,27,FALSE)</f>
        <v>0</v>
      </c>
      <c r="AL84" s="123">
        <f>VLOOKUP($A84,'CCRA3 Risks'!$A:$AG,28,FALSE)</f>
        <v>0</v>
      </c>
      <c r="AM84" s="123">
        <f>VLOOKUP($A84,'CCRA3 Risks'!$A:$AG,29,FALSE)</f>
        <v>0</v>
      </c>
      <c r="AN84" s="123">
        <f>VLOOKUP($A84,'CCRA3 Risks'!$A:$AG,30,FALSE)</f>
        <v>0</v>
      </c>
      <c r="AO84" s="123">
        <f>VLOOKUP($A84,'CCRA3 Risks'!$A:$AG,31,FALSE)</f>
        <v>0</v>
      </c>
      <c r="AP84" s="123">
        <f>VLOOKUP($A84,'CCRA3 Risks'!$A:$AG,32,FALSE)</f>
        <v>0</v>
      </c>
      <c r="AQ84" s="123">
        <f>VLOOKUP($A84,'CCRA3 Risks'!$A:$AG,33,FALSE)</f>
        <v>0</v>
      </c>
    </row>
    <row r="85" spans="1:43" ht="191.25" x14ac:dyDescent="0.25">
      <c r="A85" s="88" t="s">
        <v>248</v>
      </c>
      <c r="B85" s="88" t="s">
        <v>774</v>
      </c>
      <c r="C85" s="83" t="s">
        <v>775</v>
      </c>
      <c r="D85" s="83" t="s">
        <v>403</v>
      </c>
      <c r="E85" s="88" t="s">
        <v>67</v>
      </c>
      <c r="F85" s="83" t="s">
        <v>421</v>
      </c>
      <c r="G85" s="83" t="s">
        <v>30</v>
      </c>
      <c r="H85" s="82" t="s">
        <v>776</v>
      </c>
      <c r="I85" s="88"/>
      <c r="J85" s="88" t="s">
        <v>398</v>
      </c>
      <c r="K85" s="83" t="s">
        <v>777</v>
      </c>
      <c r="L85" s="88" t="s">
        <v>480</v>
      </c>
      <c r="M85" s="88" t="s">
        <v>765</v>
      </c>
      <c r="N85" s="206" t="str">
        <f>VLOOKUP($A85,'CCRA3 Risks'!$A:$R,2,FALSE)</f>
        <v>H9 Risks to food safety and food security</v>
      </c>
      <c r="O85" s="206" t="str">
        <f>VLOOKUP($A85,'CCRA3 Risks'!$A:$R,3,FALSE)</f>
        <v>No</v>
      </c>
      <c r="P85" s="207">
        <f>VLOOKUP($A85,'CCRA3 Risks'!$A:$R,4,FALSE)</f>
        <v>5</v>
      </c>
      <c r="Q85" s="206" t="str">
        <f>VLOOKUP($A85,'CCRA3 Risks'!$A:$R,7,FALSE)</f>
        <v>UK</v>
      </c>
      <c r="R85" s="206" t="str">
        <f>VLOOKUP($A85,'CCRA3 Risks'!$A:$R,8,FALSE)</f>
        <v>High</v>
      </c>
      <c r="S85" s="206" t="str">
        <f>VLOOKUP($A85,'CCRA3 Risks'!$A:$R,9,FALSE)</f>
        <v>High</v>
      </c>
      <c r="T85" s="206" t="str">
        <f>VLOOKUP($A85,'CCRA3 Risks'!$A:$R,10,FALSE)</f>
        <v>High</v>
      </c>
      <c r="U85" s="206" t="str">
        <f>VLOOKUP($A85,'CCRA3 Risks'!$A:$R,11,FALSE)</f>
        <v>High</v>
      </c>
      <c r="V85" s="206" t="str">
        <f>VLOOKUP($A85,'CCRA3 Risks'!$A:$R,12,FALSE)</f>
        <v>High</v>
      </c>
      <c r="W85" s="206" t="str">
        <f>VLOOKUP($A85,'CCRA3 Risks'!$A:$R,13,FALSE)</f>
        <v>Partially</v>
      </c>
      <c r="X85" s="206" t="str">
        <f>VLOOKUP($A85,'CCRA3 Risks'!$A:$R,14,FALSE)</f>
        <v>Further investigation</v>
      </c>
      <c r="Y85" s="206" t="str">
        <f>VLOOKUP($A85,'CCRA3 Risks'!$A:$R,15,FALSE)</f>
        <v>Further Investigation</v>
      </c>
      <c r="Z85" s="206" t="str">
        <f>VLOOKUP($A85,'CCRA3 Risks'!$A:$R,16,FALSE)</f>
        <v>N/A</v>
      </c>
      <c r="AA85" s="206" t="str">
        <f>VLOOKUP($A85,'CCRA3 Risks'!$A:$R,17,FALSE)</f>
        <v>N/A</v>
      </c>
      <c r="AB85" s="206" t="str">
        <f>VLOOKUP($A85,'CCRA3 Risks'!$A:$R,18,FALSE)</f>
        <v>Medium (new food security strategies)</v>
      </c>
      <c r="AC85" s="202">
        <f>VLOOKUP($A85,'CCRA3 Risks'!$A:$AG,19,FALSE)</f>
        <v>0</v>
      </c>
      <c r="AD85" s="123">
        <f>VLOOKUP($A85,'CCRA3 Risks'!$A:$AG,20,FALSE)</f>
        <v>0</v>
      </c>
      <c r="AE85" s="123" t="str">
        <f>VLOOKUP($A85,'CCRA3 Risks'!$A:$AG,21,FALSE)</f>
        <v>Y</v>
      </c>
      <c r="AF85" s="123">
        <f>VLOOKUP($A85,'CCRA3 Risks'!$A:$AG,22,FALSE)</f>
        <v>0</v>
      </c>
      <c r="AG85" s="123">
        <f>VLOOKUP($A85,'CCRA3 Risks'!$A:$AG,23,FALSE)</f>
        <v>0</v>
      </c>
      <c r="AH85" s="123">
        <f>VLOOKUP($A85,'CCRA3 Risks'!$A:$AG,24,FALSE)</f>
        <v>0</v>
      </c>
      <c r="AI85" s="123">
        <f>VLOOKUP($A85,'CCRA3 Risks'!$A:$AG,25,FALSE)</f>
        <v>0</v>
      </c>
      <c r="AJ85" s="123">
        <f>VLOOKUP($A85,'CCRA3 Risks'!$A:$AG,26,FALSE)</f>
        <v>0</v>
      </c>
      <c r="AK85" s="123">
        <f>VLOOKUP($A85,'CCRA3 Risks'!$A:$AG,27,FALSE)</f>
        <v>0</v>
      </c>
      <c r="AL85" s="123">
        <f>VLOOKUP($A85,'CCRA3 Risks'!$A:$AG,28,FALSE)</f>
        <v>0</v>
      </c>
      <c r="AM85" s="123">
        <f>VLOOKUP($A85,'CCRA3 Risks'!$A:$AG,29,FALSE)</f>
        <v>0</v>
      </c>
      <c r="AN85" s="123">
        <f>VLOOKUP($A85,'CCRA3 Risks'!$A:$AG,30,FALSE)</f>
        <v>0</v>
      </c>
      <c r="AO85" s="123">
        <f>VLOOKUP($A85,'CCRA3 Risks'!$A:$AG,31,FALSE)</f>
        <v>0</v>
      </c>
      <c r="AP85" s="123">
        <f>VLOOKUP($A85,'CCRA3 Risks'!$A:$AG,32,FALSE)</f>
        <v>0</v>
      </c>
      <c r="AQ85" s="123">
        <f>VLOOKUP($A85,'CCRA3 Risks'!$A:$AG,33,FALSE)</f>
        <v>0</v>
      </c>
    </row>
    <row r="86" spans="1:43" ht="178.5" x14ac:dyDescent="0.25">
      <c r="A86" s="88" t="s">
        <v>251</v>
      </c>
      <c r="B86" s="88" t="s">
        <v>778</v>
      </c>
      <c r="C86" s="83" t="s">
        <v>779</v>
      </c>
      <c r="D86" s="83" t="s">
        <v>461</v>
      </c>
      <c r="E86" s="88" t="s">
        <v>67</v>
      </c>
      <c r="F86" s="83" t="s">
        <v>421</v>
      </c>
      <c r="G86" s="83" t="s">
        <v>30</v>
      </c>
      <c r="H86" s="82" t="s">
        <v>780</v>
      </c>
      <c r="I86" s="88"/>
      <c r="J86" s="88" t="s">
        <v>398</v>
      </c>
      <c r="K86" s="83" t="s">
        <v>781</v>
      </c>
      <c r="L86" s="88" t="s">
        <v>480</v>
      </c>
      <c r="M86" s="88" t="s">
        <v>782</v>
      </c>
      <c r="N86" s="206" t="str">
        <f>VLOOKUP($A86,'CCRA3 Risks'!$A:$R,2,FALSE)</f>
        <v>H10 Risks to health from water quality and household water supply
(a) water quality
(b) water quantity</v>
      </c>
      <c r="O86" s="206" t="str">
        <f>VLOOKUP($A86,'CCRA3 Risks'!$A:$R,3,FALSE)</f>
        <v>No</v>
      </c>
      <c r="P86" s="207">
        <f>VLOOKUP($A86,'CCRA3 Risks'!$A:$R,4,FALSE)</f>
        <v>5</v>
      </c>
      <c r="Q86" s="206" t="str">
        <f>VLOOKUP($A86,'CCRA3 Risks'!$A:$R,7,FALSE)</f>
        <v>England</v>
      </c>
      <c r="R86" s="206" t="str">
        <f>VLOOKUP($A86,'CCRA3 Risks'!$A:$R,8,FALSE)</f>
        <v>Medium</v>
      </c>
      <c r="S86" s="206" t="str">
        <f>VLOOKUP($A86,'CCRA3 Risks'!$A:$R,9,FALSE)</f>
        <v>High</v>
      </c>
      <c r="T86" s="206" t="str">
        <f>VLOOKUP($A86,'CCRA3 Risks'!$A:$R,10,FALSE)</f>
        <v>High</v>
      </c>
      <c r="U86" s="206" t="str">
        <f>VLOOKUP($A86,'CCRA3 Risks'!$A:$R,11,FALSE)</f>
        <v>High</v>
      </c>
      <c r="V86" s="206" t="str">
        <f>VLOOKUP($A86,'CCRA3 Risks'!$A:$R,12,FALSE)</f>
        <v>High</v>
      </c>
      <c r="W86" s="206" t="str">
        <f>VLOOKUP($A86,'CCRA3 Risks'!$A:$R,13,FALSE)</f>
        <v>Partially</v>
      </c>
      <c r="X86" s="206" t="str">
        <f>VLOOKUP($A86,'CCRA3 Risks'!$A:$R,14,FALSE)</f>
        <v>Further investigation</v>
      </c>
      <c r="Y86" s="206" t="str">
        <f>VLOOKUP($A86,'CCRA3 Risks'!$A:$R,15,FALSE)</f>
        <v>Further Investigation</v>
      </c>
      <c r="Z86" s="206" t="str">
        <f>VLOOKUP($A86,'CCRA3 Risks'!$A:$R,16,FALSE)</f>
        <v>N/A</v>
      </c>
      <c r="AA86" s="206" t="str">
        <f>VLOOKUP($A86,'CCRA3 Risks'!$A:$R,17,FALSE)</f>
        <v>N/A</v>
      </c>
      <c r="AB86" s="206" t="str">
        <f>VLOOKUP($A86,'CCRA3 Risks'!$A:$R,18,FALSE)</f>
        <v>Low (no key policies in the next two years)</v>
      </c>
      <c r="AC86" s="202">
        <f>VLOOKUP($A86,'CCRA3 Risks'!$A:$AG,19,FALSE)</f>
        <v>0</v>
      </c>
      <c r="AD86" s="123">
        <f>VLOOKUP($A86,'CCRA3 Risks'!$A:$AG,20,FALSE)</f>
        <v>0</v>
      </c>
      <c r="AE86" s="123">
        <f>VLOOKUP($A86,'CCRA3 Risks'!$A:$AG,21,FALSE)</f>
        <v>0</v>
      </c>
      <c r="AF86" s="123" t="str">
        <f>VLOOKUP($A86,'CCRA3 Risks'!$A:$AG,22,FALSE)</f>
        <v>Y</v>
      </c>
      <c r="AG86" s="123">
        <f>VLOOKUP($A86,'CCRA3 Risks'!$A:$AG,23,FALSE)</f>
        <v>0</v>
      </c>
      <c r="AH86" s="123">
        <f>VLOOKUP($A86,'CCRA3 Risks'!$A:$AG,24,FALSE)</f>
        <v>0</v>
      </c>
      <c r="AI86" s="123">
        <f>VLOOKUP($A86,'CCRA3 Risks'!$A:$AG,25,FALSE)</f>
        <v>0</v>
      </c>
      <c r="AJ86" s="123">
        <f>VLOOKUP($A86,'CCRA3 Risks'!$A:$AG,26,FALSE)</f>
        <v>0</v>
      </c>
      <c r="AK86" s="123">
        <f>VLOOKUP($A86,'CCRA3 Risks'!$A:$AG,27,FALSE)</f>
        <v>0</v>
      </c>
      <c r="AL86" s="123">
        <f>VLOOKUP($A86,'CCRA3 Risks'!$A:$AG,28,FALSE)</f>
        <v>0</v>
      </c>
      <c r="AM86" s="123">
        <f>VLOOKUP($A86,'CCRA3 Risks'!$A:$AG,29,FALSE)</f>
        <v>0</v>
      </c>
      <c r="AN86" s="123">
        <f>VLOOKUP($A86,'CCRA3 Risks'!$A:$AG,30,FALSE)</f>
        <v>0</v>
      </c>
      <c r="AO86" s="123">
        <f>VLOOKUP($A86,'CCRA3 Risks'!$A:$AG,31,FALSE)</f>
        <v>0</v>
      </c>
      <c r="AP86" s="123">
        <f>VLOOKUP($A86,'CCRA3 Risks'!$A:$AG,32,FALSE)</f>
        <v>0</v>
      </c>
      <c r="AQ86" s="123">
        <f>VLOOKUP($A86,'CCRA3 Risks'!$A:$AG,33,FALSE)</f>
        <v>0</v>
      </c>
    </row>
    <row r="87" spans="1:43" ht="114.75" x14ac:dyDescent="0.25">
      <c r="A87" s="88" t="s">
        <v>251</v>
      </c>
      <c r="B87" s="88" t="s">
        <v>783</v>
      </c>
      <c r="C87" s="83" t="s">
        <v>784</v>
      </c>
      <c r="D87" s="83" t="s">
        <v>461</v>
      </c>
      <c r="E87" s="88" t="s">
        <v>67</v>
      </c>
      <c r="F87" s="83" t="s">
        <v>421</v>
      </c>
      <c r="G87" s="83" t="s">
        <v>30</v>
      </c>
      <c r="H87" s="83" t="s">
        <v>785</v>
      </c>
      <c r="I87" s="88"/>
      <c r="J87" s="88" t="s">
        <v>411</v>
      </c>
      <c r="K87" s="83" t="s">
        <v>786</v>
      </c>
      <c r="L87" s="88" t="s">
        <v>480</v>
      </c>
      <c r="M87" s="88" t="s">
        <v>787</v>
      </c>
      <c r="N87" s="206" t="str">
        <f>VLOOKUP($A87,'CCRA3 Risks'!$A:$R,2,FALSE)</f>
        <v>H10 Risks to health from water quality and household water supply
(a) water quality
(b) water quantity</v>
      </c>
      <c r="O87" s="206" t="str">
        <f>VLOOKUP($A87,'CCRA3 Risks'!$A:$R,3,FALSE)</f>
        <v>No</v>
      </c>
      <c r="P87" s="207">
        <f>VLOOKUP($A87,'CCRA3 Risks'!$A:$R,4,FALSE)</f>
        <v>5</v>
      </c>
      <c r="Q87" s="206" t="str">
        <f>VLOOKUP($A87,'CCRA3 Risks'!$A:$R,7,FALSE)</f>
        <v>England</v>
      </c>
      <c r="R87" s="206" t="str">
        <f>VLOOKUP($A87,'CCRA3 Risks'!$A:$R,8,FALSE)</f>
        <v>Medium</v>
      </c>
      <c r="S87" s="206" t="str">
        <f>VLOOKUP($A87,'CCRA3 Risks'!$A:$R,9,FALSE)</f>
        <v>High</v>
      </c>
      <c r="T87" s="206" t="str">
        <f>VLOOKUP($A87,'CCRA3 Risks'!$A:$R,10,FALSE)</f>
        <v>High</v>
      </c>
      <c r="U87" s="206" t="str">
        <f>VLOOKUP($A87,'CCRA3 Risks'!$A:$R,11,FALSE)</f>
        <v>High</v>
      </c>
      <c r="V87" s="206" t="str">
        <f>VLOOKUP($A87,'CCRA3 Risks'!$A:$R,12,FALSE)</f>
        <v>High</v>
      </c>
      <c r="W87" s="206" t="str">
        <f>VLOOKUP($A87,'CCRA3 Risks'!$A:$R,13,FALSE)</f>
        <v>Partially</v>
      </c>
      <c r="X87" s="206" t="str">
        <f>VLOOKUP($A87,'CCRA3 Risks'!$A:$R,14,FALSE)</f>
        <v>Further investigation</v>
      </c>
      <c r="Y87" s="206" t="str">
        <f>VLOOKUP($A87,'CCRA3 Risks'!$A:$R,15,FALSE)</f>
        <v>Further Investigation</v>
      </c>
      <c r="Z87" s="206" t="str">
        <f>VLOOKUP($A87,'CCRA3 Risks'!$A:$R,16,FALSE)</f>
        <v>N/A</v>
      </c>
      <c r="AA87" s="206" t="str">
        <f>VLOOKUP($A87,'CCRA3 Risks'!$A:$R,17,FALSE)</f>
        <v>N/A</v>
      </c>
      <c r="AB87" s="206" t="str">
        <f>VLOOKUP($A87,'CCRA3 Risks'!$A:$R,18,FALSE)</f>
        <v>Low (no key policies in the next two years)</v>
      </c>
      <c r="AC87" s="202">
        <f>VLOOKUP($A87,'CCRA3 Risks'!$A:$AG,19,FALSE)</f>
        <v>0</v>
      </c>
      <c r="AD87" s="123">
        <f>VLOOKUP($A87,'CCRA3 Risks'!$A:$AG,20,FALSE)</f>
        <v>0</v>
      </c>
      <c r="AE87" s="123">
        <f>VLOOKUP($A87,'CCRA3 Risks'!$A:$AG,21,FALSE)</f>
        <v>0</v>
      </c>
      <c r="AF87" s="123" t="str">
        <f>VLOOKUP($A87,'CCRA3 Risks'!$A:$AG,22,FALSE)</f>
        <v>Y</v>
      </c>
      <c r="AG87" s="123">
        <f>VLOOKUP($A87,'CCRA3 Risks'!$A:$AG,23,FALSE)</f>
        <v>0</v>
      </c>
      <c r="AH87" s="123">
        <f>VLOOKUP($A87,'CCRA3 Risks'!$A:$AG,24,FALSE)</f>
        <v>0</v>
      </c>
      <c r="AI87" s="123">
        <f>VLOOKUP($A87,'CCRA3 Risks'!$A:$AG,25,FALSE)</f>
        <v>0</v>
      </c>
      <c r="AJ87" s="123">
        <f>VLOOKUP($A87,'CCRA3 Risks'!$A:$AG,26,FALSE)</f>
        <v>0</v>
      </c>
      <c r="AK87" s="123">
        <f>VLOOKUP($A87,'CCRA3 Risks'!$A:$AG,27,FALSE)</f>
        <v>0</v>
      </c>
      <c r="AL87" s="123">
        <f>VLOOKUP($A87,'CCRA3 Risks'!$A:$AG,28,FALSE)</f>
        <v>0</v>
      </c>
      <c r="AM87" s="123">
        <f>VLOOKUP($A87,'CCRA3 Risks'!$A:$AG,29,FALSE)</f>
        <v>0</v>
      </c>
      <c r="AN87" s="123">
        <f>VLOOKUP($A87,'CCRA3 Risks'!$A:$AG,30,FALSE)</f>
        <v>0</v>
      </c>
      <c r="AO87" s="123">
        <f>VLOOKUP($A87,'CCRA3 Risks'!$A:$AG,31,FALSE)</f>
        <v>0</v>
      </c>
      <c r="AP87" s="123">
        <f>VLOOKUP($A87,'CCRA3 Risks'!$A:$AG,32,FALSE)</f>
        <v>0</v>
      </c>
      <c r="AQ87" s="123">
        <f>VLOOKUP($A87,'CCRA3 Risks'!$A:$AG,33,FALSE)</f>
        <v>0</v>
      </c>
    </row>
    <row r="88" spans="1:43" ht="76.5" x14ac:dyDescent="0.25">
      <c r="A88" s="88" t="s">
        <v>251</v>
      </c>
      <c r="B88" s="88" t="s">
        <v>788</v>
      </c>
      <c r="C88" s="83" t="s">
        <v>789</v>
      </c>
      <c r="D88" s="83" t="s">
        <v>461</v>
      </c>
      <c r="E88" s="88" t="s">
        <v>67</v>
      </c>
      <c r="F88" s="83" t="s">
        <v>33</v>
      </c>
      <c r="G88" s="83" t="s">
        <v>20</v>
      </c>
      <c r="H88" s="83" t="s">
        <v>790</v>
      </c>
      <c r="I88" s="88"/>
      <c r="J88" s="88" t="s">
        <v>411</v>
      </c>
      <c r="K88" s="83" t="s">
        <v>791</v>
      </c>
      <c r="L88" s="88" t="s">
        <v>480</v>
      </c>
      <c r="M88" s="88" t="s">
        <v>480</v>
      </c>
      <c r="N88" s="206" t="str">
        <f>VLOOKUP($A88,'CCRA3 Risks'!$A:$R,2,FALSE)</f>
        <v>H10 Risks to health from water quality and household water supply
(a) water quality
(b) water quantity</v>
      </c>
      <c r="O88" s="206" t="str">
        <f>VLOOKUP($A88,'CCRA3 Risks'!$A:$R,3,FALSE)</f>
        <v>No</v>
      </c>
      <c r="P88" s="207">
        <f>VLOOKUP($A88,'CCRA3 Risks'!$A:$R,4,FALSE)</f>
        <v>5</v>
      </c>
      <c r="Q88" s="206" t="str">
        <f>VLOOKUP($A88,'CCRA3 Risks'!$A:$R,7,FALSE)</f>
        <v>England</v>
      </c>
      <c r="R88" s="206" t="str">
        <f>VLOOKUP($A88,'CCRA3 Risks'!$A:$R,8,FALSE)</f>
        <v>Medium</v>
      </c>
      <c r="S88" s="206" t="str">
        <f>VLOOKUP($A88,'CCRA3 Risks'!$A:$R,9,FALSE)</f>
        <v>High</v>
      </c>
      <c r="T88" s="206" t="str">
        <f>VLOOKUP($A88,'CCRA3 Risks'!$A:$R,10,FALSE)</f>
        <v>High</v>
      </c>
      <c r="U88" s="206" t="str">
        <f>VLOOKUP($A88,'CCRA3 Risks'!$A:$R,11,FALSE)</f>
        <v>High</v>
      </c>
      <c r="V88" s="206" t="str">
        <f>VLOOKUP($A88,'CCRA3 Risks'!$A:$R,12,FALSE)</f>
        <v>High</v>
      </c>
      <c r="W88" s="206" t="str">
        <f>VLOOKUP($A88,'CCRA3 Risks'!$A:$R,13,FALSE)</f>
        <v>Partially</v>
      </c>
      <c r="X88" s="206" t="str">
        <f>VLOOKUP($A88,'CCRA3 Risks'!$A:$R,14,FALSE)</f>
        <v>Further investigation</v>
      </c>
      <c r="Y88" s="206" t="str">
        <f>VLOOKUP($A88,'CCRA3 Risks'!$A:$R,15,FALSE)</f>
        <v>Further Investigation</v>
      </c>
      <c r="Z88" s="206" t="str">
        <f>VLOOKUP($A88,'CCRA3 Risks'!$A:$R,16,FALSE)</f>
        <v>N/A</v>
      </c>
      <c r="AA88" s="206" t="str">
        <f>VLOOKUP($A88,'CCRA3 Risks'!$A:$R,17,FALSE)</f>
        <v>N/A</v>
      </c>
      <c r="AB88" s="206" t="str">
        <f>VLOOKUP($A88,'CCRA3 Risks'!$A:$R,18,FALSE)</f>
        <v>Low (no key policies in the next two years)</v>
      </c>
      <c r="AC88" s="202">
        <f>VLOOKUP($A88,'CCRA3 Risks'!$A:$AG,19,FALSE)</f>
        <v>0</v>
      </c>
      <c r="AD88" s="123">
        <f>VLOOKUP($A88,'CCRA3 Risks'!$A:$AG,20,FALSE)</f>
        <v>0</v>
      </c>
      <c r="AE88" s="123">
        <f>VLOOKUP($A88,'CCRA3 Risks'!$A:$AG,21,FALSE)</f>
        <v>0</v>
      </c>
      <c r="AF88" s="123" t="str">
        <f>VLOOKUP($A88,'CCRA3 Risks'!$A:$AG,22,FALSE)</f>
        <v>Y</v>
      </c>
      <c r="AG88" s="123">
        <f>VLOOKUP($A88,'CCRA3 Risks'!$A:$AG,23,FALSE)</f>
        <v>0</v>
      </c>
      <c r="AH88" s="123">
        <f>VLOOKUP($A88,'CCRA3 Risks'!$A:$AG,24,FALSE)</f>
        <v>0</v>
      </c>
      <c r="AI88" s="123">
        <f>VLOOKUP($A88,'CCRA3 Risks'!$A:$AG,25,FALSE)</f>
        <v>0</v>
      </c>
      <c r="AJ88" s="123">
        <f>VLOOKUP($A88,'CCRA3 Risks'!$A:$AG,26,FALSE)</f>
        <v>0</v>
      </c>
      <c r="AK88" s="123">
        <f>VLOOKUP($A88,'CCRA3 Risks'!$A:$AG,27,FALSE)</f>
        <v>0</v>
      </c>
      <c r="AL88" s="123">
        <f>VLOOKUP($A88,'CCRA3 Risks'!$A:$AG,28,FALSE)</f>
        <v>0</v>
      </c>
      <c r="AM88" s="123">
        <f>VLOOKUP($A88,'CCRA3 Risks'!$A:$AG,29,FALSE)</f>
        <v>0</v>
      </c>
      <c r="AN88" s="123">
        <f>VLOOKUP($A88,'CCRA3 Risks'!$A:$AG,30,FALSE)</f>
        <v>0</v>
      </c>
      <c r="AO88" s="123">
        <f>VLOOKUP($A88,'CCRA3 Risks'!$A:$AG,31,FALSE)</f>
        <v>0</v>
      </c>
      <c r="AP88" s="123">
        <f>VLOOKUP($A88,'CCRA3 Risks'!$A:$AG,32,FALSE)</f>
        <v>0</v>
      </c>
      <c r="AQ88" s="123">
        <f>VLOOKUP($A88,'CCRA3 Risks'!$A:$AG,33,FALSE)</f>
        <v>0</v>
      </c>
    </row>
    <row r="89" spans="1:43" ht="76.5" x14ac:dyDescent="0.25">
      <c r="A89" s="88" t="s">
        <v>251</v>
      </c>
      <c r="B89" s="88" t="s">
        <v>792</v>
      </c>
      <c r="C89" s="83" t="s">
        <v>793</v>
      </c>
      <c r="D89" s="83" t="s">
        <v>461</v>
      </c>
      <c r="E89" s="88" t="s">
        <v>67</v>
      </c>
      <c r="F89" s="83" t="s">
        <v>33</v>
      </c>
      <c r="G89" s="83" t="s">
        <v>20</v>
      </c>
      <c r="H89" s="83" t="s">
        <v>794</v>
      </c>
      <c r="I89" s="88"/>
      <c r="J89" s="88" t="s">
        <v>417</v>
      </c>
      <c r="K89" s="83" t="s">
        <v>795</v>
      </c>
      <c r="L89" s="88" t="s">
        <v>480</v>
      </c>
      <c r="M89" s="88" t="s">
        <v>480</v>
      </c>
      <c r="N89" s="206" t="str">
        <f>VLOOKUP($A89,'CCRA3 Risks'!$A:$R,2,FALSE)</f>
        <v>H10 Risks to health from water quality and household water supply
(a) water quality
(b) water quantity</v>
      </c>
      <c r="O89" s="206" t="str">
        <f>VLOOKUP($A89,'CCRA3 Risks'!$A:$R,3,FALSE)</f>
        <v>No</v>
      </c>
      <c r="P89" s="207">
        <f>VLOOKUP($A89,'CCRA3 Risks'!$A:$R,4,FALSE)</f>
        <v>5</v>
      </c>
      <c r="Q89" s="206" t="str">
        <f>VLOOKUP($A89,'CCRA3 Risks'!$A:$R,7,FALSE)</f>
        <v>England</v>
      </c>
      <c r="R89" s="206" t="str">
        <f>VLOOKUP($A89,'CCRA3 Risks'!$A:$R,8,FALSE)</f>
        <v>Medium</v>
      </c>
      <c r="S89" s="206" t="str">
        <f>VLOOKUP($A89,'CCRA3 Risks'!$A:$R,9,FALSE)</f>
        <v>High</v>
      </c>
      <c r="T89" s="206" t="str">
        <f>VLOOKUP($A89,'CCRA3 Risks'!$A:$R,10,FALSE)</f>
        <v>High</v>
      </c>
      <c r="U89" s="206" t="str">
        <f>VLOOKUP($A89,'CCRA3 Risks'!$A:$R,11,FALSE)</f>
        <v>High</v>
      </c>
      <c r="V89" s="206" t="str">
        <f>VLOOKUP($A89,'CCRA3 Risks'!$A:$R,12,FALSE)</f>
        <v>High</v>
      </c>
      <c r="W89" s="206" t="str">
        <f>VLOOKUP($A89,'CCRA3 Risks'!$A:$R,13,FALSE)</f>
        <v>Partially</v>
      </c>
      <c r="X89" s="206" t="str">
        <f>VLOOKUP($A89,'CCRA3 Risks'!$A:$R,14,FALSE)</f>
        <v>Further investigation</v>
      </c>
      <c r="Y89" s="206" t="str">
        <f>VLOOKUP($A89,'CCRA3 Risks'!$A:$R,15,FALSE)</f>
        <v>Further Investigation</v>
      </c>
      <c r="Z89" s="206" t="str">
        <f>VLOOKUP($A89,'CCRA3 Risks'!$A:$R,16,FALSE)</f>
        <v>N/A</v>
      </c>
      <c r="AA89" s="206" t="str">
        <f>VLOOKUP($A89,'CCRA3 Risks'!$A:$R,17,FALSE)</f>
        <v>N/A</v>
      </c>
      <c r="AB89" s="206" t="str">
        <f>VLOOKUP($A89,'CCRA3 Risks'!$A:$R,18,FALSE)</f>
        <v>Low (no key policies in the next two years)</v>
      </c>
      <c r="AC89" s="202">
        <f>VLOOKUP($A89,'CCRA3 Risks'!$A:$AG,19,FALSE)</f>
        <v>0</v>
      </c>
      <c r="AD89" s="123">
        <f>VLOOKUP($A89,'CCRA3 Risks'!$A:$AG,20,FALSE)</f>
        <v>0</v>
      </c>
      <c r="AE89" s="123">
        <f>VLOOKUP($A89,'CCRA3 Risks'!$A:$AG,21,FALSE)</f>
        <v>0</v>
      </c>
      <c r="AF89" s="123" t="str">
        <f>VLOOKUP($A89,'CCRA3 Risks'!$A:$AG,22,FALSE)</f>
        <v>Y</v>
      </c>
      <c r="AG89" s="123">
        <f>VLOOKUP($A89,'CCRA3 Risks'!$A:$AG,23,FALSE)</f>
        <v>0</v>
      </c>
      <c r="AH89" s="123">
        <f>VLOOKUP($A89,'CCRA3 Risks'!$A:$AG,24,FALSE)</f>
        <v>0</v>
      </c>
      <c r="AI89" s="123">
        <f>VLOOKUP($A89,'CCRA3 Risks'!$A:$AG,25,FALSE)</f>
        <v>0</v>
      </c>
      <c r="AJ89" s="123">
        <f>VLOOKUP($A89,'CCRA3 Risks'!$A:$AG,26,FALSE)</f>
        <v>0</v>
      </c>
      <c r="AK89" s="123">
        <f>VLOOKUP($A89,'CCRA3 Risks'!$A:$AG,27,FALSE)</f>
        <v>0</v>
      </c>
      <c r="AL89" s="123">
        <f>VLOOKUP($A89,'CCRA3 Risks'!$A:$AG,28,FALSE)</f>
        <v>0</v>
      </c>
      <c r="AM89" s="123">
        <f>VLOOKUP($A89,'CCRA3 Risks'!$A:$AG,29,FALSE)</f>
        <v>0</v>
      </c>
      <c r="AN89" s="123">
        <f>VLOOKUP($A89,'CCRA3 Risks'!$A:$AG,30,FALSE)</f>
        <v>0</v>
      </c>
      <c r="AO89" s="123">
        <f>VLOOKUP($A89,'CCRA3 Risks'!$A:$AG,31,FALSE)</f>
        <v>0</v>
      </c>
      <c r="AP89" s="123">
        <f>VLOOKUP($A89,'CCRA3 Risks'!$A:$AG,32,FALSE)</f>
        <v>0</v>
      </c>
      <c r="AQ89" s="123">
        <f>VLOOKUP($A89,'CCRA3 Risks'!$A:$AG,33,FALSE)</f>
        <v>0</v>
      </c>
    </row>
    <row r="90" spans="1:43" ht="178.5" x14ac:dyDescent="0.25">
      <c r="A90" s="88" t="s">
        <v>255</v>
      </c>
      <c r="B90" s="88" t="s">
        <v>796</v>
      </c>
      <c r="C90" s="83" t="s">
        <v>797</v>
      </c>
      <c r="D90" s="83" t="s">
        <v>461</v>
      </c>
      <c r="E90" s="88" t="s">
        <v>67</v>
      </c>
      <c r="F90" s="83" t="s">
        <v>33</v>
      </c>
      <c r="G90" s="83" t="s">
        <v>30</v>
      </c>
      <c r="H90" s="83" t="s">
        <v>798</v>
      </c>
      <c r="I90" s="88"/>
      <c r="J90" s="88" t="s">
        <v>405</v>
      </c>
      <c r="K90" s="83" t="s">
        <v>799</v>
      </c>
      <c r="L90" s="88" t="s">
        <v>800</v>
      </c>
      <c r="M90" s="83" t="s">
        <v>801</v>
      </c>
      <c r="N90" s="206" t="str">
        <f>VLOOKUP($A90,'CCRA3 Risks'!$A:$R,2,FALSE)</f>
        <v>H11 Risks to cultural heritage</v>
      </c>
      <c r="O90" s="206" t="str">
        <f>VLOOKUP($A90,'CCRA3 Risks'!$A:$R,3,FALSE)</f>
        <v>No</v>
      </c>
      <c r="P90" s="207">
        <f>VLOOKUP($A90,'CCRA3 Risks'!$A:$R,4,FALSE)</f>
        <v>5</v>
      </c>
      <c r="Q90" s="206" t="str">
        <f>VLOOKUP($A90,'CCRA3 Risks'!$A:$R,7,FALSE)</f>
        <v>England</v>
      </c>
      <c r="R90" s="206" t="str">
        <f>VLOOKUP($A90,'CCRA3 Risks'!$A:$R,8,FALSE)</f>
        <v>Medium</v>
      </c>
      <c r="S90" s="206" t="str">
        <f>VLOOKUP($A90,'CCRA3 Risks'!$A:$R,9,FALSE)</f>
        <v>Medium</v>
      </c>
      <c r="T90" s="206" t="str">
        <f>VLOOKUP($A90,'CCRA3 Risks'!$A:$R,10,FALSE)</f>
        <v>High</v>
      </c>
      <c r="U90" s="206" t="str">
        <f>VLOOKUP($A90,'CCRA3 Risks'!$A:$R,11,FALSE)</f>
        <v>High</v>
      </c>
      <c r="V90" s="206" t="str">
        <f>VLOOKUP($A90,'CCRA3 Risks'!$A:$R,12,FALSE)</f>
        <v>High</v>
      </c>
      <c r="W90" s="206" t="str">
        <f>VLOOKUP($A90,'CCRA3 Risks'!$A:$R,13,FALSE)</f>
        <v>Partially</v>
      </c>
      <c r="X90" s="206" t="str">
        <f>VLOOKUP($A90,'CCRA3 Risks'!$A:$R,14,FALSE)</f>
        <v>More action needed</v>
      </c>
      <c r="Y90" s="206" t="str">
        <f>VLOOKUP($A90,'CCRA3 Risks'!$A:$R,15,FALSE)</f>
        <v>More action needed</v>
      </c>
      <c r="Z90" s="206" t="str">
        <f>VLOOKUP($A90,'CCRA3 Risks'!$A:$R,16,FALSE)</f>
        <v>N/A</v>
      </c>
      <c r="AA90" s="206" t="str">
        <f>VLOOKUP($A90,'CCRA3 Risks'!$A:$R,17,FALSE)</f>
        <v>N/A</v>
      </c>
      <c r="AB90" s="206" t="str">
        <f>VLOOKUP($A90,'CCRA3 Risks'!$A:$R,18,FALSE)</f>
        <v>Low (no key policies in the next two years)</v>
      </c>
      <c r="AC90" s="202">
        <f>VLOOKUP($A90,'CCRA3 Risks'!$A:$AG,19,FALSE)</f>
        <v>0</v>
      </c>
      <c r="AD90" s="123">
        <f>VLOOKUP($A90,'CCRA3 Risks'!$A:$AG,20,FALSE)</f>
        <v>0</v>
      </c>
      <c r="AE90" s="123">
        <f>VLOOKUP($A90,'CCRA3 Risks'!$A:$AG,21,FALSE)</f>
        <v>0</v>
      </c>
      <c r="AF90" s="123">
        <f>VLOOKUP($A90,'CCRA3 Risks'!$A:$AG,22,FALSE)</f>
        <v>0</v>
      </c>
      <c r="AG90" s="123">
        <f>VLOOKUP($A90,'CCRA3 Risks'!$A:$AG,23,FALSE)</f>
        <v>0</v>
      </c>
      <c r="AH90" s="123">
        <f>VLOOKUP($A90,'CCRA3 Risks'!$A:$AG,24,FALSE)</f>
        <v>0</v>
      </c>
      <c r="AI90" s="123">
        <f>VLOOKUP($A90,'CCRA3 Risks'!$A:$AG,25,FALSE)</f>
        <v>0</v>
      </c>
      <c r="AJ90" s="123">
        <f>VLOOKUP($A90,'CCRA3 Risks'!$A:$AG,26,FALSE)</f>
        <v>0</v>
      </c>
      <c r="AK90" s="123">
        <f>VLOOKUP($A90,'CCRA3 Risks'!$A:$AG,27,FALSE)</f>
        <v>0</v>
      </c>
      <c r="AL90" s="123">
        <f>VLOOKUP($A90,'CCRA3 Risks'!$A:$AG,28,FALSE)</f>
        <v>0</v>
      </c>
      <c r="AM90" s="123" t="str">
        <f>VLOOKUP($A90,'CCRA3 Risks'!$A:$AG,29,FALSE)</f>
        <v>Y</v>
      </c>
      <c r="AN90" s="123">
        <f>VLOOKUP($A90,'CCRA3 Risks'!$A:$AG,30,FALSE)</f>
        <v>0</v>
      </c>
      <c r="AO90" s="123">
        <f>VLOOKUP($A90,'CCRA3 Risks'!$A:$AG,31,FALSE)</f>
        <v>0</v>
      </c>
      <c r="AP90" s="123">
        <f>VLOOKUP($A90,'CCRA3 Risks'!$A:$AG,32,FALSE)</f>
        <v>0</v>
      </c>
      <c r="AQ90" s="123">
        <f>VLOOKUP($A90,'CCRA3 Risks'!$A:$AG,33,FALSE)</f>
        <v>0</v>
      </c>
    </row>
    <row r="91" spans="1:43" ht="242.25" x14ac:dyDescent="0.25">
      <c r="A91" s="88" t="s">
        <v>255</v>
      </c>
      <c r="B91" s="88" t="s">
        <v>802</v>
      </c>
      <c r="C91" s="83" t="s">
        <v>803</v>
      </c>
      <c r="D91" s="83" t="s">
        <v>461</v>
      </c>
      <c r="E91" s="88" t="s">
        <v>67</v>
      </c>
      <c r="F91" s="83" t="s">
        <v>33</v>
      </c>
      <c r="G91" s="83" t="s">
        <v>20</v>
      </c>
      <c r="H91" s="83" t="s">
        <v>804</v>
      </c>
      <c r="I91" s="88"/>
      <c r="J91" s="88" t="s">
        <v>398</v>
      </c>
      <c r="K91" s="83" t="s">
        <v>805</v>
      </c>
      <c r="L91" s="88" t="s">
        <v>800</v>
      </c>
      <c r="M91" s="83" t="s">
        <v>806</v>
      </c>
      <c r="N91" s="206" t="str">
        <f>VLOOKUP($A91,'CCRA3 Risks'!$A:$R,2,FALSE)</f>
        <v>H11 Risks to cultural heritage</v>
      </c>
      <c r="O91" s="206" t="str">
        <f>VLOOKUP($A91,'CCRA3 Risks'!$A:$R,3,FALSE)</f>
        <v>No</v>
      </c>
      <c r="P91" s="207">
        <f>VLOOKUP($A91,'CCRA3 Risks'!$A:$R,4,FALSE)</f>
        <v>5</v>
      </c>
      <c r="Q91" s="206" t="str">
        <f>VLOOKUP($A91,'CCRA3 Risks'!$A:$R,7,FALSE)</f>
        <v>England</v>
      </c>
      <c r="R91" s="206" t="str">
        <f>VLOOKUP($A91,'CCRA3 Risks'!$A:$R,8,FALSE)</f>
        <v>Medium</v>
      </c>
      <c r="S91" s="206" t="str">
        <f>VLOOKUP($A91,'CCRA3 Risks'!$A:$R,9,FALSE)</f>
        <v>Medium</v>
      </c>
      <c r="T91" s="206" t="str">
        <f>VLOOKUP($A91,'CCRA3 Risks'!$A:$R,10,FALSE)</f>
        <v>High</v>
      </c>
      <c r="U91" s="206" t="str">
        <f>VLOOKUP($A91,'CCRA3 Risks'!$A:$R,11,FALSE)</f>
        <v>High</v>
      </c>
      <c r="V91" s="206" t="str">
        <f>VLOOKUP($A91,'CCRA3 Risks'!$A:$R,12,FALSE)</f>
        <v>High</v>
      </c>
      <c r="W91" s="206" t="str">
        <f>VLOOKUP($A91,'CCRA3 Risks'!$A:$R,13,FALSE)</f>
        <v>Partially</v>
      </c>
      <c r="X91" s="206" t="str">
        <f>VLOOKUP($A91,'CCRA3 Risks'!$A:$R,14,FALSE)</f>
        <v>More action needed</v>
      </c>
      <c r="Y91" s="206" t="str">
        <f>VLOOKUP($A91,'CCRA3 Risks'!$A:$R,15,FALSE)</f>
        <v>More action needed</v>
      </c>
      <c r="Z91" s="206" t="str">
        <f>VLOOKUP($A91,'CCRA3 Risks'!$A:$R,16,FALSE)</f>
        <v>N/A</v>
      </c>
      <c r="AA91" s="206" t="str">
        <f>VLOOKUP($A91,'CCRA3 Risks'!$A:$R,17,FALSE)</f>
        <v>N/A</v>
      </c>
      <c r="AB91" s="206" t="str">
        <f>VLOOKUP($A91,'CCRA3 Risks'!$A:$R,18,FALSE)</f>
        <v>Low (no key policies in the next two years)</v>
      </c>
      <c r="AC91" s="202">
        <f>VLOOKUP($A91,'CCRA3 Risks'!$A:$AG,19,FALSE)</f>
        <v>0</v>
      </c>
      <c r="AD91" s="123">
        <f>VLOOKUP($A91,'CCRA3 Risks'!$A:$AG,20,FALSE)</f>
        <v>0</v>
      </c>
      <c r="AE91" s="123">
        <f>VLOOKUP($A91,'CCRA3 Risks'!$A:$AG,21,FALSE)</f>
        <v>0</v>
      </c>
      <c r="AF91" s="123">
        <f>VLOOKUP($A91,'CCRA3 Risks'!$A:$AG,22,FALSE)</f>
        <v>0</v>
      </c>
      <c r="AG91" s="123">
        <f>VLOOKUP($A91,'CCRA3 Risks'!$A:$AG,23,FALSE)</f>
        <v>0</v>
      </c>
      <c r="AH91" s="123">
        <f>VLOOKUP($A91,'CCRA3 Risks'!$A:$AG,24,FALSE)</f>
        <v>0</v>
      </c>
      <c r="AI91" s="123">
        <f>VLOOKUP($A91,'CCRA3 Risks'!$A:$AG,25,FALSE)</f>
        <v>0</v>
      </c>
      <c r="AJ91" s="123">
        <f>VLOOKUP($A91,'CCRA3 Risks'!$A:$AG,26,FALSE)</f>
        <v>0</v>
      </c>
      <c r="AK91" s="123">
        <f>VLOOKUP($A91,'CCRA3 Risks'!$A:$AG,27,FALSE)</f>
        <v>0</v>
      </c>
      <c r="AL91" s="123">
        <f>VLOOKUP($A91,'CCRA3 Risks'!$A:$AG,28,FALSE)</f>
        <v>0</v>
      </c>
      <c r="AM91" s="123" t="str">
        <f>VLOOKUP($A91,'CCRA3 Risks'!$A:$AG,29,FALSE)</f>
        <v>Y</v>
      </c>
      <c r="AN91" s="123">
        <f>VLOOKUP($A91,'CCRA3 Risks'!$A:$AG,30,FALSE)</f>
        <v>0</v>
      </c>
      <c r="AO91" s="123">
        <f>VLOOKUP($A91,'CCRA3 Risks'!$A:$AG,31,FALSE)</f>
        <v>0</v>
      </c>
      <c r="AP91" s="123">
        <f>VLOOKUP($A91,'CCRA3 Risks'!$A:$AG,32,FALSE)</f>
        <v>0</v>
      </c>
      <c r="AQ91" s="123">
        <f>VLOOKUP($A91,'CCRA3 Risks'!$A:$AG,33,FALSE)</f>
        <v>0</v>
      </c>
    </row>
    <row r="92" spans="1:43" ht="89.25" x14ac:dyDescent="0.25">
      <c r="A92" s="88" t="s">
        <v>257</v>
      </c>
      <c r="B92" s="88" t="s">
        <v>807</v>
      </c>
      <c r="C92" s="83" t="s">
        <v>808</v>
      </c>
      <c r="D92" s="83" t="s">
        <v>461</v>
      </c>
      <c r="E92" s="88" t="s">
        <v>67</v>
      </c>
      <c r="F92" s="83" t="s">
        <v>396</v>
      </c>
      <c r="G92" s="83" t="s">
        <v>30</v>
      </c>
      <c r="H92" s="83" t="s">
        <v>809</v>
      </c>
      <c r="I92" s="88"/>
      <c r="J92" s="88" t="s">
        <v>463</v>
      </c>
      <c r="K92" s="83" t="s">
        <v>810</v>
      </c>
      <c r="L92" s="88" t="s">
        <v>629</v>
      </c>
      <c r="M92" s="88" t="s">
        <v>811</v>
      </c>
      <c r="N92" s="206" t="str">
        <f>VLOOKUP($A92,'CCRA3 Risks'!$A:$R,2,FALSE)</f>
        <v>H12 Risks to health and social care delivery</v>
      </c>
      <c r="O92" s="206" t="str">
        <f>VLOOKUP($A92,'CCRA3 Risks'!$A:$R,3,FALSE)</f>
        <v>No</v>
      </c>
      <c r="P92" s="207">
        <f>VLOOKUP($A92,'CCRA3 Risks'!$A:$R,4,FALSE)</f>
        <v>5</v>
      </c>
      <c r="Q92" s="206" t="str">
        <f>VLOOKUP($A92,'CCRA3 Risks'!$A:$R,7,FALSE)</f>
        <v>England</v>
      </c>
      <c r="R92" s="206" t="str">
        <f>VLOOKUP($A92,'CCRA3 Risks'!$A:$R,8,FALSE)</f>
        <v>Medium</v>
      </c>
      <c r="S92" s="206" t="str">
        <f>VLOOKUP($A92,'CCRA3 Risks'!$A:$R,9,FALSE)</f>
        <v>Medium</v>
      </c>
      <c r="T92" s="206" t="str">
        <f>VLOOKUP($A92,'CCRA3 Risks'!$A:$R,10,FALSE)</f>
        <v>Medium</v>
      </c>
      <c r="U92" s="206" t="str">
        <f>VLOOKUP($A92,'CCRA3 Risks'!$A:$R,11,FALSE)</f>
        <v>High</v>
      </c>
      <c r="V92" s="206" t="str">
        <f>VLOOKUP($A92,'CCRA3 Risks'!$A:$R,12,FALSE)</f>
        <v>High</v>
      </c>
      <c r="W92" s="206" t="str">
        <f>VLOOKUP($A92,'CCRA3 Risks'!$A:$R,13,FALSE)</f>
        <v>Partially</v>
      </c>
      <c r="X92" s="206" t="str">
        <f>VLOOKUP($A92,'CCRA3 Risks'!$A:$R,14,FALSE)</f>
        <v>More action needed</v>
      </c>
      <c r="Y92" s="206" t="str">
        <f>VLOOKUP($A92,'CCRA3 Risks'!$A:$R,15,FALSE)</f>
        <v>More action needed</v>
      </c>
      <c r="Z92" s="206" t="str">
        <f>VLOOKUP($A92,'CCRA3 Risks'!$A:$R,16,FALSE)</f>
        <v>Medium (5)</v>
      </c>
      <c r="AA92" s="206" t="str">
        <f>VLOOKUP($A92,'CCRA3 Risks'!$A:$R,17,FALSE)</f>
        <v>Medium (Amber)</v>
      </c>
      <c r="AB92" s="206" t="str">
        <f>VLOOKUP($A92,'CCRA3 Risks'!$A:$R,18,FALSE)</f>
        <v>Medium (reviews of health and social care planning may emerge post-Covid, but uncertain)</v>
      </c>
      <c r="AC92" s="202">
        <f>VLOOKUP($A92,'CCRA3 Risks'!$A:$AG,19,FALSE)</f>
        <v>0</v>
      </c>
      <c r="AD92" s="123">
        <f>VLOOKUP($A92,'CCRA3 Risks'!$A:$AG,20,FALSE)</f>
        <v>0</v>
      </c>
      <c r="AE92" s="123">
        <f>VLOOKUP($A92,'CCRA3 Risks'!$A:$AG,21,FALSE)</f>
        <v>0</v>
      </c>
      <c r="AF92" s="123">
        <f>VLOOKUP($A92,'CCRA3 Risks'!$A:$AG,22,FALSE)</f>
        <v>0</v>
      </c>
      <c r="AG92" s="123">
        <f>VLOOKUP($A92,'CCRA3 Risks'!$A:$AG,23,FALSE)</f>
        <v>0</v>
      </c>
      <c r="AH92" s="123">
        <f>VLOOKUP($A92,'CCRA3 Risks'!$A:$AG,24,FALSE)</f>
        <v>0</v>
      </c>
      <c r="AI92" s="123">
        <f>VLOOKUP($A92,'CCRA3 Risks'!$A:$AG,25,FALSE)</f>
        <v>0</v>
      </c>
      <c r="AJ92" s="123">
        <f>VLOOKUP($A92,'CCRA3 Risks'!$A:$AG,26,FALSE)</f>
        <v>0</v>
      </c>
      <c r="AK92" s="123" t="str">
        <f>VLOOKUP($A92,'CCRA3 Risks'!$A:$AG,27,FALSE)</f>
        <v>Y</v>
      </c>
      <c r="AL92" s="123" t="str">
        <f>VLOOKUP($A92,'CCRA3 Risks'!$A:$AG,28,FALSE)</f>
        <v>Y</v>
      </c>
      <c r="AM92" s="123">
        <f>VLOOKUP($A92,'CCRA3 Risks'!$A:$AG,29,FALSE)</f>
        <v>0</v>
      </c>
      <c r="AN92" s="123">
        <f>VLOOKUP($A92,'CCRA3 Risks'!$A:$AG,30,FALSE)</f>
        <v>0</v>
      </c>
      <c r="AO92" s="123">
        <f>VLOOKUP($A92,'CCRA3 Risks'!$A:$AG,31,FALSE)</f>
        <v>0</v>
      </c>
      <c r="AP92" s="123">
        <f>VLOOKUP($A92,'CCRA3 Risks'!$A:$AG,32,FALSE)</f>
        <v>0</v>
      </c>
      <c r="AQ92" s="123">
        <f>VLOOKUP($A92,'CCRA3 Risks'!$A:$AG,33,FALSE)</f>
        <v>0</v>
      </c>
    </row>
    <row r="93" spans="1:43" ht="293.25" x14ac:dyDescent="0.25">
      <c r="A93" s="88" t="s">
        <v>257</v>
      </c>
      <c r="B93" s="88" t="s">
        <v>812</v>
      </c>
      <c r="C93" s="83" t="s">
        <v>813</v>
      </c>
      <c r="D93" s="83" t="s">
        <v>403</v>
      </c>
      <c r="E93" s="88" t="s">
        <v>67</v>
      </c>
      <c r="F93" s="83" t="s">
        <v>396</v>
      </c>
      <c r="G93" s="83" t="s">
        <v>30</v>
      </c>
      <c r="H93" s="83" t="s">
        <v>814</v>
      </c>
      <c r="I93" s="88"/>
      <c r="J93" s="88" t="s">
        <v>463</v>
      </c>
      <c r="K93" s="83" t="s">
        <v>815</v>
      </c>
      <c r="L93" s="88" t="s">
        <v>629</v>
      </c>
      <c r="M93" s="83" t="s">
        <v>816</v>
      </c>
      <c r="N93" s="206" t="str">
        <f>VLOOKUP($A93,'CCRA3 Risks'!$A:$R,2,FALSE)</f>
        <v>H12 Risks to health and social care delivery</v>
      </c>
      <c r="O93" s="206" t="str">
        <f>VLOOKUP($A93,'CCRA3 Risks'!$A:$R,3,FALSE)</f>
        <v>No</v>
      </c>
      <c r="P93" s="207">
        <f>VLOOKUP($A93,'CCRA3 Risks'!$A:$R,4,FALSE)</f>
        <v>5</v>
      </c>
      <c r="Q93" s="206" t="str">
        <f>VLOOKUP($A93,'CCRA3 Risks'!$A:$R,7,FALSE)</f>
        <v>England</v>
      </c>
      <c r="R93" s="206" t="str">
        <f>VLOOKUP($A93,'CCRA3 Risks'!$A:$R,8,FALSE)</f>
        <v>Medium</v>
      </c>
      <c r="S93" s="206" t="str">
        <f>VLOOKUP($A93,'CCRA3 Risks'!$A:$R,9,FALSE)</f>
        <v>Medium</v>
      </c>
      <c r="T93" s="206" t="str">
        <f>VLOOKUP($A93,'CCRA3 Risks'!$A:$R,10,FALSE)</f>
        <v>Medium</v>
      </c>
      <c r="U93" s="206" t="str">
        <f>VLOOKUP($A93,'CCRA3 Risks'!$A:$R,11,FALSE)</f>
        <v>High</v>
      </c>
      <c r="V93" s="206" t="str">
        <f>VLOOKUP($A93,'CCRA3 Risks'!$A:$R,12,FALSE)</f>
        <v>High</v>
      </c>
      <c r="W93" s="206" t="str">
        <f>VLOOKUP($A93,'CCRA3 Risks'!$A:$R,13,FALSE)</f>
        <v>Partially</v>
      </c>
      <c r="X93" s="206" t="str">
        <f>VLOOKUP($A93,'CCRA3 Risks'!$A:$R,14,FALSE)</f>
        <v>More action needed</v>
      </c>
      <c r="Y93" s="206" t="str">
        <f>VLOOKUP($A93,'CCRA3 Risks'!$A:$R,15,FALSE)</f>
        <v>More action needed</v>
      </c>
      <c r="Z93" s="206" t="str">
        <f>VLOOKUP($A93,'CCRA3 Risks'!$A:$R,16,FALSE)</f>
        <v>Medium (5)</v>
      </c>
      <c r="AA93" s="206" t="str">
        <f>VLOOKUP($A93,'CCRA3 Risks'!$A:$R,17,FALSE)</f>
        <v>Medium (Amber)</v>
      </c>
      <c r="AB93" s="206" t="str">
        <f>VLOOKUP($A93,'CCRA3 Risks'!$A:$R,18,FALSE)</f>
        <v>Medium (reviews of health and social care planning may emerge post-Covid, but uncertain)</v>
      </c>
      <c r="AC93" s="202">
        <f>VLOOKUP($A93,'CCRA3 Risks'!$A:$AG,19,FALSE)</f>
        <v>0</v>
      </c>
      <c r="AD93" s="123">
        <f>VLOOKUP($A93,'CCRA3 Risks'!$A:$AG,20,FALSE)</f>
        <v>0</v>
      </c>
      <c r="AE93" s="123">
        <f>VLOOKUP($A93,'CCRA3 Risks'!$A:$AG,21,FALSE)</f>
        <v>0</v>
      </c>
      <c r="AF93" s="123">
        <f>VLOOKUP($A93,'CCRA3 Risks'!$A:$AG,22,FALSE)</f>
        <v>0</v>
      </c>
      <c r="AG93" s="123">
        <f>VLOOKUP($A93,'CCRA3 Risks'!$A:$AG,23,FALSE)</f>
        <v>0</v>
      </c>
      <c r="AH93" s="123">
        <f>VLOOKUP($A93,'CCRA3 Risks'!$A:$AG,24,FALSE)</f>
        <v>0</v>
      </c>
      <c r="AI93" s="123">
        <f>VLOOKUP($A93,'CCRA3 Risks'!$A:$AG,25,FALSE)</f>
        <v>0</v>
      </c>
      <c r="AJ93" s="123">
        <f>VLOOKUP($A93,'CCRA3 Risks'!$A:$AG,26,FALSE)</f>
        <v>0</v>
      </c>
      <c r="AK93" s="123" t="str">
        <f>VLOOKUP($A93,'CCRA3 Risks'!$A:$AG,27,FALSE)</f>
        <v>Y</v>
      </c>
      <c r="AL93" s="123" t="str">
        <f>VLOOKUP($A93,'CCRA3 Risks'!$A:$AG,28,FALSE)</f>
        <v>Y</v>
      </c>
      <c r="AM93" s="123">
        <f>VLOOKUP($A93,'CCRA3 Risks'!$A:$AG,29,FALSE)</f>
        <v>0</v>
      </c>
      <c r="AN93" s="123">
        <f>VLOOKUP($A93,'CCRA3 Risks'!$A:$AG,30,FALSE)</f>
        <v>0</v>
      </c>
      <c r="AO93" s="123">
        <f>VLOOKUP($A93,'CCRA3 Risks'!$A:$AG,31,FALSE)</f>
        <v>0</v>
      </c>
      <c r="AP93" s="123">
        <f>VLOOKUP($A93,'CCRA3 Risks'!$A:$AG,32,FALSE)</f>
        <v>0</v>
      </c>
      <c r="AQ93" s="123">
        <f>VLOOKUP($A93,'CCRA3 Risks'!$A:$AG,33,FALSE)</f>
        <v>0</v>
      </c>
    </row>
    <row r="94" spans="1:43" ht="174.6" customHeight="1" x14ac:dyDescent="0.25">
      <c r="A94" s="88" t="s">
        <v>257</v>
      </c>
      <c r="B94" s="88" t="s">
        <v>817</v>
      </c>
      <c r="C94" s="83" t="s">
        <v>818</v>
      </c>
      <c r="D94" s="83" t="s">
        <v>461</v>
      </c>
      <c r="E94" s="88" t="s">
        <v>67</v>
      </c>
      <c r="F94" s="83" t="s">
        <v>33</v>
      </c>
      <c r="G94" s="83" t="s">
        <v>20</v>
      </c>
      <c r="H94" s="83" t="s">
        <v>819</v>
      </c>
      <c r="I94" s="88"/>
      <c r="J94" s="88" t="s">
        <v>463</v>
      </c>
      <c r="K94" s="83" t="s">
        <v>820</v>
      </c>
      <c r="L94" s="88" t="s">
        <v>629</v>
      </c>
      <c r="M94" s="88" t="s">
        <v>811</v>
      </c>
      <c r="N94" s="206" t="str">
        <f>VLOOKUP($A94,'CCRA3 Risks'!$A:$R,2,FALSE)</f>
        <v>H12 Risks to health and social care delivery</v>
      </c>
      <c r="O94" s="206" t="str">
        <f>VLOOKUP($A94,'CCRA3 Risks'!$A:$R,3,FALSE)</f>
        <v>No</v>
      </c>
      <c r="P94" s="207">
        <f>VLOOKUP($A94,'CCRA3 Risks'!$A:$R,4,FALSE)</f>
        <v>5</v>
      </c>
      <c r="Q94" s="206" t="str">
        <f>VLOOKUP($A94,'CCRA3 Risks'!$A:$R,7,FALSE)</f>
        <v>England</v>
      </c>
      <c r="R94" s="206" t="str">
        <f>VLOOKUP($A94,'CCRA3 Risks'!$A:$R,8,FALSE)</f>
        <v>Medium</v>
      </c>
      <c r="S94" s="206" t="str">
        <f>VLOOKUP($A94,'CCRA3 Risks'!$A:$R,9,FALSE)</f>
        <v>Medium</v>
      </c>
      <c r="T94" s="206" t="str">
        <f>VLOOKUP($A94,'CCRA3 Risks'!$A:$R,10,FALSE)</f>
        <v>Medium</v>
      </c>
      <c r="U94" s="206" t="str">
        <f>VLOOKUP($A94,'CCRA3 Risks'!$A:$R,11,FALSE)</f>
        <v>High</v>
      </c>
      <c r="V94" s="206" t="str">
        <f>VLOOKUP($A94,'CCRA3 Risks'!$A:$R,12,FALSE)</f>
        <v>High</v>
      </c>
      <c r="W94" s="206" t="str">
        <f>VLOOKUP($A94,'CCRA3 Risks'!$A:$R,13,FALSE)</f>
        <v>Partially</v>
      </c>
      <c r="X94" s="206" t="str">
        <f>VLOOKUP($A94,'CCRA3 Risks'!$A:$R,14,FALSE)</f>
        <v>More action needed</v>
      </c>
      <c r="Y94" s="206" t="str">
        <f>VLOOKUP($A94,'CCRA3 Risks'!$A:$R,15,FALSE)</f>
        <v>More action needed</v>
      </c>
      <c r="Z94" s="206" t="str">
        <f>VLOOKUP($A94,'CCRA3 Risks'!$A:$R,16,FALSE)</f>
        <v>Medium (5)</v>
      </c>
      <c r="AA94" s="206" t="str">
        <f>VLOOKUP($A94,'CCRA3 Risks'!$A:$R,17,FALSE)</f>
        <v>Medium (Amber)</v>
      </c>
      <c r="AB94" s="206" t="str">
        <f>VLOOKUP($A94,'CCRA3 Risks'!$A:$R,18,FALSE)</f>
        <v>Medium (reviews of health and social care planning may emerge post-Covid, but uncertain)</v>
      </c>
      <c r="AC94" s="202">
        <f>VLOOKUP($A94,'CCRA3 Risks'!$A:$AG,19,FALSE)</f>
        <v>0</v>
      </c>
      <c r="AD94" s="123">
        <f>VLOOKUP($A94,'CCRA3 Risks'!$A:$AG,20,FALSE)</f>
        <v>0</v>
      </c>
      <c r="AE94" s="123">
        <f>VLOOKUP($A94,'CCRA3 Risks'!$A:$AG,21,FALSE)</f>
        <v>0</v>
      </c>
      <c r="AF94" s="123">
        <f>VLOOKUP($A94,'CCRA3 Risks'!$A:$AG,22,FALSE)</f>
        <v>0</v>
      </c>
      <c r="AG94" s="123">
        <f>VLOOKUP($A94,'CCRA3 Risks'!$A:$AG,23,FALSE)</f>
        <v>0</v>
      </c>
      <c r="AH94" s="123">
        <f>VLOOKUP($A94,'CCRA3 Risks'!$A:$AG,24,FALSE)</f>
        <v>0</v>
      </c>
      <c r="AI94" s="123">
        <f>VLOOKUP($A94,'CCRA3 Risks'!$A:$AG,25,FALSE)</f>
        <v>0</v>
      </c>
      <c r="AJ94" s="123">
        <f>VLOOKUP($A94,'CCRA3 Risks'!$A:$AG,26,FALSE)</f>
        <v>0</v>
      </c>
      <c r="AK94" s="123" t="str">
        <f>VLOOKUP($A94,'CCRA3 Risks'!$A:$AG,27,FALSE)</f>
        <v>Y</v>
      </c>
      <c r="AL94" s="123" t="str">
        <f>VLOOKUP($A94,'CCRA3 Risks'!$A:$AG,28,FALSE)</f>
        <v>Y</v>
      </c>
      <c r="AM94" s="123">
        <f>VLOOKUP($A94,'CCRA3 Risks'!$A:$AG,29,FALSE)</f>
        <v>0</v>
      </c>
      <c r="AN94" s="123">
        <f>VLOOKUP($A94,'CCRA3 Risks'!$A:$AG,30,FALSE)</f>
        <v>0</v>
      </c>
      <c r="AO94" s="123">
        <f>VLOOKUP($A94,'CCRA3 Risks'!$A:$AG,31,FALSE)</f>
        <v>0</v>
      </c>
      <c r="AP94" s="123">
        <f>VLOOKUP($A94,'CCRA3 Risks'!$A:$AG,32,FALSE)</f>
        <v>0</v>
      </c>
      <c r="AQ94" s="123">
        <f>VLOOKUP($A94,'CCRA3 Risks'!$A:$AG,33,FALSE)</f>
        <v>0</v>
      </c>
    </row>
    <row r="95" spans="1:43" ht="302.10000000000002" customHeight="1" x14ac:dyDescent="0.25">
      <c r="A95" s="88" t="s">
        <v>257</v>
      </c>
      <c r="B95" s="88" t="s">
        <v>821</v>
      </c>
      <c r="C95" s="83" t="s">
        <v>822</v>
      </c>
      <c r="D95" s="83" t="s">
        <v>461</v>
      </c>
      <c r="E95" s="88" t="s">
        <v>67</v>
      </c>
      <c r="F95" s="83" t="s">
        <v>396</v>
      </c>
      <c r="G95" s="83" t="s">
        <v>30</v>
      </c>
      <c r="H95" s="83" t="s">
        <v>823</v>
      </c>
      <c r="I95" s="88"/>
      <c r="J95" s="88" t="s">
        <v>398</v>
      </c>
      <c r="K95" s="83" t="s">
        <v>824</v>
      </c>
      <c r="L95" s="88" t="s">
        <v>629</v>
      </c>
      <c r="M95" s="83" t="s">
        <v>753</v>
      </c>
      <c r="N95" s="206" t="str">
        <f>VLOOKUP($A95,'CCRA3 Risks'!$A:$R,2,FALSE)</f>
        <v>H12 Risks to health and social care delivery</v>
      </c>
      <c r="O95" s="206" t="str">
        <f>VLOOKUP($A95,'CCRA3 Risks'!$A:$R,3,FALSE)</f>
        <v>No</v>
      </c>
      <c r="P95" s="207">
        <f>VLOOKUP($A95,'CCRA3 Risks'!$A:$R,4,FALSE)</f>
        <v>5</v>
      </c>
      <c r="Q95" s="206" t="str">
        <f>VLOOKUP($A95,'CCRA3 Risks'!$A:$R,7,FALSE)</f>
        <v>England</v>
      </c>
      <c r="R95" s="206" t="str">
        <f>VLOOKUP($A95,'CCRA3 Risks'!$A:$R,8,FALSE)</f>
        <v>Medium</v>
      </c>
      <c r="S95" s="206" t="str">
        <f>VLOOKUP($A95,'CCRA3 Risks'!$A:$R,9,FALSE)</f>
        <v>Medium</v>
      </c>
      <c r="T95" s="206" t="str">
        <f>VLOOKUP($A95,'CCRA3 Risks'!$A:$R,10,FALSE)</f>
        <v>Medium</v>
      </c>
      <c r="U95" s="206" t="str">
        <f>VLOOKUP($A95,'CCRA3 Risks'!$A:$R,11,FALSE)</f>
        <v>High</v>
      </c>
      <c r="V95" s="206" t="str">
        <f>VLOOKUP($A95,'CCRA3 Risks'!$A:$R,12,FALSE)</f>
        <v>High</v>
      </c>
      <c r="W95" s="206" t="str">
        <f>VLOOKUP($A95,'CCRA3 Risks'!$A:$R,13,FALSE)</f>
        <v>Partially</v>
      </c>
      <c r="X95" s="206" t="str">
        <f>VLOOKUP($A95,'CCRA3 Risks'!$A:$R,14,FALSE)</f>
        <v>More action needed</v>
      </c>
      <c r="Y95" s="206" t="str">
        <f>VLOOKUP($A95,'CCRA3 Risks'!$A:$R,15,FALSE)</f>
        <v>More action needed</v>
      </c>
      <c r="Z95" s="206" t="str">
        <f>VLOOKUP($A95,'CCRA3 Risks'!$A:$R,16,FALSE)</f>
        <v>Medium (5)</v>
      </c>
      <c r="AA95" s="206" t="str">
        <f>VLOOKUP($A95,'CCRA3 Risks'!$A:$R,17,FALSE)</f>
        <v>Medium (Amber)</v>
      </c>
      <c r="AB95" s="206" t="str">
        <f>VLOOKUP($A95,'CCRA3 Risks'!$A:$R,18,FALSE)</f>
        <v>Medium (reviews of health and social care planning may emerge post-Covid, but uncertain)</v>
      </c>
      <c r="AC95" s="202">
        <f>VLOOKUP($A95,'CCRA3 Risks'!$A:$AG,19,FALSE)</f>
        <v>0</v>
      </c>
      <c r="AD95" s="123">
        <f>VLOOKUP($A95,'CCRA3 Risks'!$A:$AG,20,FALSE)</f>
        <v>0</v>
      </c>
      <c r="AE95" s="123">
        <f>VLOOKUP($A95,'CCRA3 Risks'!$A:$AG,21,FALSE)</f>
        <v>0</v>
      </c>
      <c r="AF95" s="123">
        <f>VLOOKUP($A95,'CCRA3 Risks'!$A:$AG,22,FALSE)</f>
        <v>0</v>
      </c>
      <c r="AG95" s="123">
        <f>VLOOKUP($A95,'CCRA3 Risks'!$A:$AG,23,FALSE)</f>
        <v>0</v>
      </c>
      <c r="AH95" s="123">
        <f>VLOOKUP($A95,'CCRA3 Risks'!$A:$AG,24,FALSE)</f>
        <v>0</v>
      </c>
      <c r="AI95" s="123">
        <f>VLOOKUP($A95,'CCRA3 Risks'!$A:$AG,25,FALSE)</f>
        <v>0</v>
      </c>
      <c r="AJ95" s="123">
        <f>VLOOKUP($A95,'CCRA3 Risks'!$A:$AG,26,FALSE)</f>
        <v>0</v>
      </c>
      <c r="AK95" s="123" t="str">
        <f>VLOOKUP($A95,'CCRA3 Risks'!$A:$AG,27,FALSE)</f>
        <v>Y</v>
      </c>
      <c r="AL95" s="123" t="str">
        <f>VLOOKUP($A95,'CCRA3 Risks'!$A:$AG,28,FALSE)</f>
        <v>Y</v>
      </c>
      <c r="AM95" s="123">
        <f>VLOOKUP($A95,'CCRA3 Risks'!$A:$AG,29,FALSE)</f>
        <v>0</v>
      </c>
      <c r="AN95" s="123">
        <f>VLOOKUP($A95,'CCRA3 Risks'!$A:$AG,30,FALSE)</f>
        <v>0</v>
      </c>
      <c r="AO95" s="123">
        <f>VLOOKUP($A95,'CCRA3 Risks'!$A:$AG,31,FALSE)</f>
        <v>0</v>
      </c>
      <c r="AP95" s="123">
        <f>VLOOKUP($A95,'CCRA3 Risks'!$A:$AG,32,FALSE)</f>
        <v>0</v>
      </c>
      <c r="AQ95" s="123">
        <f>VLOOKUP($A95,'CCRA3 Risks'!$A:$AG,33,FALSE)</f>
        <v>0</v>
      </c>
    </row>
    <row r="96" spans="1:43" ht="366" customHeight="1" x14ac:dyDescent="0.25">
      <c r="A96" s="88" t="s">
        <v>259</v>
      </c>
      <c r="B96" s="88" t="s">
        <v>825</v>
      </c>
      <c r="C96" s="83" t="s">
        <v>826</v>
      </c>
      <c r="D96" s="83" t="s">
        <v>461</v>
      </c>
      <c r="E96" s="88" t="s">
        <v>67</v>
      </c>
      <c r="F96" s="83" t="s">
        <v>421</v>
      </c>
      <c r="G96" s="83" t="s">
        <v>30</v>
      </c>
      <c r="H96" s="83" t="s">
        <v>827</v>
      </c>
      <c r="I96" s="88"/>
      <c r="J96" s="88" t="s">
        <v>463</v>
      </c>
      <c r="K96" s="83" t="s">
        <v>828</v>
      </c>
      <c r="L96" s="88" t="s">
        <v>829</v>
      </c>
      <c r="M96" s="83" t="s">
        <v>830</v>
      </c>
      <c r="N96" s="206" t="str">
        <f>VLOOKUP($A96,'CCRA3 Risks'!$A:$R,2,FALSE)</f>
        <v>H13 Risks to education and prison services</v>
      </c>
      <c r="O96" s="206" t="str">
        <f>VLOOKUP($A96,'CCRA3 Risks'!$A:$R,3,FALSE)</f>
        <v>No</v>
      </c>
      <c r="P96" s="207">
        <f>VLOOKUP($A96,'CCRA3 Risks'!$A:$R,4,FALSE)</f>
        <v>5</v>
      </c>
      <c r="Q96" s="206" t="str">
        <f>VLOOKUP($A96,'CCRA3 Risks'!$A:$R,7,FALSE)</f>
        <v>England</v>
      </c>
      <c r="R96" s="206" t="str">
        <f>VLOOKUP($A96,'CCRA3 Risks'!$A:$R,8,FALSE)</f>
        <v>Medium</v>
      </c>
      <c r="S96" s="206" t="str">
        <f>VLOOKUP($A96,'CCRA3 Risks'!$A:$R,9,FALSE)</f>
        <v>Medium</v>
      </c>
      <c r="T96" s="206" t="str">
        <f>VLOOKUP($A96,'CCRA3 Risks'!$A:$R,10,FALSE)</f>
        <v>Medium</v>
      </c>
      <c r="U96" s="206" t="str">
        <f>VLOOKUP($A96,'CCRA3 Risks'!$A:$R,11,FALSE)</f>
        <v>High</v>
      </c>
      <c r="V96" s="206" t="str">
        <f>VLOOKUP($A96,'CCRA3 Risks'!$A:$R,12,FALSE)</f>
        <v>High</v>
      </c>
      <c r="W96" s="206" t="str">
        <f>VLOOKUP($A96,'CCRA3 Risks'!$A:$R,13,FALSE)</f>
        <v>Partially</v>
      </c>
      <c r="X96" s="206" t="str">
        <f>VLOOKUP($A96,'CCRA3 Risks'!$A:$R,14,FALSE)</f>
        <v>More action needed</v>
      </c>
      <c r="Y96" s="206" t="str">
        <f>VLOOKUP($A96,'CCRA3 Risks'!$A:$R,15,FALSE)</f>
        <v>More action needed</v>
      </c>
      <c r="Z96" s="206" t="str">
        <f>VLOOKUP($A96,'CCRA3 Risks'!$A:$R,16,FALSE)</f>
        <v>N/A</v>
      </c>
      <c r="AA96" s="206" t="str">
        <f>VLOOKUP($A96,'CCRA3 Risks'!$A:$R,17,FALSE)</f>
        <v>N/A</v>
      </c>
      <c r="AB96" s="206" t="str">
        <f>VLOOKUP($A96,'CCRA3 Risks'!$A:$R,18,FALSE)</f>
        <v>Low (no key policies in the next two years)</v>
      </c>
      <c r="AC96" s="202">
        <f>VLOOKUP($A96,'CCRA3 Risks'!$A:$AG,19,FALSE)</f>
        <v>0</v>
      </c>
      <c r="AD96" s="123">
        <f>VLOOKUP($A96,'CCRA3 Risks'!$A:$AG,20,FALSE)</f>
        <v>0</v>
      </c>
      <c r="AE96" s="123">
        <f>VLOOKUP($A96,'CCRA3 Risks'!$A:$AG,21,FALSE)</f>
        <v>0</v>
      </c>
      <c r="AF96" s="123">
        <f>VLOOKUP($A96,'CCRA3 Risks'!$A:$AG,22,FALSE)</f>
        <v>0</v>
      </c>
      <c r="AG96" s="123">
        <f>VLOOKUP($A96,'CCRA3 Risks'!$A:$AG,23,FALSE)</f>
        <v>0</v>
      </c>
      <c r="AH96" s="123">
        <f>VLOOKUP($A96,'CCRA3 Risks'!$A:$AG,24,FALSE)</f>
        <v>0</v>
      </c>
      <c r="AI96" s="123">
        <f>VLOOKUP($A96,'CCRA3 Risks'!$A:$AG,25,FALSE)</f>
        <v>0</v>
      </c>
      <c r="AJ96" s="123">
        <f>VLOOKUP($A96,'CCRA3 Risks'!$A:$AG,26,FALSE)</f>
        <v>0</v>
      </c>
      <c r="AK96" s="123" t="str">
        <f>VLOOKUP($A96,'CCRA3 Risks'!$A:$AG,27,FALSE)</f>
        <v>Y</v>
      </c>
      <c r="AL96" s="123">
        <f>VLOOKUP($A96,'CCRA3 Risks'!$A:$AG,28,FALSE)</f>
        <v>0</v>
      </c>
      <c r="AM96" s="123">
        <f>VLOOKUP($A96,'CCRA3 Risks'!$A:$AG,29,FALSE)</f>
        <v>0</v>
      </c>
      <c r="AN96" s="123">
        <f>VLOOKUP($A96,'CCRA3 Risks'!$A:$AG,30,FALSE)</f>
        <v>0</v>
      </c>
      <c r="AO96" s="123">
        <f>VLOOKUP($A96,'CCRA3 Risks'!$A:$AG,31,FALSE)</f>
        <v>0</v>
      </c>
      <c r="AP96" s="123">
        <f>VLOOKUP($A96,'CCRA3 Risks'!$A:$AG,32,FALSE)</f>
        <v>0</v>
      </c>
      <c r="AQ96" s="123">
        <f>VLOOKUP($A96,'CCRA3 Risks'!$A:$AG,33,FALSE)</f>
        <v>0</v>
      </c>
    </row>
    <row r="97" spans="1:43" ht="153" x14ac:dyDescent="0.25">
      <c r="A97" s="88" t="s">
        <v>259</v>
      </c>
      <c r="B97" s="88" t="s">
        <v>831</v>
      </c>
      <c r="C97" s="83" t="s">
        <v>832</v>
      </c>
      <c r="D97" s="83" t="s">
        <v>395</v>
      </c>
      <c r="E97" s="88" t="s">
        <v>67</v>
      </c>
      <c r="F97" s="83" t="s">
        <v>396</v>
      </c>
      <c r="G97" s="83" t="s">
        <v>30</v>
      </c>
      <c r="H97" s="83" t="s">
        <v>833</v>
      </c>
      <c r="I97" s="88"/>
      <c r="J97" s="88" t="s">
        <v>411</v>
      </c>
      <c r="K97" s="83" t="s">
        <v>834</v>
      </c>
      <c r="L97" s="88" t="s">
        <v>829</v>
      </c>
      <c r="M97" s="83" t="s">
        <v>830</v>
      </c>
      <c r="N97" s="206" t="str">
        <f>VLOOKUP($A97,'CCRA3 Risks'!$A:$R,2,FALSE)</f>
        <v>H13 Risks to education and prison services</v>
      </c>
      <c r="O97" s="206" t="str">
        <f>VLOOKUP($A97,'CCRA3 Risks'!$A:$R,3,FALSE)</f>
        <v>No</v>
      </c>
      <c r="P97" s="207">
        <f>VLOOKUP($A97,'CCRA3 Risks'!$A:$R,4,FALSE)</f>
        <v>5</v>
      </c>
      <c r="Q97" s="206" t="str">
        <f>VLOOKUP($A97,'CCRA3 Risks'!$A:$R,7,FALSE)</f>
        <v>England</v>
      </c>
      <c r="R97" s="206" t="str">
        <f>VLOOKUP($A97,'CCRA3 Risks'!$A:$R,8,FALSE)</f>
        <v>Medium</v>
      </c>
      <c r="S97" s="206" t="str">
        <f>VLOOKUP($A97,'CCRA3 Risks'!$A:$R,9,FALSE)</f>
        <v>Medium</v>
      </c>
      <c r="T97" s="206" t="str">
        <f>VLOOKUP($A97,'CCRA3 Risks'!$A:$R,10,FALSE)</f>
        <v>Medium</v>
      </c>
      <c r="U97" s="206" t="str">
        <f>VLOOKUP($A97,'CCRA3 Risks'!$A:$R,11,FALSE)</f>
        <v>High</v>
      </c>
      <c r="V97" s="206" t="str">
        <f>VLOOKUP($A97,'CCRA3 Risks'!$A:$R,12,FALSE)</f>
        <v>High</v>
      </c>
      <c r="W97" s="206" t="str">
        <f>VLOOKUP($A97,'CCRA3 Risks'!$A:$R,13,FALSE)</f>
        <v>Partially</v>
      </c>
      <c r="X97" s="206" t="str">
        <f>VLOOKUP($A97,'CCRA3 Risks'!$A:$R,14,FALSE)</f>
        <v>More action needed</v>
      </c>
      <c r="Y97" s="206" t="str">
        <f>VLOOKUP($A97,'CCRA3 Risks'!$A:$R,15,FALSE)</f>
        <v>More action needed</v>
      </c>
      <c r="Z97" s="206" t="str">
        <f>VLOOKUP($A97,'CCRA3 Risks'!$A:$R,16,FALSE)</f>
        <v>N/A</v>
      </c>
      <c r="AA97" s="206" t="str">
        <f>VLOOKUP($A97,'CCRA3 Risks'!$A:$R,17,FALSE)</f>
        <v>N/A</v>
      </c>
      <c r="AB97" s="206" t="str">
        <f>VLOOKUP($A97,'CCRA3 Risks'!$A:$R,18,FALSE)</f>
        <v>Low (no key policies in the next two years)</v>
      </c>
      <c r="AC97" s="202">
        <f>VLOOKUP($A97,'CCRA3 Risks'!$A:$AG,19,FALSE)</f>
        <v>0</v>
      </c>
      <c r="AD97" s="123">
        <f>VLOOKUP($A97,'CCRA3 Risks'!$A:$AG,20,FALSE)</f>
        <v>0</v>
      </c>
      <c r="AE97" s="123">
        <f>VLOOKUP($A97,'CCRA3 Risks'!$A:$AG,21,FALSE)</f>
        <v>0</v>
      </c>
      <c r="AF97" s="123">
        <f>VLOOKUP($A97,'CCRA3 Risks'!$A:$AG,22,FALSE)</f>
        <v>0</v>
      </c>
      <c r="AG97" s="123">
        <f>VLOOKUP($A97,'CCRA3 Risks'!$A:$AG,23,FALSE)</f>
        <v>0</v>
      </c>
      <c r="AH97" s="123">
        <f>VLOOKUP($A97,'CCRA3 Risks'!$A:$AG,24,FALSE)</f>
        <v>0</v>
      </c>
      <c r="AI97" s="123">
        <f>VLOOKUP($A97,'CCRA3 Risks'!$A:$AG,25,FALSE)</f>
        <v>0</v>
      </c>
      <c r="AJ97" s="123">
        <f>VLOOKUP($A97,'CCRA3 Risks'!$A:$AG,26,FALSE)</f>
        <v>0</v>
      </c>
      <c r="AK97" s="123" t="str">
        <f>VLOOKUP($A97,'CCRA3 Risks'!$A:$AG,27,FALSE)</f>
        <v>Y</v>
      </c>
      <c r="AL97" s="123">
        <f>VLOOKUP($A97,'CCRA3 Risks'!$A:$AG,28,FALSE)</f>
        <v>0</v>
      </c>
      <c r="AM97" s="123">
        <f>VLOOKUP($A97,'CCRA3 Risks'!$A:$AG,29,FALSE)</f>
        <v>0</v>
      </c>
      <c r="AN97" s="123">
        <f>VLOOKUP($A97,'CCRA3 Risks'!$A:$AG,30,FALSE)</f>
        <v>0</v>
      </c>
      <c r="AO97" s="123">
        <f>VLOOKUP($A97,'CCRA3 Risks'!$A:$AG,31,FALSE)</f>
        <v>0</v>
      </c>
      <c r="AP97" s="123">
        <f>VLOOKUP($A97,'CCRA3 Risks'!$A:$AG,32,FALSE)</f>
        <v>0</v>
      </c>
      <c r="AQ97" s="123">
        <f>VLOOKUP($A97,'CCRA3 Risks'!$A:$AG,33,FALSE)</f>
        <v>0</v>
      </c>
    </row>
    <row r="98" spans="1:43" ht="216.75" x14ac:dyDescent="0.25">
      <c r="A98" s="88" t="s">
        <v>259</v>
      </c>
      <c r="B98" s="88" t="s">
        <v>835</v>
      </c>
      <c r="C98" s="83" t="s">
        <v>836</v>
      </c>
      <c r="D98" s="83" t="s">
        <v>395</v>
      </c>
      <c r="E98" s="88" t="s">
        <v>67</v>
      </c>
      <c r="F98" s="83" t="s">
        <v>396</v>
      </c>
      <c r="G98" s="83" t="s">
        <v>30</v>
      </c>
      <c r="H98" s="83" t="s">
        <v>837</v>
      </c>
      <c r="I98" s="88"/>
      <c r="J98" s="88" t="s">
        <v>463</v>
      </c>
      <c r="K98" s="83" t="s">
        <v>838</v>
      </c>
      <c r="L98" s="88" t="s">
        <v>829</v>
      </c>
      <c r="M98" s="83" t="s">
        <v>830</v>
      </c>
      <c r="N98" s="206" t="str">
        <f>VLOOKUP($A98,'CCRA3 Risks'!$A:$R,2,FALSE)</f>
        <v>H13 Risks to education and prison services</v>
      </c>
      <c r="O98" s="206" t="str">
        <f>VLOOKUP($A98,'CCRA3 Risks'!$A:$R,3,FALSE)</f>
        <v>No</v>
      </c>
      <c r="P98" s="207">
        <f>VLOOKUP($A98,'CCRA3 Risks'!$A:$R,4,FALSE)</f>
        <v>5</v>
      </c>
      <c r="Q98" s="206" t="str">
        <f>VLOOKUP($A98,'CCRA3 Risks'!$A:$R,7,FALSE)</f>
        <v>England</v>
      </c>
      <c r="R98" s="206" t="str">
        <f>VLOOKUP($A98,'CCRA3 Risks'!$A:$R,8,FALSE)</f>
        <v>Medium</v>
      </c>
      <c r="S98" s="206" t="str">
        <f>VLOOKUP($A98,'CCRA3 Risks'!$A:$R,9,FALSE)</f>
        <v>Medium</v>
      </c>
      <c r="T98" s="206" t="str">
        <f>VLOOKUP($A98,'CCRA3 Risks'!$A:$R,10,FALSE)</f>
        <v>Medium</v>
      </c>
      <c r="U98" s="206" t="str">
        <f>VLOOKUP($A98,'CCRA3 Risks'!$A:$R,11,FALSE)</f>
        <v>High</v>
      </c>
      <c r="V98" s="206" t="str">
        <f>VLOOKUP($A98,'CCRA3 Risks'!$A:$R,12,FALSE)</f>
        <v>High</v>
      </c>
      <c r="W98" s="206" t="str">
        <f>VLOOKUP($A98,'CCRA3 Risks'!$A:$R,13,FALSE)</f>
        <v>Partially</v>
      </c>
      <c r="X98" s="206" t="str">
        <f>VLOOKUP($A98,'CCRA3 Risks'!$A:$R,14,FALSE)</f>
        <v>More action needed</v>
      </c>
      <c r="Y98" s="206" t="str">
        <f>VLOOKUP($A98,'CCRA3 Risks'!$A:$R,15,FALSE)</f>
        <v>More action needed</v>
      </c>
      <c r="Z98" s="206" t="str">
        <f>VLOOKUP($A98,'CCRA3 Risks'!$A:$R,16,FALSE)</f>
        <v>N/A</v>
      </c>
      <c r="AA98" s="206" t="str">
        <f>VLOOKUP($A98,'CCRA3 Risks'!$A:$R,17,FALSE)</f>
        <v>N/A</v>
      </c>
      <c r="AB98" s="206" t="str">
        <f>VLOOKUP($A98,'CCRA3 Risks'!$A:$R,18,FALSE)</f>
        <v>Low (no key policies in the next two years)</v>
      </c>
      <c r="AC98" s="202">
        <f>VLOOKUP($A98,'CCRA3 Risks'!$A:$AG,19,FALSE)</f>
        <v>0</v>
      </c>
      <c r="AD98" s="123">
        <f>VLOOKUP($A98,'CCRA3 Risks'!$A:$AG,20,FALSE)</f>
        <v>0</v>
      </c>
      <c r="AE98" s="123">
        <f>VLOOKUP($A98,'CCRA3 Risks'!$A:$AG,21,FALSE)</f>
        <v>0</v>
      </c>
      <c r="AF98" s="123">
        <f>VLOOKUP($A98,'CCRA3 Risks'!$A:$AG,22,FALSE)</f>
        <v>0</v>
      </c>
      <c r="AG98" s="123">
        <f>VLOOKUP($A98,'CCRA3 Risks'!$A:$AG,23,FALSE)</f>
        <v>0</v>
      </c>
      <c r="AH98" s="123">
        <f>VLOOKUP($A98,'CCRA3 Risks'!$A:$AG,24,FALSE)</f>
        <v>0</v>
      </c>
      <c r="AI98" s="123">
        <f>VLOOKUP($A98,'CCRA3 Risks'!$A:$AG,25,FALSE)</f>
        <v>0</v>
      </c>
      <c r="AJ98" s="123">
        <f>VLOOKUP($A98,'CCRA3 Risks'!$A:$AG,26,FALSE)</f>
        <v>0</v>
      </c>
      <c r="AK98" s="123" t="str">
        <f>VLOOKUP($A98,'CCRA3 Risks'!$A:$AG,27,FALSE)</f>
        <v>Y</v>
      </c>
      <c r="AL98" s="123">
        <f>VLOOKUP($A98,'CCRA3 Risks'!$A:$AG,28,FALSE)</f>
        <v>0</v>
      </c>
      <c r="AM98" s="123">
        <f>VLOOKUP($A98,'CCRA3 Risks'!$A:$AG,29,FALSE)</f>
        <v>0</v>
      </c>
      <c r="AN98" s="123">
        <f>VLOOKUP($A98,'CCRA3 Risks'!$A:$AG,30,FALSE)</f>
        <v>0</v>
      </c>
      <c r="AO98" s="123">
        <f>VLOOKUP($A98,'CCRA3 Risks'!$A:$AG,31,FALSE)</f>
        <v>0</v>
      </c>
      <c r="AP98" s="123">
        <f>VLOOKUP($A98,'CCRA3 Risks'!$A:$AG,32,FALSE)</f>
        <v>0</v>
      </c>
      <c r="AQ98" s="123">
        <f>VLOOKUP($A98,'CCRA3 Risks'!$A:$AG,33,FALSE)</f>
        <v>0</v>
      </c>
    </row>
    <row r="99" spans="1:43" ht="178.5" x14ac:dyDescent="0.25">
      <c r="A99" s="88" t="s">
        <v>259</v>
      </c>
      <c r="B99" s="88" t="s">
        <v>839</v>
      </c>
      <c r="C99" s="83" t="s">
        <v>840</v>
      </c>
      <c r="D99" s="83" t="s">
        <v>395</v>
      </c>
      <c r="E99" s="88" t="s">
        <v>67</v>
      </c>
      <c r="F99" s="83" t="s">
        <v>396</v>
      </c>
      <c r="G99" s="83" t="s">
        <v>30</v>
      </c>
      <c r="H99" s="83" t="s">
        <v>841</v>
      </c>
      <c r="I99" s="88"/>
      <c r="J99" s="88" t="s">
        <v>411</v>
      </c>
      <c r="K99" s="83" t="s">
        <v>842</v>
      </c>
      <c r="L99" s="88" t="s">
        <v>829</v>
      </c>
      <c r="M99" s="83" t="s">
        <v>830</v>
      </c>
      <c r="N99" s="206" t="str">
        <f>VLOOKUP($A99,'CCRA3 Risks'!$A:$R,2,FALSE)</f>
        <v>H13 Risks to education and prison services</v>
      </c>
      <c r="O99" s="206" t="str">
        <f>VLOOKUP($A99,'CCRA3 Risks'!$A:$R,3,FALSE)</f>
        <v>No</v>
      </c>
      <c r="P99" s="207">
        <f>VLOOKUP($A99,'CCRA3 Risks'!$A:$R,4,FALSE)</f>
        <v>5</v>
      </c>
      <c r="Q99" s="206" t="str">
        <f>VLOOKUP($A99,'CCRA3 Risks'!$A:$R,7,FALSE)</f>
        <v>England</v>
      </c>
      <c r="R99" s="206" t="str">
        <f>VLOOKUP($A99,'CCRA3 Risks'!$A:$R,8,FALSE)</f>
        <v>Medium</v>
      </c>
      <c r="S99" s="206" t="str">
        <f>VLOOKUP($A99,'CCRA3 Risks'!$A:$R,9,FALSE)</f>
        <v>Medium</v>
      </c>
      <c r="T99" s="206" t="str">
        <f>VLOOKUP($A99,'CCRA3 Risks'!$A:$R,10,FALSE)</f>
        <v>Medium</v>
      </c>
      <c r="U99" s="206" t="str">
        <f>VLOOKUP($A99,'CCRA3 Risks'!$A:$R,11,FALSE)</f>
        <v>High</v>
      </c>
      <c r="V99" s="206" t="str">
        <f>VLOOKUP($A99,'CCRA3 Risks'!$A:$R,12,FALSE)</f>
        <v>High</v>
      </c>
      <c r="W99" s="206" t="str">
        <f>VLOOKUP($A99,'CCRA3 Risks'!$A:$R,13,FALSE)</f>
        <v>Partially</v>
      </c>
      <c r="X99" s="206" t="str">
        <f>VLOOKUP($A99,'CCRA3 Risks'!$A:$R,14,FALSE)</f>
        <v>More action needed</v>
      </c>
      <c r="Y99" s="206" t="str">
        <f>VLOOKUP($A99,'CCRA3 Risks'!$A:$R,15,FALSE)</f>
        <v>More action needed</v>
      </c>
      <c r="Z99" s="206" t="str">
        <f>VLOOKUP($A99,'CCRA3 Risks'!$A:$R,16,FALSE)</f>
        <v>N/A</v>
      </c>
      <c r="AA99" s="206" t="str">
        <f>VLOOKUP($A99,'CCRA3 Risks'!$A:$R,17,FALSE)</f>
        <v>N/A</v>
      </c>
      <c r="AB99" s="206" t="str">
        <f>VLOOKUP($A99,'CCRA3 Risks'!$A:$R,18,FALSE)</f>
        <v>Low (no key policies in the next two years)</v>
      </c>
      <c r="AC99" s="202">
        <f>VLOOKUP($A99,'CCRA3 Risks'!$A:$AG,19,FALSE)</f>
        <v>0</v>
      </c>
      <c r="AD99" s="123">
        <f>VLOOKUP($A99,'CCRA3 Risks'!$A:$AG,20,FALSE)</f>
        <v>0</v>
      </c>
      <c r="AE99" s="123">
        <f>VLOOKUP($A99,'CCRA3 Risks'!$A:$AG,21,FALSE)</f>
        <v>0</v>
      </c>
      <c r="AF99" s="123">
        <f>VLOOKUP($A99,'CCRA3 Risks'!$A:$AG,22,FALSE)</f>
        <v>0</v>
      </c>
      <c r="AG99" s="123">
        <f>VLOOKUP($A99,'CCRA3 Risks'!$A:$AG,23,FALSE)</f>
        <v>0</v>
      </c>
      <c r="AH99" s="123">
        <f>VLOOKUP($A99,'CCRA3 Risks'!$A:$AG,24,FALSE)</f>
        <v>0</v>
      </c>
      <c r="AI99" s="123">
        <f>VLOOKUP($A99,'CCRA3 Risks'!$A:$AG,25,FALSE)</f>
        <v>0</v>
      </c>
      <c r="AJ99" s="123">
        <f>VLOOKUP($A99,'CCRA3 Risks'!$A:$AG,26,FALSE)</f>
        <v>0</v>
      </c>
      <c r="AK99" s="123" t="str">
        <f>VLOOKUP($A99,'CCRA3 Risks'!$A:$AG,27,FALSE)</f>
        <v>Y</v>
      </c>
      <c r="AL99" s="123">
        <f>VLOOKUP($A99,'CCRA3 Risks'!$A:$AG,28,FALSE)</f>
        <v>0</v>
      </c>
      <c r="AM99" s="123">
        <f>VLOOKUP($A99,'CCRA3 Risks'!$A:$AG,29,FALSE)</f>
        <v>0</v>
      </c>
      <c r="AN99" s="123">
        <f>VLOOKUP($A99,'CCRA3 Risks'!$A:$AG,30,FALSE)</f>
        <v>0</v>
      </c>
      <c r="AO99" s="123">
        <f>VLOOKUP($A99,'CCRA3 Risks'!$A:$AG,31,FALSE)</f>
        <v>0</v>
      </c>
      <c r="AP99" s="123">
        <f>VLOOKUP($A99,'CCRA3 Risks'!$A:$AG,32,FALSE)</f>
        <v>0</v>
      </c>
      <c r="AQ99" s="123">
        <f>VLOOKUP($A99,'CCRA3 Risks'!$A:$AG,33,FALSE)</f>
        <v>0</v>
      </c>
    </row>
    <row r="100" spans="1:43" ht="165.75" x14ac:dyDescent="0.25">
      <c r="A100" s="88" t="s">
        <v>261</v>
      </c>
      <c r="B100" s="88" t="s">
        <v>843</v>
      </c>
      <c r="C100" s="83" t="s">
        <v>844</v>
      </c>
      <c r="D100" s="83" t="s">
        <v>461</v>
      </c>
      <c r="E100" s="88" t="s">
        <v>67</v>
      </c>
      <c r="F100" s="83" t="s">
        <v>421</v>
      </c>
      <c r="G100" s="83" t="s">
        <v>30</v>
      </c>
      <c r="H100" s="83" t="s">
        <v>845</v>
      </c>
      <c r="I100" s="88"/>
      <c r="J100" s="88" t="s">
        <v>398</v>
      </c>
      <c r="K100" s="83" t="s">
        <v>846</v>
      </c>
      <c r="L100" s="83" t="s">
        <v>847</v>
      </c>
      <c r="M100" s="83" t="s">
        <v>848</v>
      </c>
      <c r="N100" s="206" t="str">
        <f>VLOOKUP($A100,'CCRA3 Risks'!$A:$R,2,FALSE)</f>
        <v xml:space="preserve">I1 Risks to infrastructure networks (water, energy, transport, ICT) from cascading failures </v>
      </c>
      <c r="O100" s="206" t="str">
        <f>VLOOKUP($A100,'CCRA3 Risks'!$A:$R,3,FALSE)</f>
        <v>Yes</v>
      </c>
      <c r="P100" s="207">
        <f>VLOOKUP($A100,'CCRA3 Risks'!$A:$R,4,FALSE)</f>
        <v>4</v>
      </c>
      <c r="Q100" s="206" t="str">
        <f>VLOOKUP($A100,'CCRA3 Risks'!$A:$R,7,FALSE)</f>
        <v>England</v>
      </c>
      <c r="R100" s="206" t="str">
        <f>VLOOKUP($A100,'CCRA3 Risks'!$A:$R,8,FALSE)</f>
        <v>High</v>
      </c>
      <c r="S100" s="206" t="str">
        <f>VLOOKUP($A100,'CCRA3 Risks'!$A:$R,9,FALSE)</f>
        <v>High</v>
      </c>
      <c r="T100" s="206" t="str">
        <f>VLOOKUP($A100,'CCRA3 Risks'!$A:$R,10,FALSE)</f>
        <v>High</v>
      </c>
      <c r="U100" s="206" t="str">
        <f>VLOOKUP($A100,'CCRA3 Risks'!$A:$R,11,FALSE)</f>
        <v>High</v>
      </c>
      <c r="V100" s="206" t="str">
        <f>VLOOKUP($A100,'CCRA3 Risks'!$A:$R,12,FALSE)</f>
        <v>High</v>
      </c>
      <c r="W100" s="206" t="str">
        <f>VLOOKUP($A100,'CCRA3 Risks'!$A:$R,13,FALSE)</f>
        <v>Partially</v>
      </c>
      <c r="X100" s="206" t="str">
        <f>VLOOKUP($A100,'CCRA3 Risks'!$A:$R,14,FALSE)</f>
        <v>More action needed</v>
      </c>
      <c r="Y100" s="206" t="str">
        <f>VLOOKUP($A100,'CCRA3 Risks'!$A:$R,15,FALSE)</f>
        <v>More action needed</v>
      </c>
      <c r="Z100" s="206" t="str">
        <f>VLOOKUP($A100,'CCRA3 Risks'!$A:$R,16,FALSE)</f>
        <v>Low (1)</v>
      </c>
      <c r="AA100" s="206" t="str">
        <f>VLOOKUP($A100,'CCRA3 Risks'!$A:$R,17,FALSE)</f>
        <v>Medium (Amber)</v>
      </c>
      <c r="AB100" s="206" t="str">
        <f>VLOOKUP($A100,'CCRA3 Risks'!$A:$R,18,FALSE)</f>
        <v>High (review of national risk assessments)</v>
      </c>
      <c r="AC100" s="202">
        <f>VLOOKUP($A100,'CCRA3 Risks'!$A:$AG,19,FALSE)</f>
        <v>0</v>
      </c>
      <c r="AD100" s="123">
        <f>VLOOKUP($A100,'CCRA3 Risks'!$A:$AG,20,FALSE)</f>
        <v>0</v>
      </c>
      <c r="AE100" s="123">
        <f>VLOOKUP($A100,'CCRA3 Risks'!$A:$AG,21,FALSE)</f>
        <v>0</v>
      </c>
      <c r="AF100" s="123" t="str">
        <f>VLOOKUP($A100,'CCRA3 Risks'!$A:$AG,22,FALSE)</f>
        <v>Y</v>
      </c>
      <c r="AG100" s="123" t="str">
        <f>VLOOKUP($A100,'CCRA3 Risks'!$A:$AG,23,FALSE)</f>
        <v>Y</v>
      </c>
      <c r="AH100" s="123" t="str">
        <f>VLOOKUP($A100,'CCRA3 Risks'!$A:$AG,24,FALSE)</f>
        <v>Y</v>
      </c>
      <c r="AI100" s="123" t="str">
        <f>VLOOKUP($A100,'CCRA3 Risks'!$A:$AG,25,FALSE)</f>
        <v>Y</v>
      </c>
      <c r="AJ100" s="123">
        <f>VLOOKUP($A100,'CCRA3 Risks'!$A:$AG,26,FALSE)</f>
        <v>0</v>
      </c>
      <c r="AK100" s="123">
        <f>VLOOKUP($A100,'CCRA3 Risks'!$A:$AG,27,FALSE)</f>
        <v>0</v>
      </c>
      <c r="AL100" s="123">
        <f>VLOOKUP($A100,'CCRA3 Risks'!$A:$AG,28,FALSE)</f>
        <v>0</v>
      </c>
      <c r="AM100" s="123">
        <f>VLOOKUP($A100,'CCRA3 Risks'!$A:$AG,29,FALSE)</f>
        <v>0</v>
      </c>
      <c r="AN100" s="123">
        <f>VLOOKUP($A100,'CCRA3 Risks'!$A:$AG,30,FALSE)</f>
        <v>0</v>
      </c>
      <c r="AO100" s="123">
        <f>VLOOKUP($A100,'CCRA3 Risks'!$A:$AG,31,FALSE)</f>
        <v>0</v>
      </c>
      <c r="AP100" s="123">
        <f>VLOOKUP($A100,'CCRA3 Risks'!$A:$AG,32,FALSE)</f>
        <v>0</v>
      </c>
      <c r="AQ100" s="123">
        <f>VLOOKUP($A100,'CCRA3 Risks'!$A:$AG,33,FALSE)</f>
        <v>0</v>
      </c>
    </row>
    <row r="101" spans="1:43" ht="204" x14ac:dyDescent="0.25">
      <c r="A101" s="88" t="s">
        <v>261</v>
      </c>
      <c r="B101" s="88" t="s">
        <v>849</v>
      </c>
      <c r="C101" s="83" t="s">
        <v>850</v>
      </c>
      <c r="D101" s="83" t="s">
        <v>461</v>
      </c>
      <c r="E101" s="88" t="s">
        <v>67</v>
      </c>
      <c r="F101" s="83" t="s">
        <v>421</v>
      </c>
      <c r="G101" s="83" t="s">
        <v>30</v>
      </c>
      <c r="H101" s="83" t="s">
        <v>851</v>
      </c>
      <c r="I101" s="88"/>
      <c r="J101" s="88" t="s">
        <v>398</v>
      </c>
      <c r="K101" s="83" t="s">
        <v>852</v>
      </c>
      <c r="L101" s="83" t="s">
        <v>847</v>
      </c>
      <c r="M101" s="83" t="s">
        <v>853</v>
      </c>
      <c r="N101" s="206" t="str">
        <f>VLOOKUP($A101,'CCRA3 Risks'!$A:$R,2,FALSE)</f>
        <v xml:space="preserve">I1 Risks to infrastructure networks (water, energy, transport, ICT) from cascading failures </v>
      </c>
      <c r="O101" s="206" t="str">
        <f>VLOOKUP($A101,'CCRA3 Risks'!$A:$R,3,FALSE)</f>
        <v>Yes</v>
      </c>
      <c r="P101" s="207">
        <f>VLOOKUP($A101,'CCRA3 Risks'!$A:$R,4,FALSE)</f>
        <v>4</v>
      </c>
      <c r="Q101" s="206" t="str">
        <f>VLOOKUP($A101,'CCRA3 Risks'!$A:$R,7,FALSE)</f>
        <v>England</v>
      </c>
      <c r="R101" s="206" t="str">
        <f>VLOOKUP($A101,'CCRA3 Risks'!$A:$R,8,FALSE)</f>
        <v>High</v>
      </c>
      <c r="S101" s="206" t="str">
        <f>VLOOKUP($A101,'CCRA3 Risks'!$A:$R,9,FALSE)</f>
        <v>High</v>
      </c>
      <c r="T101" s="206" t="str">
        <f>VLOOKUP($A101,'CCRA3 Risks'!$A:$R,10,FALSE)</f>
        <v>High</v>
      </c>
      <c r="U101" s="206" t="str">
        <f>VLOOKUP($A101,'CCRA3 Risks'!$A:$R,11,FALSE)</f>
        <v>High</v>
      </c>
      <c r="V101" s="206" t="str">
        <f>VLOOKUP($A101,'CCRA3 Risks'!$A:$R,12,FALSE)</f>
        <v>High</v>
      </c>
      <c r="W101" s="206" t="str">
        <f>VLOOKUP($A101,'CCRA3 Risks'!$A:$R,13,FALSE)</f>
        <v>Partially</v>
      </c>
      <c r="X101" s="206" t="str">
        <f>VLOOKUP($A101,'CCRA3 Risks'!$A:$R,14,FALSE)</f>
        <v>More action needed</v>
      </c>
      <c r="Y101" s="206" t="str">
        <f>VLOOKUP($A101,'CCRA3 Risks'!$A:$R,15,FALSE)</f>
        <v>More action needed</v>
      </c>
      <c r="Z101" s="206" t="str">
        <f>VLOOKUP($A101,'CCRA3 Risks'!$A:$R,16,FALSE)</f>
        <v>Low (1)</v>
      </c>
      <c r="AA101" s="206" t="str">
        <f>VLOOKUP($A101,'CCRA3 Risks'!$A:$R,17,FALSE)</f>
        <v>Medium (Amber)</v>
      </c>
      <c r="AB101" s="206" t="str">
        <f>VLOOKUP($A101,'CCRA3 Risks'!$A:$R,18,FALSE)</f>
        <v>High (review of national risk assessments)</v>
      </c>
      <c r="AC101" s="202">
        <f>VLOOKUP($A101,'CCRA3 Risks'!$A:$AG,19,FALSE)</f>
        <v>0</v>
      </c>
      <c r="AD101" s="123">
        <f>VLOOKUP($A101,'CCRA3 Risks'!$A:$AG,20,FALSE)</f>
        <v>0</v>
      </c>
      <c r="AE101" s="123">
        <f>VLOOKUP($A101,'CCRA3 Risks'!$A:$AG,21,FALSE)</f>
        <v>0</v>
      </c>
      <c r="AF101" s="123" t="str">
        <f>VLOOKUP($A101,'CCRA3 Risks'!$A:$AG,22,FALSE)</f>
        <v>Y</v>
      </c>
      <c r="AG101" s="123" t="str">
        <f>VLOOKUP($A101,'CCRA3 Risks'!$A:$AG,23,FALSE)</f>
        <v>Y</v>
      </c>
      <c r="AH101" s="123" t="str">
        <f>VLOOKUP($A101,'CCRA3 Risks'!$A:$AG,24,FALSE)</f>
        <v>Y</v>
      </c>
      <c r="AI101" s="123" t="str">
        <f>VLOOKUP($A101,'CCRA3 Risks'!$A:$AG,25,FALSE)</f>
        <v>Y</v>
      </c>
      <c r="AJ101" s="123">
        <f>VLOOKUP($A101,'CCRA3 Risks'!$A:$AG,26,FALSE)</f>
        <v>0</v>
      </c>
      <c r="AK101" s="123">
        <f>VLOOKUP($A101,'CCRA3 Risks'!$A:$AG,27,FALSE)</f>
        <v>0</v>
      </c>
      <c r="AL101" s="123">
        <f>VLOOKUP($A101,'CCRA3 Risks'!$A:$AG,28,FALSE)</f>
        <v>0</v>
      </c>
      <c r="AM101" s="123">
        <f>VLOOKUP($A101,'CCRA3 Risks'!$A:$AG,29,FALSE)</f>
        <v>0</v>
      </c>
      <c r="AN101" s="123">
        <f>VLOOKUP($A101,'CCRA3 Risks'!$A:$AG,30,FALSE)</f>
        <v>0</v>
      </c>
      <c r="AO101" s="123">
        <f>VLOOKUP($A101,'CCRA3 Risks'!$A:$AG,31,FALSE)</f>
        <v>0</v>
      </c>
      <c r="AP101" s="123">
        <f>VLOOKUP($A101,'CCRA3 Risks'!$A:$AG,32,FALSE)</f>
        <v>0</v>
      </c>
      <c r="AQ101" s="123">
        <f>VLOOKUP($A101,'CCRA3 Risks'!$A:$AG,33,FALSE)</f>
        <v>0</v>
      </c>
    </row>
    <row r="102" spans="1:43" ht="267.75" x14ac:dyDescent="0.25">
      <c r="A102" s="88" t="s">
        <v>264</v>
      </c>
      <c r="B102" s="88" t="s">
        <v>854</v>
      </c>
      <c r="C102" s="83" t="s">
        <v>855</v>
      </c>
      <c r="D102" s="83" t="s">
        <v>461</v>
      </c>
      <c r="E102" s="88" t="s">
        <v>67</v>
      </c>
      <c r="F102" s="83" t="s">
        <v>396</v>
      </c>
      <c r="G102" s="83" t="s">
        <v>30</v>
      </c>
      <c r="H102" s="83" t="s">
        <v>856</v>
      </c>
      <c r="I102" s="88"/>
      <c r="J102" s="88" t="s">
        <v>398</v>
      </c>
      <c r="K102" s="83" t="s">
        <v>857</v>
      </c>
      <c r="L102" s="83" t="s">
        <v>858</v>
      </c>
      <c r="M102" s="88" t="s">
        <v>859</v>
      </c>
      <c r="N102" s="206" t="str">
        <f>VLOOKUP($A102,'CCRA3 Risks'!$A:$R,2,FALSE)</f>
        <v>I2 Risks to infrastructure services from river, surface water and groundwater flooding</v>
      </c>
      <c r="O102" s="206" t="str">
        <f>VLOOKUP($A102,'CCRA3 Risks'!$A:$R,3,FALSE)</f>
        <v>No</v>
      </c>
      <c r="P102" s="207">
        <f>VLOOKUP($A102,'CCRA3 Risks'!$A:$R,4,FALSE)</f>
        <v>4</v>
      </c>
      <c r="Q102" s="206" t="str">
        <f>VLOOKUP($A102,'CCRA3 Risks'!$A:$R,7,FALSE)</f>
        <v>England</v>
      </c>
      <c r="R102" s="206" t="str">
        <f>VLOOKUP($A102,'CCRA3 Risks'!$A:$R,8,FALSE)</f>
        <v>High</v>
      </c>
      <c r="S102" s="206" t="str">
        <f>VLOOKUP($A102,'CCRA3 Risks'!$A:$R,9,FALSE)</f>
        <v>High</v>
      </c>
      <c r="T102" s="206" t="str">
        <f>VLOOKUP($A102,'CCRA3 Risks'!$A:$R,10,FALSE)</f>
        <v>High</v>
      </c>
      <c r="U102" s="206" t="str">
        <f>VLOOKUP($A102,'CCRA3 Risks'!$A:$R,11,FALSE)</f>
        <v>High</v>
      </c>
      <c r="V102" s="206" t="str">
        <f>VLOOKUP($A102,'CCRA3 Risks'!$A:$R,12,FALSE)</f>
        <v>High</v>
      </c>
      <c r="W102" s="206" t="str">
        <f>VLOOKUP($A102,'CCRA3 Risks'!$A:$R,13,FALSE)</f>
        <v>Partially</v>
      </c>
      <c r="X102" s="206" t="str">
        <f>VLOOKUP($A102,'CCRA3 Risks'!$A:$R,14,FALSE)</f>
        <v>More action needed</v>
      </c>
      <c r="Y102" s="206" t="str">
        <f>VLOOKUP($A102,'CCRA3 Risks'!$A:$R,15,FALSE)</f>
        <v>More action needed</v>
      </c>
      <c r="Z102" s="206" t="str">
        <f>VLOOKUP($A102,'CCRA3 Risks'!$A:$R,16,FALSE)</f>
        <v>N/A</v>
      </c>
      <c r="AA102" s="206" t="str">
        <f>VLOOKUP($A102,'CCRA3 Risks'!$A:$R,17,FALSE)</f>
        <v>Medium (Amber)</v>
      </c>
      <c r="AB102" s="206" t="str">
        <f>VLOOKUP($A102,'CCRA3 Risks'!$A:$R,18,FALSE)</f>
        <v>Medium (implementation of flood policies)</v>
      </c>
      <c r="AC102" s="202">
        <f>VLOOKUP($A102,'CCRA3 Risks'!$A:$AG,19,FALSE)</f>
        <v>0</v>
      </c>
      <c r="AD102" s="123">
        <f>VLOOKUP($A102,'CCRA3 Risks'!$A:$AG,20,FALSE)</f>
        <v>0</v>
      </c>
      <c r="AE102" s="123">
        <f>VLOOKUP($A102,'CCRA3 Risks'!$A:$AG,21,FALSE)</f>
        <v>0</v>
      </c>
      <c r="AF102" s="123" t="str">
        <f>VLOOKUP($A102,'CCRA3 Risks'!$A:$AG,22,FALSE)</f>
        <v>Y</v>
      </c>
      <c r="AG102" s="123" t="str">
        <f>VLOOKUP($A102,'CCRA3 Risks'!$A:$AG,23,FALSE)</f>
        <v>Y</v>
      </c>
      <c r="AH102" s="123" t="str">
        <f>VLOOKUP($A102,'CCRA3 Risks'!$A:$AG,24,FALSE)</f>
        <v>Y</v>
      </c>
      <c r="AI102" s="123" t="str">
        <f>VLOOKUP($A102,'CCRA3 Risks'!$A:$AG,25,FALSE)</f>
        <v>Y</v>
      </c>
      <c r="AJ102" s="123" t="str">
        <f>VLOOKUP($A102,'CCRA3 Risks'!$A:$AG,26,FALSE)</f>
        <v>Y</v>
      </c>
      <c r="AK102" s="123">
        <f>VLOOKUP($A102,'CCRA3 Risks'!$A:$AG,27,FALSE)</f>
        <v>0</v>
      </c>
      <c r="AL102" s="123">
        <f>VLOOKUP($A102,'CCRA3 Risks'!$A:$AG,28,FALSE)</f>
        <v>0</v>
      </c>
      <c r="AM102" s="123">
        <f>VLOOKUP($A102,'CCRA3 Risks'!$A:$AG,29,FALSE)</f>
        <v>0</v>
      </c>
      <c r="AN102" s="123">
        <f>VLOOKUP($A102,'CCRA3 Risks'!$A:$AG,30,FALSE)</f>
        <v>0</v>
      </c>
      <c r="AO102" s="123">
        <f>VLOOKUP($A102,'CCRA3 Risks'!$A:$AG,31,FALSE)</f>
        <v>0</v>
      </c>
      <c r="AP102" s="123">
        <f>VLOOKUP($A102,'CCRA3 Risks'!$A:$AG,32,FALSE)</f>
        <v>0</v>
      </c>
      <c r="AQ102" s="123">
        <f>VLOOKUP($A102,'CCRA3 Risks'!$A:$AG,33,FALSE)</f>
        <v>0</v>
      </c>
    </row>
    <row r="103" spans="1:43" ht="51" x14ac:dyDescent="0.25">
      <c r="A103" s="88" t="s">
        <v>264</v>
      </c>
      <c r="B103" s="88" t="s">
        <v>860</v>
      </c>
      <c r="C103" s="83" t="s">
        <v>861</v>
      </c>
      <c r="D103" s="83" t="s">
        <v>461</v>
      </c>
      <c r="E103" s="88" t="s">
        <v>67</v>
      </c>
      <c r="F103" s="83" t="s">
        <v>421</v>
      </c>
      <c r="G103" s="83" t="s">
        <v>30</v>
      </c>
      <c r="H103" s="83" t="s">
        <v>862</v>
      </c>
      <c r="I103" s="88"/>
      <c r="J103" s="88" t="s">
        <v>417</v>
      </c>
      <c r="K103" s="83" t="s">
        <v>863</v>
      </c>
      <c r="L103" s="83" t="s">
        <v>858</v>
      </c>
      <c r="M103" s="88" t="s">
        <v>864</v>
      </c>
      <c r="N103" s="206" t="str">
        <f>VLOOKUP($A103,'CCRA3 Risks'!$A:$R,2,FALSE)</f>
        <v>I2 Risks to infrastructure services from river, surface water and groundwater flooding</v>
      </c>
      <c r="O103" s="206" t="str">
        <f>VLOOKUP($A103,'CCRA3 Risks'!$A:$R,3,FALSE)</f>
        <v>No</v>
      </c>
      <c r="P103" s="207">
        <f>VLOOKUP($A103,'CCRA3 Risks'!$A:$R,4,FALSE)</f>
        <v>4</v>
      </c>
      <c r="Q103" s="206" t="str">
        <f>VLOOKUP($A103,'CCRA3 Risks'!$A:$R,7,FALSE)</f>
        <v>England</v>
      </c>
      <c r="R103" s="206" t="str">
        <f>VLOOKUP($A103,'CCRA3 Risks'!$A:$R,8,FALSE)</f>
        <v>High</v>
      </c>
      <c r="S103" s="206" t="str">
        <f>VLOOKUP($A103,'CCRA3 Risks'!$A:$R,9,FALSE)</f>
        <v>High</v>
      </c>
      <c r="T103" s="206" t="str">
        <f>VLOOKUP($A103,'CCRA3 Risks'!$A:$R,10,FALSE)</f>
        <v>High</v>
      </c>
      <c r="U103" s="206" t="str">
        <f>VLOOKUP($A103,'CCRA3 Risks'!$A:$R,11,FALSE)</f>
        <v>High</v>
      </c>
      <c r="V103" s="206" t="str">
        <f>VLOOKUP($A103,'CCRA3 Risks'!$A:$R,12,FALSE)</f>
        <v>High</v>
      </c>
      <c r="W103" s="206" t="str">
        <f>VLOOKUP($A103,'CCRA3 Risks'!$A:$R,13,FALSE)</f>
        <v>Partially</v>
      </c>
      <c r="X103" s="206" t="str">
        <f>VLOOKUP($A103,'CCRA3 Risks'!$A:$R,14,FALSE)</f>
        <v>More action needed</v>
      </c>
      <c r="Y103" s="206" t="str">
        <f>VLOOKUP($A103,'CCRA3 Risks'!$A:$R,15,FALSE)</f>
        <v>More action needed</v>
      </c>
      <c r="Z103" s="206" t="str">
        <f>VLOOKUP($A103,'CCRA3 Risks'!$A:$R,16,FALSE)</f>
        <v>N/A</v>
      </c>
      <c r="AA103" s="206" t="str">
        <f>VLOOKUP($A103,'CCRA3 Risks'!$A:$R,17,FALSE)</f>
        <v>Medium (Amber)</v>
      </c>
      <c r="AB103" s="206" t="str">
        <f>VLOOKUP($A103,'CCRA3 Risks'!$A:$R,18,FALSE)</f>
        <v>Medium (implementation of flood policies)</v>
      </c>
      <c r="AC103" s="202">
        <f>VLOOKUP($A103,'CCRA3 Risks'!$A:$AG,19,FALSE)</f>
        <v>0</v>
      </c>
      <c r="AD103" s="123">
        <f>VLOOKUP($A103,'CCRA3 Risks'!$A:$AG,20,FALSE)</f>
        <v>0</v>
      </c>
      <c r="AE103" s="123">
        <f>VLOOKUP($A103,'CCRA3 Risks'!$A:$AG,21,FALSE)</f>
        <v>0</v>
      </c>
      <c r="AF103" s="123" t="str">
        <f>VLOOKUP($A103,'CCRA3 Risks'!$A:$AG,22,FALSE)</f>
        <v>Y</v>
      </c>
      <c r="AG103" s="123" t="str">
        <f>VLOOKUP($A103,'CCRA3 Risks'!$A:$AG,23,FALSE)</f>
        <v>Y</v>
      </c>
      <c r="AH103" s="123" t="str">
        <f>VLOOKUP($A103,'CCRA3 Risks'!$A:$AG,24,FALSE)</f>
        <v>Y</v>
      </c>
      <c r="AI103" s="123" t="str">
        <f>VLOOKUP($A103,'CCRA3 Risks'!$A:$AG,25,FALSE)</f>
        <v>Y</v>
      </c>
      <c r="AJ103" s="123" t="str">
        <f>VLOOKUP($A103,'CCRA3 Risks'!$A:$AG,26,FALSE)</f>
        <v>Y</v>
      </c>
      <c r="AK103" s="123">
        <f>VLOOKUP($A103,'CCRA3 Risks'!$A:$AG,27,FALSE)</f>
        <v>0</v>
      </c>
      <c r="AL103" s="123">
        <f>VLOOKUP($A103,'CCRA3 Risks'!$A:$AG,28,FALSE)</f>
        <v>0</v>
      </c>
      <c r="AM103" s="123">
        <f>VLOOKUP($A103,'CCRA3 Risks'!$A:$AG,29,FALSE)</f>
        <v>0</v>
      </c>
      <c r="AN103" s="123">
        <f>VLOOKUP($A103,'CCRA3 Risks'!$A:$AG,30,FALSE)</f>
        <v>0</v>
      </c>
      <c r="AO103" s="123">
        <f>VLOOKUP($A103,'CCRA3 Risks'!$A:$AG,31,FALSE)</f>
        <v>0</v>
      </c>
      <c r="AP103" s="123">
        <f>VLOOKUP($A103,'CCRA3 Risks'!$A:$AG,32,FALSE)</f>
        <v>0</v>
      </c>
      <c r="AQ103" s="123">
        <f>VLOOKUP($A103,'CCRA3 Risks'!$A:$AG,33,FALSE)</f>
        <v>0</v>
      </c>
    </row>
    <row r="104" spans="1:43" ht="165.75" x14ac:dyDescent="0.25">
      <c r="A104" s="88" t="s">
        <v>264</v>
      </c>
      <c r="B104" s="88" t="s">
        <v>865</v>
      </c>
      <c r="C104" s="83" t="s">
        <v>866</v>
      </c>
      <c r="D104" s="83" t="s">
        <v>461</v>
      </c>
      <c r="E104" s="88" t="s">
        <v>67</v>
      </c>
      <c r="F104" s="83" t="s">
        <v>421</v>
      </c>
      <c r="G104" s="83" t="s">
        <v>30</v>
      </c>
      <c r="H104" s="83" t="s">
        <v>867</v>
      </c>
      <c r="I104" s="88"/>
      <c r="J104" s="88" t="s">
        <v>398</v>
      </c>
      <c r="K104" s="83" t="s">
        <v>868</v>
      </c>
      <c r="L104" s="83" t="s">
        <v>858</v>
      </c>
      <c r="M104" s="88" t="s">
        <v>869</v>
      </c>
      <c r="N104" s="206" t="str">
        <f>VLOOKUP($A104,'CCRA3 Risks'!$A:$R,2,FALSE)</f>
        <v>I2 Risks to infrastructure services from river, surface water and groundwater flooding</v>
      </c>
      <c r="O104" s="206" t="str">
        <f>VLOOKUP($A104,'CCRA3 Risks'!$A:$R,3,FALSE)</f>
        <v>No</v>
      </c>
      <c r="P104" s="207">
        <f>VLOOKUP($A104,'CCRA3 Risks'!$A:$R,4,FALSE)</f>
        <v>4</v>
      </c>
      <c r="Q104" s="206" t="str">
        <f>VLOOKUP($A104,'CCRA3 Risks'!$A:$R,7,FALSE)</f>
        <v>England</v>
      </c>
      <c r="R104" s="206" t="str">
        <f>VLOOKUP($A104,'CCRA3 Risks'!$A:$R,8,FALSE)</f>
        <v>High</v>
      </c>
      <c r="S104" s="206" t="str">
        <f>VLOOKUP($A104,'CCRA3 Risks'!$A:$R,9,FALSE)</f>
        <v>High</v>
      </c>
      <c r="T104" s="206" t="str">
        <f>VLOOKUP($A104,'CCRA3 Risks'!$A:$R,10,FALSE)</f>
        <v>High</v>
      </c>
      <c r="U104" s="206" t="str">
        <f>VLOOKUP($A104,'CCRA3 Risks'!$A:$R,11,FALSE)</f>
        <v>High</v>
      </c>
      <c r="V104" s="206" t="str">
        <f>VLOOKUP($A104,'CCRA3 Risks'!$A:$R,12,FALSE)</f>
        <v>High</v>
      </c>
      <c r="W104" s="206" t="str">
        <f>VLOOKUP($A104,'CCRA3 Risks'!$A:$R,13,FALSE)</f>
        <v>Partially</v>
      </c>
      <c r="X104" s="206" t="str">
        <f>VLOOKUP($A104,'CCRA3 Risks'!$A:$R,14,FALSE)</f>
        <v>More action needed</v>
      </c>
      <c r="Y104" s="206" t="str">
        <f>VLOOKUP($A104,'CCRA3 Risks'!$A:$R,15,FALSE)</f>
        <v>More action needed</v>
      </c>
      <c r="Z104" s="206" t="str">
        <f>VLOOKUP($A104,'CCRA3 Risks'!$A:$R,16,FALSE)</f>
        <v>N/A</v>
      </c>
      <c r="AA104" s="206" t="str">
        <f>VLOOKUP($A104,'CCRA3 Risks'!$A:$R,17,FALSE)</f>
        <v>Medium (Amber)</v>
      </c>
      <c r="AB104" s="206" t="str">
        <f>VLOOKUP($A104,'CCRA3 Risks'!$A:$R,18,FALSE)</f>
        <v>Medium (implementation of flood policies)</v>
      </c>
      <c r="AC104" s="202">
        <f>VLOOKUP($A104,'CCRA3 Risks'!$A:$AG,19,FALSE)</f>
        <v>0</v>
      </c>
      <c r="AD104" s="123">
        <f>VLOOKUP($A104,'CCRA3 Risks'!$A:$AG,20,FALSE)</f>
        <v>0</v>
      </c>
      <c r="AE104" s="123">
        <f>VLOOKUP($A104,'CCRA3 Risks'!$A:$AG,21,FALSE)</f>
        <v>0</v>
      </c>
      <c r="AF104" s="123" t="str">
        <f>VLOOKUP($A104,'CCRA3 Risks'!$A:$AG,22,FALSE)</f>
        <v>Y</v>
      </c>
      <c r="AG104" s="123" t="str">
        <f>VLOOKUP($A104,'CCRA3 Risks'!$A:$AG,23,FALSE)</f>
        <v>Y</v>
      </c>
      <c r="AH104" s="123" t="str">
        <f>VLOOKUP($A104,'CCRA3 Risks'!$A:$AG,24,FALSE)</f>
        <v>Y</v>
      </c>
      <c r="AI104" s="123" t="str">
        <f>VLOOKUP($A104,'CCRA3 Risks'!$A:$AG,25,FALSE)</f>
        <v>Y</v>
      </c>
      <c r="AJ104" s="123" t="str">
        <f>VLOOKUP($A104,'CCRA3 Risks'!$A:$AG,26,FALSE)</f>
        <v>Y</v>
      </c>
      <c r="AK104" s="123">
        <f>VLOOKUP($A104,'CCRA3 Risks'!$A:$AG,27,FALSE)</f>
        <v>0</v>
      </c>
      <c r="AL104" s="123">
        <f>VLOOKUP($A104,'CCRA3 Risks'!$A:$AG,28,FALSE)</f>
        <v>0</v>
      </c>
      <c r="AM104" s="123">
        <f>VLOOKUP($A104,'CCRA3 Risks'!$A:$AG,29,FALSE)</f>
        <v>0</v>
      </c>
      <c r="AN104" s="123">
        <f>VLOOKUP($A104,'CCRA3 Risks'!$A:$AG,30,FALSE)</f>
        <v>0</v>
      </c>
      <c r="AO104" s="123">
        <f>VLOOKUP($A104,'CCRA3 Risks'!$A:$AG,31,FALSE)</f>
        <v>0</v>
      </c>
      <c r="AP104" s="123">
        <f>VLOOKUP($A104,'CCRA3 Risks'!$A:$AG,32,FALSE)</f>
        <v>0</v>
      </c>
      <c r="AQ104" s="123">
        <f>VLOOKUP($A104,'CCRA3 Risks'!$A:$AG,33,FALSE)</f>
        <v>0</v>
      </c>
    </row>
    <row r="105" spans="1:43" ht="391.5" customHeight="1" x14ac:dyDescent="0.25">
      <c r="A105" s="88" t="s">
        <v>264</v>
      </c>
      <c r="B105" s="88" t="s">
        <v>870</v>
      </c>
      <c r="C105" s="83" t="s">
        <v>871</v>
      </c>
      <c r="D105" s="83" t="s">
        <v>461</v>
      </c>
      <c r="E105" s="88" t="s">
        <v>67</v>
      </c>
      <c r="F105" s="83" t="s">
        <v>396</v>
      </c>
      <c r="G105" s="83" t="s">
        <v>20</v>
      </c>
      <c r="H105" s="83" t="s">
        <v>872</v>
      </c>
      <c r="I105" s="88"/>
      <c r="J105" s="88" t="s">
        <v>463</v>
      </c>
      <c r="K105" s="83" t="s">
        <v>873</v>
      </c>
      <c r="L105" s="83" t="s">
        <v>858</v>
      </c>
      <c r="M105" s="88" t="s">
        <v>874</v>
      </c>
      <c r="N105" s="206" t="str">
        <f>VLOOKUP($A105,'CCRA3 Risks'!$A:$R,2,FALSE)</f>
        <v>I2 Risks to infrastructure services from river, surface water and groundwater flooding</v>
      </c>
      <c r="O105" s="206" t="str">
        <f>VLOOKUP($A105,'CCRA3 Risks'!$A:$R,3,FALSE)</f>
        <v>No</v>
      </c>
      <c r="P105" s="207">
        <f>VLOOKUP($A105,'CCRA3 Risks'!$A:$R,4,FALSE)</f>
        <v>4</v>
      </c>
      <c r="Q105" s="206" t="str">
        <f>VLOOKUP($A105,'CCRA3 Risks'!$A:$R,7,FALSE)</f>
        <v>England</v>
      </c>
      <c r="R105" s="206" t="str">
        <f>VLOOKUP($A105,'CCRA3 Risks'!$A:$R,8,FALSE)</f>
        <v>High</v>
      </c>
      <c r="S105" s="206" t="str">
        <f>VLOOKUP($A105,'CCRA3 Risks'!$A:$R,9,FALSE)</f>
        <v>High</v>
      </c>
      <c r="T105" s="206" t="str">
        <f>VLOOKUP($A105,'CCRA3 Risks'!$A:$R,10,FALSE)</f>
        <v>High</v>
      </c>
      <c r="U105" s="206" t="str">
        <f>VLOOKUP($A105,'CCRA3 Risks'!$A:$R,11,FALSE)</f>
        <v>High</v>
      </c>
      <c r="V105" s="206" t="str">
        <f>VLOOKUP($A105,'CCRA3 Risks'!$A:$R,12,FALSE)</f>
        <v>High</v>
      </c>
      <c r="W105" s="206" t="str">
        <f>VLOOKUP($A105,'CCRA3 Risks'!$A:$R,13,FALSE)</f>
        <v>Partially</v>
      </c>
      <c r="X105" s="206" t="str">
        <f>VLOOKUP($A105,'CCRA3 Risks'!$A:$R,14,FALSE)</f>
        <v>More action needed</v>
      </c>
      <c r="Y105" s="206" t="str">
        <f>VLOOKUP($A105,'CCRA3 Risks'!$A:$R,15,FALSE)</f>
        <v>More action needed</v>
      </c>
      <c r="Z105" s="206" t="str">
        <f>VLOOKUP($A105,'CCRA3 Risks'!$A:$R,16,FALSE)</f>
        <v>N/A</v>
      </c>
      <c r="AA105" s="206" t="str">
        <f>VLOOKUP($A105,'CCRA3 Risks'!$A:$R,17,FALSE)</f>
        <v>Medium (Amber)</v>
      </c>
      <c r="AB105" s="206" t="str">
        <f>VLOOKUP($A105,'CCRA3 Risks'!$A:$R,18,FALSE)</f>
        <v>Medium (implementation of flood policies)</v>
      </c>
      <c r="AC105" s="202">
        <f>VLOOKUP($A105,'CCRA3 Risks'!$A:$AG,19,FALSE)</f>
        <v>0</v>
      </c>
      <c r="AD105" s="123">
        <f>VLOOKUP($A105,'CCRA3 Risks'!$A:$AG,20,FALSE)</f>
        <v>0</v>
      </c>
      <c r="AE105" s="123">
        <f>VLOOKUP($A105,'CCRA3 Risks'!$A:$AG,21,FALSE)</f>
        <v>0</v>
      </c>
      <c r="AF105" s="123" t="str">
        <f>VLOOKUP($A105,'CCRA3 Risks'!$A:$AG,22,FALSE)</f>
        <v>Y</v>
      </c>
      <c r="AG105" s="123" t="str">
        <f>VLOOKUP($A105,'CCRA3 Risks'!$A:$AG,23,FALSE)</f>
        <v>Y</v>
      </c>
      <c r="AH105" s="123" t="str">
        <f>VLOOKUP($A105,'CCRA3 Risks'!$A:$AG,24,FALSE)</f>
        <v>Y</v>
      </c>
      <c r="AI105" s="123" t="str">
        <f>VLOOKUP($A105,'CCRA3 Risks'!$A:$AG,25,FALSE)</f>
        <v>Y</v>
      </c>
      <c r="AJ105" s="123" t="str">
        <f>VLOOKUP($A105,'CCRA3 Risks'!$A:$AG,26,FALSE)</f>
        <v>Y</v>
      </c>
      <c r="AK105" s="123">
        <f>VLOOKUP($A105,'CCRA3 Risks'!$A:$AG,27,FALSE)</f>
        <v>0</v>
      </c>
      <c r="AL105" s="123">
        <f>VLOOKUP($A105,'CCRA3 Risks'!$A:$AG,28,FALSE)</f>
        <v>0</v>
      </c>
      <c r="AM105" s="123">
        <f>VLOOKUP($A105,'CCRA3 Risks'!$A:$AG,29,FALSE)</f>
        <v>0</v>
      </c>
      <c r="AN105" s="123">
        <f>VLOOKUP($A105,'CCRA3 Risks'!$A:$AG,30,FALSE)</f>
        <v>0</v>
      </c>
      <c r="AO105" s="123">
        <f>VLOOKUP($A105,'CCRA3 Risks'!$A:$AG,31,FALSE)</f>
        <v>0</v>
      </c>
      <c r="AP105" s="123">
        <f>VLOOKUP($A105,'CCRA3 Risks'!$A:$AG,32,FALSE)</f>
        <v>0</v>
      </c>
      <c r="AQ105" s="123">
        <f>VLOOKUP($A105,'CCRA3 Risks'!$A:$AG,33,FALSE)</f>
        <v>0</v>
      </c>
    </row>
    <row r="106" spans="1:43" ht="191.25" x14ac:dyDescent="0.25">
      <c r="A106" s="88" t="s">
        <v>264</v>
      </c>
      <c r="B106" s="88" t="s">
        <v>875</v>
      </c>
      <c r="C106" s="83" t="s">
        <v>876</v>
      </c>
      <c r="D106" s="83" t="s">
        <v>461</v>
      </c>
      <c r="E106" s="88" t="s">
        <v>67</v>
      </c>
      <c r="F106" s="83" t="s">
        <v>396</v>
      </c>
      <c r="G106" s="83" t="s">
        <v>20</v>
      </c>
      <c r="H106" s="83" t="s">
        <v>877</v>
      </c>
      <c r="I106" s="88"/>
      <c r="J106" s="88" t="s">
        <v>463</v>
      </c>
      <c r="K106" s="83" t="s">
        <v>878</v>
      </c>
      <c r="L106" s="83" t="s">
        <v>858</v>
      </c>
      <c r="M106" s="83" t="s">
        <v>879</v>
      </c>
      <c r="N106" s="206" t="str">
        <f>VLOOKUP($A106,'CCRA3 Risks'!$A:$R,2,FALSE)</f>
        <v>I2 Risks to infrastructure services from river, surface water and groundwater flooding</v>
      </c>
      <c r="O106" s="206" t="str">
        <f>VLOOKUP($A106,'CCRA3 Risks'!$A:$R,3,FALSE)</f>
        <v>No</v>
      </c>
      <c r="P106" s="207">
        <f>VLOOKUP($A106,'CCRA3 Risks'!$A:$R,4,FALSE)</f>
        <v>4</v>
      </c>
      <c r="Q106" s="206" t="str">
        <f>VLOOKUP($A106,'CCRA3 Risks'!$A:$R,7,FALSE)</f>
        <v>England</v>
      </c>
      <c r="R106" s="206" t="str">
        <f>VLOOKUP($A106,'CCRA3 Risks'!$A:$R,8,FALSE)</f>
        <v>High</v>
      </c>
      <c r="S106" s="206" t="str">
        <f>VLOOKUP($A106,'CCRA3 Risks'!$A:$R,9,FALSE)</f>
        <v>High</v>
      </c>
      <c r="T106" s="206" t="str">
        <f>VLOOKUP($A106,'CCRA3 Risks'!$A:$R,10,FALSE)</f>
        <v>High</v>
      </c>
      <c r="U106" s="206" t="str">
        <f>VLOOKUP($A106,'CCRA3 Risks'!$A:$R,11,FALSE)</f>
        <v>High</v>
      </c>
      <c r="V106" s="206" t="str">
        <f>VLOOKUP($A106,'CCRA3 Risks'!$A:$R,12,FALSE)</f>
        <v>High</v>
      </c>
      <c r="W106" s="206" t="str">
        <f>VLOOKUP($A106,'CCRA3 Risks'!$A:$R,13,FALSE)</f>
        <v>Partially</v>
      </c>
      <c r="X106" s="206" t="str">
        <f>VLOOKUP($A106,'CCRA3 Risks'!$A:$R,14,FALSE)</f>
        <v>More action needed</v>
      </c>
      <c r="Y106" s="206" t="str">
        <f>VLOOKUP($A106,'CCRA3 Risks'!$A:$R,15,FALSE)</f>
        <v>More action needed</v>
      </c>
      <c r="Z106" s="206" t="str">
        <f>VLOOKUP($A106,'CCRA3 Risks'!$A:$R,16,FALSE)</f>
        <v>N/A</v>
      </c>
      <c r="AA106" s="206" t="str">
        <f>VLOOKUP($A106,'CCRA3 Risks'!$A:$R,17,FALSE)</f>
        <v>Medium (Amber)</v>
      </c>
      <c r="AB106" s="206" t="str">
        <f>VLOOKUP($A106,'CCRA3 Risks'!$A:$R,18,FALSE)</f>
        <v>Medium (implementation of flood policies)</v>
      </c>
      <c r="AC106" s="202">
        <f>VLOOKUP($A106,'CCRA3 Risks'!$A:$AG,19,FALSE)</f>
        <v>0</v>
      </c>
      <c r="AD106" s="123">
        <f>VLOOKUP($A106,'CCRA3 Risks'!$A:$AG,20,FALSE)</f>
        <v>0</v>
      </c>
      <c r="AE106" s="123">
        <f>VLOOKUP($A106,'CCRA3 Risks'!$A:$AG,21,FALSE)</f>
        <v>0</v>
      </c>
      <c r="AF106" s="123" t="str">
        <f>VLOOKUP($A106,'CCRA3 Risks'!$A:$AG,22,FALSE)</f>
        <v>Y</v>
      </c>
      <c r="AG106" s="123" t="str">
        <f>VLOOKUP($A106,'CCRA3 Risks'!$A:$AG,23,FALSE)</f>
        <v>Y</v>
      </c>
      <c r="AH106" s="123" t="str">
        <f>VLOOKUP($A106,'CCRA3 Risks'!$A:$AG,24,FALSE)</f>
        <v>Y</v>
      </c>
      <c r="AI106" s="123" t="str">
        <f>VLOOKUP($A106,'CCRA3 Risks'!$A:$AG,25,FALSE)</f>
        <v>Y</v>
      </c>
      <c r="AJ106" s="123" t="str">
        <f>VLOOKUP($A106,'CCRA3 Risks'!$A:$AG,26,FALSE)</f>
        <v>Y</v>
      </c>
      <c r="AK106" s="123">
        <f>VLOOKUP($A106,'CCRA3 Risks'!$A:$AG,27,FALSE)</f>
        <v>0</v>
      </c>
      <c r="AL106" s="123">
        <f>VLOOKUP($A106,'CCRA3 Risks'!$A:$AG,28,FALSE)</f>
        <v>0</v>
      </c>
      <c r="AM106" s="123">
        <f>VLOOKUP($A106,'CCRA3 Risks'!$A:$AG,29,FALSE)</f>
        <v>0</v>
      </c>
      <c r="AN106" s="123">
        <f>VLOOKUP($A106,'CCRA3 Risks'!$A:$AG,30,FALSE)</f>
        <v>0</v>
      </c>
      <c r="AO106" s="123">
        <f>VLOOKUP($A106,'CCRA3 Risks'!$A:$AG,31,FALSE)</f>
        <v>0</v>
      </c>
      <c r="AP106" s="123">
        <f>VLOOKUP($A106,'CCRA3 Risks'!$A:$AG,32,FALSE)</f>
        <v>0</v>
      </c>
      <c r="AQ106" s="123">
        <f>VLOOKUP($A106,'CCRA3 Risks'!$A:$AG,33,FALSE)</f>
        <v>0</v>
      </c>
    </row>
    <row r="107" spans="1:43" ht="178.5" x14ac:dyDescent="0.25">
      <c r="A107" s="88" t="s">
        <v>264</v>
      </c>
      <c r="B107" s="88" t="s">
        <v>880</v>
      </c>
      <c r="C107" s="83" t="s">
        <v>881</v>
      </c>
      <c r="D107" s="83" t="s">
        <v>403</v>
      </c>
      <c r="E107" s="88" t="s">
        <v>67</v>
      </c>
      <c r="F107" s="83" t="s">
        <v>396</v>
      </c>
      <c r="G107" s="83" t="s">
        <v>20</v>
      </c>
      <c r="H107" s="83" t="s">
        <v>882</v>
      </c>
      <c r="I107" s="88"/>
      <c r="J107" s="88" t="s">
        <v>463</v>
      </c>
      <c r="K107" s="83" t="s">
        <v>883</v>
      </c>
      <c r="L107" s="83" t="s">
        <v>858</v>
      </c>
      <c r="M107" s="83" t="s">
        <v>884</v>
      </c>
      <c r="N107" s="206" t="str">
        <f>VLOOKUP($A107,'CCRA3 Risks'!$A:$R,2,FALSE)</f>
        <v>I2 Risks to infrastructure services from river, surface water and groundwater flooding</v>
      </c>
      <c r="O107" s="206" t="str">
        <f>VLOOKUP($A107,'CCRA3 Risks'!$A:$R,3,FALSE)</f>
        <v>No</v>
      </c>
      <c r="P107" s="207">
        <f>VLOOKUP($A107,'CCRA3 Risks'!$A:$R,4,FALSE)</f>
        <v>4</v>
      </c>
      <c r="Q107" s="206" t="str">
        <f>VLOOKUP($A107,'CCRA3 Risks'!$A:$R,7,FALSE)</f>
        <v>England</v>
      </c>
      <c r="R107" s="206" t="str">
        <f>VLOOKUP($A107,'CCRA3 Risks'!$A:$R,8,FALSE)</f>
        <v>High</v>
      </c>
      <c r="S107" s="206" t="str">
        <f>VLOOKUP($A107,'CCRA3 Risks'!$A:$R,9,FALSE)</f>
        <v>High</v>
      </c>
      <c r="T107" s="206" t="str">
        <f>VLOOKUP($A107,'CCRA3 Risks'!$A:$R,10,FALSE)</f>
        <v>High</v>
      </c>
      <c r="U107" s="206" t="str">
        <f>VLOOKUP($A107,'CCRA3 Risks'!$A:$R,11,FALSE)</f>
        <v>High</v>
      </c>
      <c r="V107" s="206" t="str">
        <f>VLOOKUP($A107,'CCRA3 Risks'!$A:$R,12,FALSE)</f>
        <v>High</v>
      </c>
      <c r="W107" s="206" t="str">
        <f>VLOOKUP($A107,'CCRA3 Risks'!$A:$R,13,FALSE)</f>
        <v>Partially</v>
      </c>
      <c r="X107" s="206" t="str">
        <f>VLOOKUP($A107,'CCRA3 Risks'!$A:$R,14,FALSE)</f>
        <v>More action needed</v>
      </c>
      <c r="Y107" s="206" t="str">
        <f>VLOOKUP($A107,'CCRA3 Risks'!$A:$R,15,FALSE)</f>
        <v>More action needed</v>
      </c>
      <c r="Z107" s="206" t="str">
        <f>VLOOKUP($A107,'CCRA3 Risks'!$A:$R,16,FALSE)</f>
        <v>N/A</v>
      </c>
      <c r="AA107" s="206" t="str">
        <f>VLOOKUP($A107,'CCRA3 Risks'!$A:$R,17,FALSE)</f>
        <v>Medium (Amber)</v>
      </c>
      <c r="AB107" s="206" t="str">
        <f>VLOOKUP($A107,'CCRA3 Risks'!$A:$R,18,FALSE)</f>
        <v>Medium (implementation of flood policies)</v>
      </c>
      <c r="AC107" s="202">
        <f>VLOOKUP($A107,'CCRA3 Risks'!$A:$AG,19,FALSE)</f>
        <v>0</v>
      </c>
      <c r="AD107" s="123">
        <f>VLOOKUP($A107,'CCRA3 Risks'!$A:$AG,20,FALSE)</f>
        <v>0</v>
      </c>
      <c r="AE107" s="123">
        <f>VLOOKUP($A107,'CCRA3 Risks'!$A:$AG,21,FALSE)</f>
        <v>0</v>
      </c>
      <c r="AF107" s="123" t="str">
        <f>VLOOKUP($A107,'CCRA3 Risks'!$A:$AG,22,FALSE)</f>
        <v>Y</v>
      </c>
      <c r="AG107" s="123" t="str">
        <f>VLOOKUP($A107,'CCRA3 Risks'!$A:$AG,23,FALSE)</f>
        <v>Y</v>
      </c>
      <c r="AH107" s="123" t="str">
        <f>VLOOKUP($A107,'CCRA3 Risks'!$A:$AG,24,FALSE)</f>
        <v>Y</v>
      </c>
      <c r="AI107" s="123" t="str">
        <f>VLOOKUP($A107,'CCRA3 Risks'!$A:$AG,25,FALSE)</f>
        <v>Y</v>
      </c>
      <c r="AJ107" s="123" t="str">
        <f>VLOOKUP($A107,'CCRA3 Risks'!$A:$AG,26,FALSE)</f>
        <v>Y</v>
      </c>
      <c r="AK107" s="123">
        <f>VLOOKUP($A107,'CCRA3 Risks'!$A:$AG,27,FALSE)</f>
        <v>0</v>
      </c>
      <c r="AL107" s="123">
        <f>VLOOKUP($A107,'CCRA3 Risks'!$A:$AG,28,FALSE)</f>
        <v>0</v>
      </c>
      <c r="AM107" s="123">
        <f>VLOOKUP($A107,'CCRA3 Risks'!$A:$AG,29,FALSE)</f>
        <v>0</v>
      </c>
      <c r="AN107" s="123">
        <f>VLOOKUP($A107,'CCRA3 Risks'!$A:$AG,30,FALSE)</f>
        <v>0</v>
      </c>
      <c r="AO107" s="123">
        <f>VLOOKUP($A107,'CCRA3 Risks'!$A:$AG,31,FALSE)</f>
        <v>0</v>
      </c>
      <c r="AP107" s="123">
        <f>VLOOKUP($A107,'CCRA3 Risks'!$A:$AG,32,FALSE)</f>
        <v>0</v>
      </c>
      <c r="AQ107" s="123">
        <f>VLOOKUP($A107,'CCRA3 Risks'!$A:$AG,33,FALSE)</f>
        <v>0</v>
      </c>
    </row>
    <row r="108" spans="1:43" ht="291.60000000000002" customHeight="1" x14ac:dyDescent="0.25">
      <c r="A108" s="88" t="s">
        <v>264</v>
      </c>
      <c r="B108" s="88" t="s">
        <v>885</v>
      </c>
      <c r="C108" s="83" t="s">
        <v>886</v>
      </c>
      <c r="D108" s="83" t="s">
        <v>461</v>
      </c>
      <c r="E108" s="88" t="s">
        <v>67</v>
      </c>
      <c r="F108" s="83" t="s">
        <v>396</v>
      </c>
      <c r="G108" s="83" t="s">
        <v>20</v>
      </c>
      <c r="H108" s="83" t="s">
        <v>887</v>
      </c>
      <c r="I108" s="88"/>
      <c r="J108" s="88" t="s">
        <v>463</v>
      </c>
      <c r="K108" s="83" t="s">
        <v>888</v>
      </c>
      <c r="L108" s="83" t="s">
        <v>858</v>
      </c>
      <c r="M108" s="88" t="s">
        <v>35</v>
      </c>
      <c r="N108" s="206" t="str">
        <f>VLOOKUP($A108,'CCRA3 Risks'!$A:$R,2,FALSE)</f>
        <v>I2 Risks to infrastructure services from river, surface water and groundwater flooding</v>
      </c>
      <c r="O108" s="206" t="str">
        <f>VLOOKUP($A108,'CCRA3 Risks'!$A:$R,3,FALSE)</f>
        <v>No</v>
      </c>
      <c r="P108" s="207">
        <f>VLOOKUP($A108,'CCRA3 Risks'!$A:$R,4,FALSE)</f>
        <v>4</v>
      </c>
      <c r="Q108" s="206" t="str">
        <f>VLOOKUP($A108,'CCRA3 Risks'!$A:$R,7,FALSE)</f>
        <v>England</v>
      </c>
      <c r="R108" s="206" t="str">
        <f>VLOOKUP($A108,'CCRA3 Risks'!$A:$R,8,FALSE)</f>
        <v>High</v>
      </c>
      <c r="S108" s="206" t="str">
        <f>VLOOKUP($A108,'CCRA3 Risks'!$A:$R,9,FALSE)</f>
        <v>High</v>
      </c>
      <c r="T108" s="206" t="str">
        <f>VLOOKUP($A108,'CCRA3 Risks'!$A:$R,10,FALSE)</f>
        <v>High</v>
      </c>
      <c r="U108" s="206" t="str">
        <f>VLOOKUP($A108,'CCRA3 Risks'!$A:$R,11,FALSE)</f>
        <v>High</v>
      </c>
      <c r="V108" s="206" t="str">
        <f>VLOOKUP($A108,'CCRA3 Risks'!$A:$R,12,FALSE)</f>
        <v>High</v>
      </c>
      <c r="W108" s="206" t="str">
        <f>VLOOKUP($A108,'CCRA3 Risks'!$A:$R,13,FALSE)</f>
        <v>Partially</v>
      </c>
      <c r="X108" s="206" t="str">
        <f>VLOOKUP($A108,'CCRA3 Risks'!$A:$R,14,FALSE)</f>
        <v>More action needed</v>
      </c>
      <c r="Y108" s="206" t="str">
        <f>VLOOKUP($A108,'CCRA3 Risks'!$A:$R,15,FALSE)</f>
        <v>More action needed</v>
      </c>
      <c r="Z108" s="206" t="str">
        <f>VLOOKUP($A108,'CCRA3 Risks'!$A:$R,16,FALSE)</f>
        <v>N/A</v>
      </c>
      <c r="AA108" s="206" t="str">
        <f>VLOOKUP($A108,'CCRA3 Risks'!$A:$R,17,FALSE)</f>
        <v>Medium (Amber)</v>
      </c>
      <c r="AB108" s="206" t="str">
        <f>VLOOKUP($A108,'CCRA3 Risks'!$A:$R,18,FALSE)</f>
        <v>Medium (implementation of flood policies)</v>
      </c>
      <c r="AC108" s="202">
        <f>VLOOKUP($A108,'CCRA3 Risks'!$A:$AG,19,FALSE)</f>
        <v>0</v>
      </c>
      <c r="AD108" s="123">
        <f>VLOOKUP($A108,'CCRA3 Risks'!$A:$AG,20,FALSE)</f>
        <v>0</v>
      </c>
      <c r="AE108" s="123">
        <f>VLOOKUP($A108,'CCRA3 Risks'!$A:$AG,21,FALSE)</f>
        <v>0</v>
      </c>
      <c r="AF108" s="123" t="str">
        <f>VLOOKUP($A108,'CCRA3 Risks'!$A:$AG,22,FALSE)</f>
        <v>Y</v>
      </c>
      <c r="AG108" s="123" t="str">
        <f>VLOOKUP($A108,'CCRA3 Risks'!$A:$AG,23,FALSE)</f>
        <v>Y</v>
      </c>
      <c r="AH108" s="123" t="str">
        <f>VLOOKUP($A108,'CCRA3 Risks'!$A:$AG,24,FALSE)</f>
        <v>Y</v>
      </c>
      <c r="AI108" s="123" t="str">
        <f>VLOOKUP($A108,'CCRA3 Risks'!$A:$AG,25,FALSE)</f>
        <v>Y</v>
      </c>
      <c r="AJ108" s="123" t="str">
        <f>VLOOKUP($A108,'CCRA3 Risks'!$A:$AG,26,FALSE)</f>
        <v>Y</v>
      </c>
      <c r="AK108" s="123">
        <f>VLOOKUP($A108,'CCRA3 Risks'!$A:$AG,27,FALSE)</f>
        <v>0</v>
      </c>
      <c r="AL108" s="123">
        <f>VLOOKUP($A108,'CCRA3 Risks'!$A:$AG,28,FALSE)</f>
        <v>0</v>
      </c>
      <c r="AM108" s="123">
        <f>VLOOKUP($A108,'CCRA3 Risks'!$A:$AG,29,FALSE)</f>
        <v>0</v>
      </c>
      <c r="AN108" s="123">
        <f>VLOOKUP($A108,'CCRA3 Risks'!$A:$AG,30,FALSE)</f>
        <v>0</v>
      </c>
      <c r="AO108" s="123">
        <f>VLOOKUP($A108,'CCRA3 Risks'!$A:$AG,31,FALSE)</f>
        <v>0</v>
      </c>
      <c r="AP108" s="123">
        <f>VLOOKUP($A108,'CCRA3 Risks'!$A:$AG,32,FALSE)</f>
        <v>0</v>
      </c>
      <c r="AQ108" s="123">
        <f>VLOOKUP($A108,'CCRA3 Risks'!$A:$AG,33,FALSE)</f>
        <v>0</v>
      </c>
    </row>
    <row r="109" spans="1:43" ht="38.25" x14ac:dyDescent="0.25">
      <c r="A109" s="88" t="s">
        <v>264</v>
      </c>
      <c r="B109" s="88" t="s">
        <v>889</v>
      </c>
      <c r="C109" s="83" t="s">
        <v>890</v>
      </c>
      <c r="D109" s="83" t="s">
        <v>461</v>
      </c>
      <c r="E109" s="88" t="s">
        <v>67</v>
      </c>
      <c r="F109" s="83" t="s">
        <v>396</v>
      </c>
      <c r="G109" s="83" t="s">
        <v>20</v>
      </c>
      <c r="H109" s="82" t="s">
        <v>891</v>
      </c>
      <c r="I109" s="88"/>
      <c r="J109" s="88" t="s">
        <v>417</v>
      </c>
      <c r="K109" s="83" t="s">
        <v>892</v>
      </c>
      <c r="L109" s="83" t="s">
        <v>858</v>
      </c>
      <c r="M109" s="88" t="s">
        <v>35</v>
      </c>
      <c r="N109" s="206" t="str">
        <f>VLOOKUP($A109,'CCRA3 Risks'!$A:$R,2,FALSE)</f>
        <v>I2 Risks to infrastructure services from river, surface water and groundwater flooding</v>
      </c>
      <c r="O109" s="206" t="str">
        <f>VLOOKUP($A109,'CCRA3 Risks'!$A:$R,3,FALSE)</f>
        <v>No</v>
      </c>
      <c r="P109" s="207">
        <f>VLOOKUP($A109,'CCRA3 Risks'!$A:$R,4,FALSE)</f>
        <v>4</v>
      </c>
      <c r="Q109" s="206" t="str">
        <f>VLOOKUP($A109,'CCRA3 Risks'!$A:$R,7,FALSE)</f>
        <v>England</v>
      </c>
      <c r="R109" s="206" t="str">
        <f>VLOOKUP($A109,'CCRA3 Risks'!$A:$R,8,FALSE)</f>
        <v>High</v>
      </c>
      <c r="S109" s="206" t="str">
        <f>VLOOKUP($A109,'CCRA3 Risks'!$A:$R,9,FALSE)</f>
        <v>High</v>
      </c>
      <c r="T109" s="206" t="str">
        <f>VLOOKUP($A109,'CCRA3 Risks'!$A:$R,10,FALSE)</f>
        <v>High</v>
      </c>
      <c r="U109" s="206" t="str">
        <f>VLOOKUP($A109,'CCRA3 Risks'!$A:$R,11,FALSE)</f>
        <v>High</v>
      </c>
      <c r="V109" s="206" t="str">
        <f>VLOOKUP($A109,'CCRA3 Risks'!$A:$R,12,FALSE)</f>
        <v>High</v>
      </c>
      <c r="W109" s="206" t="str">
        <f>VLOOKUP($A109,'CCRA3 Risks'!$A:$R,13,FALSE)</f>
        <v>Partially</v>
      </c>
      <c r="X109" s="206" t="str">
        <f>VLOOKUP($A109,'CCRA3 Risks'!$A:$R,14,FALSE)</f>
        <v>More action needed</v>
      </c>
      <c r="Y109" s="206" t="str">
        <f>VLOOKUP($A109,'CCRA3 Risks'!$A:$R,15,FALSE)</f>
        <v>More action needed</v>
      </c>
      <c r="Z109" s="206" t="str">
        <f>VLOOKUP($A109,'CCRA3 Risks'!$A:$R,16,FALSE)</f>
        <v>N/A</v>
      </c>
      <c r="AA109" s="206" t="str">
        <f>VLOOKUP($A109,'CCRA3 Risks'!$A:$R,17,FALSE)</f>
        <v>Medium (Amber)</v>
      </c>
      <c r="AB109" s="206" t="str">
        <f>VLOOKUP($A109,'CCRA3 Risks'!$A:$R,18,FALSE)</f>
        <v>Medium (implementation of flood policies)</v>
      </c>
      <c r="AC109" s="202">
        <f>VLOOKUP($A109,'CCRA3 Risks'!$A:$AG,19,FALSE)</f>
        <v>0</v>
      </c>
      <c r="AD109" s="123">
        <f>VLOOKUP($A109,'CCRA3 Risks'!$A:$AG,20,FALSE)</f>
        <v>0</v>
      </c>
      <c r="AE109" s="123">
        <f>VLOOKUP($A109,'CCRA3 Risks'!$A:$AG,21,FALSE)</f>
        <v>0</v>
      </c>
      <c r="AF109" s="123" t="str">
        <f>VLOOKUP($A109,'CCRA3 Risks'!$A:$AG,22,FALSE)</f>
        <v>Y</v>
      </c>
      <c r="AG109" s="123" t="str">
        <f>VLOOKUP($A109,'CCRA3 Risks'!$A:$AG,23,FALSE)</f>
        <v>Y</v>
      </c>
      <c r="AH109" s="123" t="str">
        <f>VLOOKUP($A109,'CCRA3 Risks'!$A:$AG,24,FALSE)</f>
        <v>Y</v>
      </c>
      <c r="AI109" s="123" t="str">
        <f>VLOOKUP($A109,'CCRA3 Risks'!$A:$AG,25,FALSE)</f>
        <v>Y</v>
      </c>
      <c r="AJ109" s="123" t="str">
        <f>VLOOKUP($A109,'CCRA3 Risks'!$A:$AG,26,FALSE)</f>
        <v>Y</v>
      </c>
      <c r="AK109" s="123">
        <f>VLOOKUP($A109,'CCRA3 Risks'!$A:$AG,27,FALSE)</f>
        <v>0</v>
      </c>
      <c r="AL109" s="123">
        <f>VLOOKUP($A109,'CCRA3 Risks'!$A:$AG,28,FALSE)</f>
        <v>0</v>
      </c>
      <c r="AM109" s="123">
        <f>VLOOKUP($A109,'CCRA3 Risks'!$A:$AG,29,FALSE)</f>
        <v>0</v>
      </c>
      <c r="AN109" s="123">
        <f>VLOOKUP($A109,'CCRA3 Risks'!$A:$AG,30,FALSE)</f>
        <v>0</v>
      </c>
      <c r="AO109" s="123">
        <f>VLOOKUP($A109,'CCRA3 Risks'!$A:$AG,31,FALSE)</f>
        <v>0</v>
      </c>
      <c r="AP109" s="123">
        <f>VLOOKUP($A109,'CCRA3 Risks'!$A:$AG,32,FALSE)</f>
        <v>0</v>
      </c>
      <c r="AQ109" s="123">
        <f>VLOOKUP($A109,'CCRA3 Risks'!$A:$AG,33,FALSE)</f>
        <v>0</v>
      </c>
    </row>
    <row r="110" spans="1:43" ht="409.5" x14ac:dyDescent="0.25">
      <c r="A110" s="88" t="s">
        <v>267</v>
      </c>
      <c r="B110" s="88" t="s">
        <v>893</v>
      </c>
      <c r="C110" s="83" t="s">
        <v>894</v>
      </c>
      <c r="D110" s="83" t="s">
        <v>461</v>
      </c>
      <c r="E110" s="88" t="s">
        <v>67</v>
      </c>
      <c r="F110" s="83" t="s">
        <v>421</v>
      </c>
      <c r="G110" s="83" t="s">
        <v>30</v>
      </c>
      <c r="H110" s="83" t="s">
        <v>895</v>
      </c>
      <c r="I110" s="88"/>
      <c r="J110" s="88" t="s">
        <v>398</v>
      </c>
      <c r="K110" s="83" t="s">
        <v>896</v>
      </c>
      <c r="L110" s="83" t="s">
        <v>897</v>
      </c>
      <c r="M110" s="83" t="s">
        <v>898</v>
      </c>
      <c r="N110" s="206" t="str">
        <f>VLOOKUP($A110,'CCRA3 Risks'!$A:$R,2,FALSE)</f>
        <v xml:space="preserve">I3 Risks to infrastructure services from coastal flooding and erosion </v>
      </c>
      <c r="O110" s="206" t="str">
        <f>VLOOKUP($A110,'CCRA3 Risks'!$A:$R,3,FALSE)</f>
        <v>No</v>
      </c>
      <c r="P110" s="207">
        <f>VLOOKUP($A110,'CCRA3 Risks'!$A:$R,4,FALSE)</f>
        <v>4</v>
      </c>
      <c r="Q110" s="206" t="str">
        <f>VLOOKUP($A110,'CCRA3 Risks'!$A:$R,7,FALSE)</f>
        <v>England</v>
      </c>
      <c r="R110" s="206" t="str">
        <f>VLOOKUP($A110,'CCRA3 Risks'!$A:$R,8,FALSE)</f>
        <v>Medium</v>
      </c>
      <c r="S110" s="206" t="str">
        <f>VLOOKUP($A110,'CCRA3 Risks'!$A:$R,9,FALSE)</f>
        <v>Medium</v>
      </c>
      <c r="T110" s="206" t="str">
        <f>VLOOKUP($A110,'CCRA3 Risks'!$A:$R,10,FALSE)</f>
        <v>Medium</v>
      </c>
      <c r="U110" s="206" t="str">
        <f>VLOOKUP($A110,'CCRA3 Risks'!$A:$R,11,FALSE)</f>
        <v>Medium</v>
      </c>
      <c r="V110" s="206" t="str">
        <f>VLOOKUP($A110,'CCRA3 Risks'!$A:$R,12,FALSE)</f>
        <v>Medium</v>
      </c>
      <c r="W110" s="206" t="str">
        <f>VLOOKUP($A110,'CCRA3 Risks'!$A:$R,13,FALSE)</f>
        <v>Partially</v>
      </c>
      <c r="X110" s="206" t="str">
        <f>VLOOKUP($A110,'CCRA3 Risks'!$A:$R,14,FALSE)</f>
        <v>Further investigation</v>
      </c>
      <c r="Y110" s="206" t="str">
        <f>VLOOKUP($A110,'CCRA3 Risks'!$A:$R,15,FALSE)</f>
        <v>Further Investigation</v>
      </c>
      <c r="Z110" s="206" t="str">
        <f>VLOOKUP($A110,'CCRA3 Risks'!$A:$R,16,FALSE)</f>
        <v>N/A</v>
      </c>
      <c r="AA110" s="206" t="str">
        <f>VLOOKUP($A110,'CCRA3 Risks'!$A:$R,17,FALSE)</f>
        <v>Medium (Amber)</v>
      </c>
      <c r="AB110" s="206" t="str">
        <f>VLOOKUP($A110,'CCRA3 Risks'!$A:$R,18,FALSE)</f>
        <v>High (New or reviewed coastal policies and implementation of renewed flood policies)</v>
      </c>
      <c r="AC110" s="202">
        <f>VLOOKUP($A110,'CCRA3 Risks'!$A:$AG,19,FALSE)</f>
        <v>0</v>
      </c>
      <c r="AD110" s="123">
        <f>VLOOKUP($A110,'CCRA3 Risks'!$A:$AG,20,FALSE)</f>
        <v>0</v>
      </c>
      <c r="AE110" s="123">
        <f>VLOOKUP($A110,'CCRA3 Risks'!$A:$AG,21,FALSE)</f>
        <v>0</v>
      </c>
      <c r="AF110" s="123" t="str">
        <f>VLOOKUP($A110,'CCRA3 Risks'!$A:$AG,22,FALSE)</f>
        <v>Y</v>
      </c>
      <c r="AG110" s="123" t="str">
        <f>VLOOKUP($A110,'CCRA3 Risks'!$A:$AG,23,FALSE)</f>
        <v>Y</v>
      </c>
      <c r="AH110" s="123" t="str">
        <f>VLOOKUP($A110,'CCRA3 Risks'!$A:$AG,24,FALSE)</f>
        <v>Y</v>
      </c>
      <c r="AI110" s="123" t="str">
        <f>VLOOKUP($A110,'CCRA3 Risks'!$A:$AG,25,FALSE)</f>
        <v>Y</v>
      </c>
      <c r="AJ110" s="123" t="str">
        <f>VLOOKUP($A110,'CCRA3 Risks'!$A:$AG,26,FALSE)</f>
        <v>Y</v>
      </c>
      <c r="AK110" s="123">
        <f>VLOOKUP($A110,'CCRA3 Risks'!$A:$AG,27,FALSE)</f>
        <v>0</v>
      </c>
      <c r="AL110" s="123">
        <f>VLOOKUP($A110,'CCRA3 Risks'!$A:$AG,28,FALSE)</f>
        <v>0</v>
      </c>
      <c r="AM110" s="123">
        <f>VLOOKUP($A110,'CCRA3 Risks'!$A:$AG,29,FALSE)</f>
        <v>0</v>
      </c>
      <c r="AN110" s="123">
        <f>VLOOKUP($A110,'CCRA3 Risks'!$A:$AG,30,FALSE)</f>
        <v>0</v>
      </c>
      <c r="AO110" s="123">
        <f>VLOOKUP($A110,'CCRA3 Risks'!$A:$AG,31,FALSE)</f>
        <v>0</v>
      </c>
      <c r="AP110" s="123">
        <f>VLOOKUP($A110,'CCRA3 Risks'!$A:$AG,32,FALSE)</f>
        <v>0</v>
      </c>
      <c r="AQ110" s="123">
        <f>VLOOKUP($A110,'CCRA3 Risks'!$A:$AG,33,FALSE)</f>
        <v>0</v>
      </c>
    </row>
    <row r="111" spans="1:43" ht="395.25" x14ac:dyDescent="0.25">
      <c r="A111" s="88" t="s">
        <v>267</v>
      </c>
      <c r="B111" s="88" t="s">
        <v>899</v>
      </c>
      <c r="C111" s="83" t="s">
        <v>900</v>
      </c>
      <c r="D111" s="83" t="s">
        <v>461</v>
      </c>
      <c r="E111" s="88" t="s">
        <v>67</v>
      </c>
      <c r="F111" s="83" t="s">
        <v>396</v>
      </c>
      <c r="G111" s="83" t="s">
        <v>30</v>
      </c>
      <c r="H111" s="82" t="s">
        <v>901</v>
      </c>
      <c r="I111" s="88"/>
      <c r="J111" s="88" t="s">
        <v>463</v>
      </c>
      <c r="K111" s="83" t="s">
        <v>902</v>
      </c>
      <c r="L111" s="83" t="s">
        <v>897</v>
      </c>
      <c r="M111" s="83" t="s">
        <v>903</v>
      </c>
      <c r="N111" s="206" t="str">
        <f>VLOOKUP($A111,'CCRA3 Risks'!$A:$R,2,FALSE)</f>
        <v xml:space="preserve">I3 Risks to infrastructure services from coastal flooding and erosion </v>
      </c>
      <c r="O111" s="206" t="str">
        <f>VLOOKUP($A111,'CCRA3 Risks'!$A:$R,3,FALSE)</f>
        <v>No</v>
      </c>
      <c r="P111" s="207">
        <f>VLOOKUP($A111,'CCRA3 Risks'!$A:$R,4,FALSE)</f>
        <v>4</v>
      </c>
      <c r="Q111" s="206" t="str">
        <f>VLOOKUP($A111,'CCRA3 Risks'!$A:$R,7,FALSE)</f>
        <v>England</v>
      </c>
      <c r="R111" s="206" t="str">
        <f>VLOOKUP($A111,'CCRA3 Risks'!$A:$R,8,FALSE)</f>
        <v>Medium</v>
      </c>
      <c r="S111" s="206" t="str">
        <f>VLOOKUP($A111,'CCRA3 Risks'!$A:$R,9,FALSE)</f>
        <v>Medium</v>
      </c>
      <c r="T111" s="206" t="str">
        <f>VLOOKUP($A111,'CCRA3 Risks'!$A:$R,10,FALSE)</f>
        <v>Medium</v>
      </c>
      <c r="U111" s="206" t="str">
        <f>VLOOKUP($A111,'CCRA3 Risks'!$A:$R,11,FALSE)</f>
        <v>Medium</v>
      </c>
      <c r="V111" s="206" t="str">
        <f>VLOOKUP($A111,'CCRA3 Risks'!$A:$R,12,FALSE)</f>
        <v>Medium</v>
      </c>
      <c r="W111" s="206" t="str">
        <f>VLOOKUP($A111,'CCRA3 Risks'!$A:$R,13,FALSE)</f>
        <v>Partially</v>
      </c>
      <c r="X111" s="206" t="str">
        <f>VLOOKUP($A111,'CCRA3 Risks'!$A:$R,14,FALSE)</f>
        <v>Further investigation</v>
      </c>
      <c r="Y111" s="206" t="str">
        <f>VLOOKUP($A111,'CCRA3 Risks'!$A:$R,15,FALSE)</f>
        <v>Further Investigation</v>
      </c>
      <c r="Z111" s="206" t="str">
        <f>VLOOKUP($A111,'CCRA3 Risks'!$A:$R,16,FALSE)</f>
        <v>N/A</v>
      </c>
      <c r="AA111" s="206" t="str">
        <f>VLOOKUP($A111,'CCRA3 Risks'!$A:$R,17,FALSE)</f>
        <v>Medium (Amber)</v>
      </c>
      <c r="AB111" s="206" t="str">
        <f>VLOOKUP($A111,'CCRA3 Risks'!$A:$R,18,FALSE)</f>
        <v>High (New or reviewed coastal policies and implementation of renewed flood policies)</v>
      </c>
      <c r="AC111" s="202">
        <f>VLOOKUP($A111,'CCRA3 Risks'!$A:$AG,19,FALSE)</f>
        <v>0</v>
      </c>
      <c r="AD111" s="123">
        <f>VLOOKUP($A111,'CCRA3 Risks'!$A:$AG,20,FALSE)</f>
        <v>0</v>
      </c>
      <c r="AE111" s="123">
        <f>VLOOKUP($A111,'CCRA3 Risks'!$A:$AG,21,FALSE)</f>
        <v>0</v>
      </c>
      <c r="AF111" s="123" t="str">
        <f>VLOOKUP($A111,'CCRA3 Risks'!$A:$AG,22,FALSE)</f>
        <v>Y</v>
      </c>
      <c r="AG111" s="123" t="str">
        <f>VLOOKUP($A111,'CCRA3 Risks'!$A:$AG,23,FALSE)</f>
        <v>Y</v>
      </c>
      <c r="AH111" s="123" t="str">
        <f>VLOOKUP($A111,'CCRA3 Risks'!$A:$AG,24,FALSE)</f>
        <v>Y</v>
      </c>
      <c r="AI111" s="123" t="str">
        <f>VLOOKUP($A111,'CCRA3 Risks'!$A:$AG,25,FALSE)</f>
        <v>Y</v>
      </c>
      <c r="AJ111" s="123" t="str">
        <f>VLOOKUP($A111,'CCRA3 Risks'!$A:$AG,26,FALSE)</f>
        <v>Y</v>
      </c>
      <c r="AK111" s="123">
        <f>VLOOKUP($A111,'CCRA3 Risks'!$A:$AG,27,FALSE)</f>
        <v>0</v>
      </c>
      <c r="AL111" s="123">
        <f>VLOOKUP($A111,'CCRA3 Risks'!$A:$AG,28,FALSE)</f>
        <v>0</v>
      </c>
      <c r="AM111" s="123">
        <f>VLOOKUP($A111,'CCRA3 Risks'!$A:$AG,29,FALSE)</f>
        <v>0</v>
      </c>
      <c r="AN111" s="123">
        <f>VLOOKUP($A111,'CCRA3 Risks'!$A:$AG,30,FALSE)</f>
        <v>0</v>
      </c>
      <c r="AO111" s="123">
        <f>VLOOKUP($A111,'CCRA3 Risks'!$A:$AG,31,FALSE)</f>
        <v>0</v>
      </c>
      <c r="AP111" s="123">
        <f>VLOOKUP($A111,'CCRA3 Risks'!$A:$AG,32,FALSE)</f>
        <v>0</v>
      </c>
      <c r="AQ111" s="123">
        <f>VLOOKUP($A111,'CCRA3 Risks'!$A:$AG,33,FALSE)</f>
        <v>0</v>
      </c>
    </row>
    <row r="112" spans="1:43" ht="255" x14ac:dyDescent="0.25">
      <c r="A112" s="88" t="s">
        <v>267</v>
      </c>
      <c r="B112" s="88" t="s">
        <v>904</v>
      </c>
      <c r="C112" s="83" t="s">
        <v>905</v>
      </c>
      <c r="D112" s="83" t="s">
        <v>461</v>
      </c>
      <c r="E112" s="88" t="s">
        <v>67</v>
      </c>
      <c r="F112" s="83" t="s">
        <v>421</v>
      </c>
      <c r="G112" s="83" t="s">
        <v>30</v>
      </c>
      <c r="H112" s="83" t="s">
        <v>906</v>
      </c>
      <c r="I112" s="88"/>
      <c r="J112" s="88" t="s">
        <v>398</v>
      </c>
      <c r="K112" s="83" t="s">
        <v>907</v>
      </c>
      <c r="L112" s="83" t="s">
        <v>897</v>
      </c>
      <c r="M112" s="83" t="s">
        <v>908</v>
      </c>
      <c r="N112" s="206" t="str">
        <f>VLOOKUP($A112,'CCRA3 Risks'!$A:$R,2,FALSE)</f>
        <v xml:space="preserve">I3 Risks to infrastructure services from coastal flooding and erosion </v>
      </c>
      <c r="O112" s="206" t="str">
        <f>VLOOKUP($A112,'CCRA3 Risks'!$A:$R,3,FALSE)</f>
        <v>No</v>
      </c>
      <c r="P112" s="207">
        <f>VLOOKUP($A112,'CCRA3 Risks'!$A:$R,4,FALSE)</f>
        <v>4</v>
      </c>
      <c r="Q112" s="206" t="str">
        <f>VLOOKUP($A112,'CCRA3 Risks'!$A:$R,7,FALSE)</f>
        <v>England</v>
      </c>
      <c r="R112" s="206" t="str">
        <f>VLOOKUP($A112,'CCRA3 Risks'!$A:$R,8,FALSE)</f>
        <v>Medium</v>
      </c>
      <c r="S112" s="206" t="str">
        <f>VLOOKUP($A112,'CCRA3 Risks'!$A:$R,9,FALSE)</f>
        <v>Medium</v>
      </c>
      <c r="T112" s="206" t="str">
        <f>VLOOKUP($A112,'CCRA3 Risks'!$A:$R,10,FALSE)</f>
        <v>Medium</v>
      </c>
      <c r="U112" s="206" t="str">
        <f>VLOOKUP($A112,'CCRA3 Risks'!$A:$R,11,FALSE)</f>
        <v>Medium</v>
      </c>
      <c r="V112" s="206" t="str">
        <f>VLOOKUP($A112,'CCRA3 Risks'!$A:$R,12,FALSE)</f>
        <v>Medium</v>
      </c>
      <c r="W112" s="206" t="str">
        <f>VLOOKUP($A112,'CCRA3 Risks'!$A:$R,13,FALSE)</f>
        <v>Partially</v>
      </c>
      <c r="X112" s="206" t="str">
        <f>VLOOKUP($A112,'CCRA3 Risks'!$A:$R,14,FALSE)</f>
        <v>Further investigation</v>
      </c>
      <c r="Y112" s="206" t="str">
        <f>VLOOKUP($A112,'CCRA3 Risks'!$A:$R,15,FALSE)</f>
        <v>Further Investigation</v>
      </c>
      <c r="Z112" s="206" t="str">
        <f>VLOOKUP($A112,'CCRA3 Risks'!$A:$R,16,FALSE)</f>
        <v>N/A</v>
      </c>
      <c r="AA112" s="206" t="str">
        <f>VLOOKUP($A112,'CCRA3 Risks'!$A:$R,17,FALSE)</f>
        <v>Medium (Amber)</v>
      </c>
      <c r="AB112" s="206" t="str">
        <f>VLOOKUP($A112,'CCRA3 Risks'!$A:$R,18,FALSE)</f>
        <v>High (New or reviewed coastal policies and implementation of renewed flood policies)</v>
      </c>
      <c r="AC112" s="202">
        <f>VLOOKUP($A112,'CCRA3 Risks'!$A:$AG,19,FALSE)</f>
        <v>0</v>
      </c>
      <c r="AD112" s="123">
        <f>VLOOKUP($A112,'CCRA3 Risks'!$A:$AG,20,FALSE)</f>
        <v>0</v>
      </c>
      <c r="AE112" s="123">
        <f>VLOOKUP($A112,'CCRA3 Risks'!$A:$AG,21,FALSE)</f>
        <v>0</v>
      </c>
      <c r="AF112" s="123" t="str">
        <f>VLOOKUP($A112,'CCRA3 Risks'!$A:$AG,22,FALSE)</f>
        <v>Y</v>
      </c>
      <c r="AG112" s="123" t="str">
        <f>VLOOKUP($A112,'CCRA3 Risks'!$A:$AG,23,FALSE)</f>
        <v>Y</v>
      </c>
      <c r="AH112" s="123" t="str">
        <f>VLOOKUP($A112,'CCRA3 Risks'!$A:$AG,24,FALSE)</f>
        <v>Y</v>
      </c>
      <c r="AI112" s="123" t="str">
        <f>VLOOKUP($A112,'CCRA3 Risks'!$A:$AG,25,FALSE)</f>
        <v>Y</v>
      </c>
      <c r="AJ112" s="123" t="str">
        <f>VLOOKUP($A112,'CCRA3 Risks'!$A:$AG,26,FALSE)</f>
        <v>Y</v>
      </c>
      <c r="AK112" s="123">
        <f>VLOOKUP($A112,'CCRA3 Risks'!$A:$AG,27,FALSE)</f>
        <v>0</v>
      </c>
      <c r="AL112" s="123">
        <f>VLOOKUP($A112,'CCRA3 Risks'!$A:$AG,28,FALSE)</f>
        <v>0</v>
      </c>
      <c r="AM112" s="123">
        <f>VLOOKUP($A112,'CCRA3 Risks'!$A:$AG,29,FALSE)</f>
        <v>0</v>
      </c>
      <c r="AN112" s="123">
        <f>VLOOKUP($A112,'CCRA3 Risks'!$A:$AG,30,FALSE)</f>
        <v>0</v>
      </c>
      <c r="AO112" s="123">
        <f>VLOOKUP($A112,'CCRA3 Risks'!$A:$AG,31,FALSE)</f>
        <v>0</v>
      </c>
      <c r="AP112" s="123">
        <f>VLOOKUP($A112,'CCRA3 Risks'!$A:$AG,32,FALSE)</f>
        <v>0</v>
      </c>
      <c r="AQ112" s="123">
        <f>VLOOKUP($A112,'CCRA3 Risks'!$A:$AG,33,FALSE)</f>
        <v>0</v>
      </c>
    </row>
    <row r="113" spans="1:43" ht="255" x14ac:dyDescent="0.25">
      <c r="A113" s="88" t="s">
        <v>267</v>
      </c>
      <c r="B113" s="88" t="s">
        <v>909</v>
      </c>
      <c r="C113" s="83" t="s">
        <v>910</v>
      </c>
      <c r="D113" s="83" t="s">
        <v>461</v>
      </c>
      <c r="E113" s="88" t="s">
        <v>67</v>
      </c>
      <c r="F113" s="83" t="s">
        <v>33</v>
      </c>
      <c r="G113" s="83" t="s">
        <v>30</v>
      </c>
      <c r="H113" s="83" t="s">
        <v>911</v>
      </c>
      <c r="I113" s="88"/>
      <c r="J113" s="88" t="s">
        <v>398</v>
      </c>
      <c r="K113" s="83" t="s">
        <v>912</v>
      </c>
      <c r="L113" s="83" t="s">
        <v>897</v>
      </c>
      <c r="M113" s="83" t="s">
        <v>913</v>
      </c>
      <c r="N113" s="206" t="str">
        <f>VLOOKUP($A113,'CCRA3 Risks'!$A:$R,2,FALSE)</f>
        <v xml:space="preserve">I3 Risks to infrastructure services from coastal flooding and erosion </v>
      </c>
      <c r="O113" s="206" t="str">
        <f>VLOOKUP($A113,'CCRA3 Risks'!$A:$R,3,FALSE)</f>
        <v>No</v>
      </c>
      <c r="P113" s="207">
        <f>VLOOKUP($A113,'CCRA3 Risks'!$A:$R,4,FALSE)</f>
        <v>4</v>
      </c>
      <c r="Q113" s="206" t="str">
        <f>VLOOKUP($A113,'CCRA3 Risks'!$A:$R,7,FALSE)</f>
        <v>England</v>
      </c>
      <c r="R113" s="206" t="str">
        <f>VLOOKUP($A113,'CCRA3 Risks'!$A:$R,8,FALSE)</f>
        <v>Medium</v>
      </c>
      <c r="S113" s="206" t="str">
        <f>VLOOKUP($A113,'CCRA3 Risks'!$A:$R,9,FALSE)</f>
        <v>Medium</v>
      </c>
      <c r="T113" s="206" t="str">
        <f>VLOOKUP($A113,'CCRA3 Risks'!$A:$R,10,FALSE)</f>
        <v>Medium</v>
      </c>
      <c r="U113" s="206" t="str">
        <f>VLOOKUP($A113,'CCRA3 Risks'!$A:$R,11,FALSE)</f>
        <v>Medium</v>
      </c>
      <c r="V113" s="206" t="str">
        <f>VLOOKUP($A113,'CCRA3 Risks'!$A:$R,12,FALSE)</f>
        <v>Medium</v>
      </c>
      <c r="W113" s="206" t="str">
        <f>VLOOKUP($A113,'CCRA3 Risks'!$A:$R,13,FALSE)</f>
        <v>Partially</v>
      </c>
      <c r="X113" s="206" t="str">
        <f>VLOOKUP($A113,'CCRA3 Risks'!$A:$R,14,FALSE)</f>
        <v>Further investigation</v>
      </c>
      <c r="Y113" s="206" t="str">
        <f>VLOOKUP($A113,'CCRA3 Risks'!$A:$R,15,FALSE)</f>
        <v>Further Investigation</v>
      </c>
      <c r="Z113" s="206" t="str">
        <f>VLOOKUP($A113,'CCRA3 Risks'!$A:$R,16,FALSE)</f>
        <v>N/A</v>
      </c>
      <c r="AA113" s="206" t="str">
        <f>VLOOKUP($A113,'CCRA3 Risks'!$A:$R,17,FALSE)</f>
        <v>Medium (Amber)</v>
      </c>
      <c r="AB113" s="206" t="str">
        <f>VLOOKUP($A113,'CCRA3 Risks'!$A:$R,18,FALSE)</f>
        <v>High (New or reviewed coastal policies and implementation of renewed flood policies)</v>
      </c>
      <c r="AC113" s="202">
        <f>VLOOKUP($A113,'CCRA3 Risks'!$A:$AG,19,FALSE)</f>
        <v>0</v>
      </c>
      <c r="AD113" s="123">
        <f>VLOOKUP($A113,'CCRA3 Risks'!$A:$AG,20,FALSE)</f>
        <v>0</v>
      </c>
      <c r="AE113" s="123">
        <f>VLOOKUP($A113,'CCRA3 Risks'!$A:$AG,21,FALSE)</f>
        <v>0</v>
      </c>
      <c r="AF113" s="123" t="str">
        <f>VLOOKUP($A113,'CCRA3 Risks'!$A:$AG,22,FALSE)</f>
        <v>Y</v>
      </c>
      <c r="AG113" s="123" t="str">
        <f>VLOOKUP($A113,'CCRA3 Risks'!$A:$AG,23,FALSE)</f>
        <v>Y</v>
      </c>
      <c r="AH113" s="123" t="str">
        <f>VLOOKUP($A113,'CCRA3 Risks'!$A:$AG,24,FALSE)</f>
        <v>Y</v>
      </c>
      <c r="AI113" s="123" t="str">
        <f>VLOOKUP($A113,'CCRA3 Risks'!$A:$AG,25,FALSE)</f>
        <v>Y</v>
      </c>
      <c r="AJ113" s="123" t="str">
        <f>VLOOKUP($A113,'CCRA3 Risks'!$A:$AG,26,FALSE)</f>
        <v>Y</v>
      </c>
      <c r="AK113" s="123">
        <f>VLOOKUP($A113,'CCRA3 Risks'!$A:$AG,27,FALSE)</f>
        <v>0</v>
      </c>
      <c r="AL113" s="123">
        <f>VLOOKUP($A113,'CCRA3 Risks'!$A:$AG,28,FALSE)</f>
        <v>0</v>
      </c>
      <c r="AM113" s="123">
        <f>VLOOKUP($A113,'CCRA3 Risks'!$A:$AG,29,FALSE)</f>
        <v>0</v>
      </c>
      <c r="AN113" s="123">
        <f>VLOOKUP($A113,'CCRA3 Risks'!$A:$AG,30,FALSE)</f>
        <v>0</v>
      </c>
      <c r="AO113" s="123">
        <f>VLOOKUP($A113,'CCRA3 Risks'!$A:$AG,31,FALSE)</f>
        <v>0</v>
      </c>
      <c r="AP113" s="123">
        <f>VLOOKUP($A113,'CCRA3 Risks'!$A:$AG,32,FALSE)</f>
        <v>0</v>
      </c>
      <c r="AQ113" s="123">
        <f>VLOOKUP($A113,'CCRA3 Risks'!$A:$AG,33,FALSE)</f>
        <v>0</v>
      </c>
    </row>
    <row r="114" spans="1:43" ht="204" x14ac:dyDescent="0.25">
      <c r="A114" s="88" t="s">
        <v>271</v>
      </c>
      <c r="B114" s="88" t="s">
        <v>914</v>
      </c>
      <c r="C114" s="83" t="s">
        <v>915</v>
      </c>
      <c r="D114" s="83" t="s">
        <v>461</v>
      </c>
      <c r="E114" s="88" t="s">
        <v>67</v>
      </c>
      <c r="F114" s="83" t="s">
        <v>421</v>
      </c>
      <c r="G114" s="83" t="s">
        <v>53</v>
      </c>
      <c r="H114" s="83" t="s">
        <v>916</v>
      </c>
      <c r="I114" s="88"/>
      <c r="J114" s="88" t="s">
        <v>398</v>
      </c>
      <c r="K114" s="83" t="s">
        <v>917</v>
      </c>
      <c r="L114" s="83" t="s">
        <v>918</v>
      </c>
      <c r="M114" s="83" t="s">
        <v>919</v>
      </c>
      <c r="N114" s="206" t="str">
        <f>VLOOKUP($A114,'CCRA3 Risks'!$A:$R,2,FALSE)</f>
        <v>I4 Risks to bridges and pipelines from flooding and erosion</v>
      </c>
      <c r="O114" s="206" t="str">
        <f>VLOOKUP($A114,'CCRA3 Risks'!$A:$R,3,FALSE)</f>
        <v>No</v>
      </c>
      <c r="P114" s="207">
        <f>VLOOKUP($A114,'CCRA3 Risks'!$A:$R,4,FALSE)</f>
        <v>4</v>
      </c>
      <c r="Q114" s="206" t="str">
        <f>VLOOKUP($A114,'CCRA3 Risks'!$A:$R,7,FALSE)</f>
        <v>England</v>
      </c>
      <c r="R114" s="206" t="str">
        <f>VLOOKUP($A114,'CCRA3 Risks'!$A:$R,8,FALSE)</f>
        <v>Medium</v>
      </c>
      <c r="S114" s="206" t="str">
        <f>VLOOKUP($A114,'CCRA3 Risks'!$A:$R,9,FALSE)</f>
        <v>Medium</v>
      </c>
      <c r="T114" s="206" t="str">
        <f>VLOOKUP($A114,'CCRA3 Risks'!$A:$R,10,FALSE)</f>
        <v>Medium</v>
      </c>
      <c r="U114" s="206" t="str">
        <f>VLOOKUP($A114,'CCRA3 Risks'!$A:$R,11,FALSE)</f>
        <v>Medium</v>
      </c>
      <c r="V114" s="206" t="str">
        <f>VLOOKUP($A114,'CCRA3 Risks'!$A:$R,12,FALSE)</f>
        <v>Medium</v>
      </c>
      <c r="W114" s="206" t="str">
        <f>VLOOKUP($A114,'CCRA3 Risks'!$A:$R,13,FALSE)</f>
        <v>Partially</v>
      </c>
      <c r="X114" s="206" t="str">
        <f>VLOOKUP($A114,'CCRA3 Risks'!$A:$R,14,FALSE)</f>
        <v>Further investigation</v>
      </c>
      <c r="Y114" s="206" t="str">
        <f>VLOOKUP($A114,'CCRA3 Risks'!$A:$R,15,FALSE)</f>
        <v>Further Investigation</v>
      </c>
      <c r="Z114" s="206" t="str">
        <f>VLOOKUP($A114,'CCRA3 Risks'!$A:$R,16,FALSE)</f>
        <v>N/A</v>
      </c>
      <c r="AA114" s="206" t="str">
        <f>VLOOKUP($A114,'CCRA3 Risks'!$A:$R,17,FALSE)</f>
        <v>N/A</v>
      </c>
      <c r="AB114" s="206" t="str">
        <f>VLOOKUP($A114,'CCRA3 Risks'!$A:$R,18,FALSE)</f>
        <v>Medium (implementation of flood policies)</v>
      </c>
      <c r="AC114" s="202">
        <f>VLOOKUP($A114,'CCRA3 Risks'!$A:$AG,19,FALSE)</f>
        <v>0</v>
      </c>
      <c r="AD114" s="123">
        <f>VLOOKUP($A114,'CCRA3 Risks'!$A:$AG,20,FALSE)</f>
        <v>0</v>
      </c>
      <c r="AE114" s="123">
        <f>VLOOKUP($A114,'CCRA3 Risks'!$A:$AG,21,FALSE)</f>
        <v>0</v>
      </c>
      <c r="AF114" s="123">
        <f>VLOOKUP($A114,'CCRA3 Risks'!$A:$AG,22,FALSE)</f>
        <v>0</v>
      </c>
      <c r="AG114" s="123" t="str">
        <f>VLOOKUP($A114,'CCRA3 Risks'!$A:$AG,23,FALSE)</f>
        <v>Y</v>
      </c>
      <c r="AH114" s="123" t="str">
        <f>VLOOKUP($A114,'CCRA3 Risks'!$A:$AG,24,FALSE)</f>
        <v>Y</v>
      </c>
      <c r="AI114" s="123" t="str">
        <f>VLOOKUP($A114,'CCRA3 Risks'!$A:$AG,25,FALSE)</f>
        <v>Y</v>
      </c>
      <c r="AJ114" s="123">
        <f>VLOOKUP($A114,'CCRA3 Risks'!$A:$AG,26,FALSE)</f>
        <v>0</v>
      </c>
      <c r="AK114" s="123">
        <f>VLOOKUP($A114,'CCRA3 Risks'!$A:$AG,27,FALSE)</f>
        <v>0</v>
      </c>
      <c r="AL114" s="123">
        <f>VLOOKUP($A114,'CCRA3 Risks'!$A:$AG,28,FALSE)</f>
        <v>0</v>
      </c>
      <c r="AM114" s="123">
        <f>VLOOKUP($A114,'CCRA3 Risks'!$A:$AG,29,FALSE)</f>
        <v>0</v>
      </c>
      <c r="AN114" s="123">
        <f>VLOOKUP($A114,'CCRA3 Risks'!$A:$AG,30,FALSE)</f>
        <v>0</v>
      </c>
      <c r="AO114" s="123">
        <f>VLOOKUP($A114,'CCRA3 Risks'!$A:$AG,31,FALSE)</f>
        <v>0</v>
      </c>
      <c r="AP114" s="123">
        <f>VLOOKUP($A114,'CCRA3 Risks'!$A:$AG,32,FALSE)</f>
        <v>0</v>
      </c>
      <c r="AQ114" s="123">
        <f>VLOOKUP($A114,'CCRA3 Risks'!$A:$AG,33,FALSE)</f>
        <v>0</v>
      </c>
    </row>
    <row r="115" spans="1:43" ht="178.5" x14ac:dyDescent="0.25">
      <c r="A115" s="88" t="s">
        <v>271</v>
      </c>
      <c r="B115" s="88" t="s">
        <v>920</v>
      </c>
      <c r="C115" s="83" t="s">
        <v>921</v>
      </c>
      <c r="D115" s="83" t="s">
        <v>461</v>
      </c>
      <c r="E115" s="88" t="s">
        <v>67</v>
      </c>
      <c r="F115" s="83" t="s">
        <v>421</v>
      </c>
      <c r="G115" s="83" t="s">
        <v>53</v>
      </c>
      <c r="H115" s="83" t="s">
        <v>922</v>
      </c>
      <c r="I115" s="88"/>
      <c r="J115" s="88" t="s">
        <v>463</v>
      </c>
      <c r="K115" s="83" t="s">
        <v>923</v>
      </c>
      <c r="L115" s="83" t="s">
        <v>918</v>
      </c>
      <c r="M115" s="83" t="s">
        <v>924</v>
      </c>
      <c r="N115" s="206" t="str">
        <f>VLOOKUP($A115,'CCRA3 Risks'!$A:$R,2,FALSE)</f>
        <v>I4 Risks to bridges and pipelines from flooding and erosion</v>
      </c>
      <c r="O115" s="206" t="str">
        <f>VLOOKUP($A115,'CCRA3 Risks'!$A:$R,3,FALSE)</f>
        <v>No</v>
      </c>
      <c r="P115" s="207">
        <f>VLOOKUP($A115,'CCRA3 Risks'!$A:$R,4,FALSE)</f>
        <v>4</v>
      </c>
      <c r="Q115" s="206" t="str">
        <f>VLOOKUP($A115,'CCRA3 Risks'!$A:$R,7,FALSE)</f>
        <v>England</v>
      </c>
      <c r="R115" s="206" t="str">
        <f>VLOOKUP($A115,'CCRA3 Risks'!$A:$R,8,FALSE)</f>
        <v>Medium</v>
      </c>
      <c r="S115" s="206" t="str">
        <f>VLOOKUP($A115,'CCRA3 Risks'!$A:$R,9,FALSE)</f>
        <v>Medium</v>
      </c>
      <c r="T115" s="206" t="str">
        <f>VLOOKUP($A115,'CCRA3 Risks'!$A:$R,10,FALSE)</f>
        <v>Medium</v>
      </c>
      <c r="U115" s="206" t="str">
        <f>VLOOKUP($A115,'CCRA3 Risks'!$A:$R,11,FALSE)</f>
        <v>Medium</v>
      </c>
      <c r="V115" s="206" t="str">
        <f>VLOOKUP($A115,'CCRA3 Risks'!$A:$R,12,FALSE)</f>
        <v>Medium</v>
      </c>
      <c r="W115" s="206" t="str">
        <f>VLOOKUP($A115,'CCRA3 Risks'!$A:$R,13,FALSE)</f>
        <v>Partially</v>
      </c>
      <c r="X115" s="206" t="str">
        <f>VLOOKUP($A115,'CCRA3 Risks'!$A:$R,14,FALSE)</f>
        <v>Further investigation</v>
      </c>
      <c r="Y115" s="206" t="str">
        <f>VLOOKUP($A115,'CCRA3 Risks'!$A:$R,15,FALSE)</f>
        <v>Further Investigation</v>
      </c>
      <c r="Z115" s="206" t="str">
        <f>VLOOKUP($A115,'CCRA3 Risks'!$A:$R,16,FALSE)</f>
        <v>N/A</v>
      </c>
      <c r="AA115" s="206" t="str">
        <f>VLOOKUP($A115,'CCRA3 Risks'!$A:$R,17,FALSE)</f>
        <v>N/A</v>
      </c>
      <c r="AB115" s="206" t="str">
        <f>VLOOKUP($A115,'CCRA3 Risks'!$A:$R,18,FALSE)</f>
        <v>Medium (implementation of flood policies)</v>
      </c>
      <c r="AC115" s="202">
        <f>VLOOKUP($A115,'CCRA3 Risks'!$A:$AG,19,FALSE)</f>
        <v>0</v>
      </c>
      <c r="AD115" s="123">
        <f>VLOOKUP($A115,'CCRA3 Risks'!$A:$AG,20,FALSE)</f>
        <v>0</v>
      </c>
      <c r="AE115" s="123">
        <f>VLOOKUP($A115,'CCRA3 Risks'!$A:$AG,21,FALSE)</f>
        <v>0</v>
      </c>
      <c r="AF115" s="123">
        <f>VLOOKUP($A115,'CCRA3 Risks'!$A:$AG,22,FALSE)</f>
        <v>0</v>
      </c>
      <c r="AG115" s="123" t="str">
        <f>VLOOKUP($A115,'CCRA3 Risks'!$A:$AG,23,FALSE)</f>
        <v>Y</v>
      </c>
      <c r="AH115" s="123" t="str">
        <f>VLOOKUP($A115,'CCRA3 Risks'!$A:$AG,24,FALSE)</f>
        <v>Y</v>
      </c>
      <c r="AI115" s="123" t="str">
        <f>VLOOKUP($A115,'CCRA3 Risks'!$A:$AG,25,FALSE)</f>
        <v>Y</v>
      </c>
      <c r="AJ115" s="123">
        <f>VLOOKUP($A115,'CCRA3 Risks'!$A:$AG,26,FALSE)</f>
        <v>0</v>
      </c>
      <c r="AK115" s="123">
        <f>VLOOKUP($A115,'CCRA3 Risks'!$A:$AG,27,FALSE)</f>
        <v>0</v>
      </c>
      <c r="AL115" s="123">
        <f>VLOOKUP($A115,'CCRA3 Risks'!$A:$AG,28,FALSE)</f>
        <v>0</v>
      </c>
      <c r="AM115" s="123">
        <f>VLOOKUP($A115,'CCRA3 Risks'!$A:$AG,29,FALSE)</f>
        <v>0</v>
      </c>
      <c r="AN115" s="123">
        <f>VLOOKUP($A115,'CCRA3 Risks'!$A:$AG,30,FALSE)</f>
        <v>0</v>
      </c>
      <c r="AO115" s="123">
        <f>VLOOKUP($A115,'CCRA3 Risks'!$A:$AG,31,FALSE)</f>
        <v>0</v>
      </c>
      <c r="AP115" s="123">
        <f>VLOOKUP($A115,'CCRA3 Risks'!$A:$AG,32,FALSE)</f>
        <v>0</v>
      </c>
      <c r="AQ115" s="123">
        <f>VLOOKUP($A115,'CCRA3 Risks'!$A:$AG,33,FALSE)</f>
        <v>0</v>
      </c>
    </row>
    <row r="116" spans="1:43" ht="51" x14ac:dyDescent="0.25">
      <c r="A116" s="88" t="s">
        <v>271</v>
      </c>
      <c r="B116" s="88" t="s">
        <v>925</v>
      </c>
      <c r="C116" s="83" t="s">
        <v>926</v>
      </c>
      <c r="D116" s="83" t="s">
        <v>461</v>
      </c>
      <c r="E116" s="88" t="s">
        <v>67</v>
      </c>
      <c r="F116" s="83" t="s">
        <v>33</v>
      </c>
      <c r="G116" s="83" t="s">
        <v>30</v>
      </c>
      <c r="H116" s="83" t="s">
        <v>927</v>
      </c>
      <c r="I116" s="88"/>
      <c r="J116" s="88" t="s">
        <v>417</v>
      </c>
      <c r="K116" s="83" t="s">
        <v>928</v>
      </c>
      <c r="L116" s="83" t="s">
        <v>918</v>
      </c>
      <c r="M116" s="83" t="s">
        <v>919</v>
      </c>
      <c r="N116" s="206" t="str">
        <f>VLOOKUP($A116,'CCRA3 Risks'!$A:$R,2,FALSE)</f>
        <v>I4 Risks to bridges and pipelines from flooding and erosion</v>
      </c>
      <c r="O116" s="206" t="str">
        <f>VLOOKUP($A116,'CCRA3 Risks'!$A:$R,3,FALSE)</f>
        <v>No</v>
      </c>
      <c r="P116" s="207">
        <f>VLOOKUP($A116,'CCRA3 Risks'!$A:$R,4,FALSE)</f>
        <v>4</v>
      </c>
      <c r="Q116" s="206" t="str">
        <f>VLOOKUP($A116,'CCRA3 Risks'!$A:$R,7,FALSE)</f>
        <v>England</v>
      </c>
      <c r="R116" s="206" t="str">
        <f>VLOOKUP($A116,'CCRA3 Risks'!$A:$R,8,FALSE)</f>
        <v>Medium</v>
      </c>
      <c r="S116" s="206" t="str">
        <f>VLOOKUP($A116,'CCRA3 Risks'!$A:$R,9,FALSE)</f>
        <v>Medium</v>
      </c>
      <c r="T116" s="206" t="str">
        <f>VLOOKUP($A116,'CCRA3 Risks'!$A:$R,10,FALSE)</f>
        <v>Medium</v>
      </c>
      <c r="U116" s="206" t="str">
        <f>VLOOKUP($A116,'CCRA3 Risks'!$A:$R,11,FALSE)</f>
        <v>Medium</v>
      </c>
      <c r="V116" s="206" t="str">
        <f>VLOOKUP($A116,'CCRA3 Risks'!$A:$R,12,FALSE)</f>
        <v>Medium</v>
      </c>
      <c r="W116" s="206" t="str">
        <f>VLOOKUP($A116,'CCRA3 Risks'!$A:$R,13,FALSE)</f>
        <v>Partially</v>
      </c>
      <c r="X116" s="206" t="str">
        <f>VLOOKUP($A116,'CCRA3 Risks'!$A:$R,14,FALSE)</f>
        <v>Further investigation</v>
      </c>
      <c r="Y116" s="206" t="str">
        <f>VLOOKUP($A116,'CCRA3 Risks'!$A:$R,15,FALSE)</f>
        <v>Further Investigation</v>
      </c>
      <c r="Z116" s="206" t="str">
        <f>VLOOKUP($A116,'CCRA3 Risks'!$A:$R,16,FALSE)</f>
        <v>N/A</v>
      </c>
      <c r="AA116" s="206" t="str">
        <f>VLOOKUP($A116,'CCRA3 Risks'!$A:$R,17,FALSE)</f>
        <v>N/A</v>
      </c>
      <c r="AB116" s="206" t="str">
        <f>VLOOKUP($A116,'CCRA3 Risks'!$A:$R,18,FALSE)</f>
        <v>Medium (implementation of flood policies)</v>
      </c>
      <c r="AC116" s="202">
        <f>VLOOKUP($A116,'CCRA3 Risks'!$A:$AG,19,FALSE)</f>
        <v>0</v>
      </c>
      <c r="AD116" s="123">
        <f>VLOOKUP($A116,'CCRA3 Risks'!$A:$AG,20,FALSE)</f>
        <v>0</v>
      </c>
      <c r="AE116" s="123">
        <f>VLOOKUP($A116,'CCRA3 Risks'!$A:$AG,21,FALSE)</f>
        <v>0</v>
      </c>
      <c r="AF116" s="123">
        <f>VLOOKUP($A116,'CCRA3 Risks'!$A:$AG,22,FALSE)</f>
        <v>0</v>
      </c>
      <c r="AG116" s="123" t="str">
        <f>VLOOKUP($A116,'CCRA3 Risks'!$A:$AG,23,FALSE)</f>
        <v>Y</v>
      </c>
      <c r="AH116" s="123" t="str">
        <f>VLOOKUP($A116,'CCRA3 Risks'!$A:$AG,24,FALSE)</f>
        <v>Y</v>
      </c>
      <c r="AI116" s="123" t="str">
        <f>VLOOKUP($A116,'CCRA3 Risks'!$A:$AG,25,FALSE)</f>
        <v>Y</v>
      </c>
      <c r="AJ116" s="123">
        <f>VLOOKUP($A116,'CCRA3 Risks'!$A:$AG,26,FALSE)</f>
        <v>0</v>
      </c>
      <c r="AK116" s="123">
        <f>VLOOKUP($A116,'CCRA3 Risks'!$A:$AG,27,FALSE)</f>
        <v>0</v>
      </c>
      <c r="AL116" s="123">
        <f>VLOOKUP($A116,'CCRA3 Risks'!$A:$AG,28,FALSE)</f>
        <v>0</v>
      </c>
      <c r="AM116" s="123">
        <f>VLOOKUP($A116,'CCRA3 Risks'!$A:$AG,29,FALSE)</f>
        <v>0</v>
      </c>
      <c r="AN116" s="123">
        <f>VLOOKUP($A116,'CCRA3 Risks'!$A:$AG,30,FALSE)</f>
        <v>0</v>
      </c>
      <c r="AO116" s="123">
        <f>VLOOKUP($A116,'CCRA3 Risks'!$A:$AG,31,FALSE)</f>
        <v>0</v>
      </c>
      <c r="AP116" s="123">
        <f>VLOOKUP($A116,'CCRA3 Risks'!$A:$AG,32,FALSE)</f>
        <v>0</v>
      </c>
      <c r="AQ116" s="123">
        <f>VLOOKUP($A116,'CCRA3 Risks'!$A:$AG,33,FALSE)</f>
        <v>0</v>
      </c>
    </row>
    <row r="117" spans="1:43" ht="153" x14ac:dyDescent="0.25">
      <c r="A117" s="88" t="s">
        <v>271</v>
      </c>
      <c r="B117" s="88" t="s">
        <v>929</v>
      </c>
      <c r="C117" s="83" t="s">
        <v>930</v>
      </c>
      <c r="D117" s="83" t="s">
        <v>461</v>
      </c>
      <c r="E117" s="88" t="s">
        <v>67</v>
      </c>
      <c r="F117" s="83" t="s">
        <v>421</v>
      </c>
      <c r="G117" s="83" t="s">
        <v>53</v>
      </c>
      <c r="H117" s="83" t="s">
        <v>931</v>
      </c>
      <c r="I117" s="88"/>
      <c r="J117" s="88" t="s">
        <v>398</v>
      </c>
      <c r="K117" s="83" t="s">
        <v>932</v>
      </c>
      <c r="L117" s="83" t="s">
        <v>918</v>
      </c>
      <c r="M117" s="83" t="s">
        <v>933</v>
      </c>
      <c r="N117" s="206" t="str">
        <f>VLOOKUP($A117,'CCRA3 Risks'!$A:$R,2,FALSE)</f>
        <v>I4 Risks to bridges and pipelines from flooding and erosion</v>
      </c>
      <c r="O117" s="206" t="str">
        <f>VLOOKUP($A117,'CCRA3 Risks'!$A:$R,3,FALSE)</f>
        <v>No</v>
      </c>
      <c r="P117" s="207">
        <f>VLOOKUP($A117,'CCRA3 Risks'!$A:$R,4,FALSE)</f>
        <v>4</v>
      </c>
      <c r="Q117" s="206" t="str">
        <f>VLOOKUP($A117,'CCRA3 Risks'!$A:$R,7,FALSE)</f>
        <v>England</v>
      </c>
      <c r="R117" s="206" t="str">
        <f>VLOOKUP($A117,'CCRA3 Risks'!$A:$R,8,FALSE)</f>
        <v>Medium</v>
      </c>
      <c r="S117" s="206" t="str">
        <f>VLOOKUP($A117,'CCRA3 Risks'!$A:$R,9,FALSE)</f>
        <v>Medium</v>
      </c>
      <c r="T117" s="206" t="str">
        <f>VLOOKUP($A117,'CCRA3 Risks'!$A:$R,10,FALSE)</f>
        <v>Medium</v>
      </c>
      <c r="U117" s="206" t="str">
        <f>VLOOKUP($A117,'CCRA3 Risks'!$A:$R,11,FALSE)</f>
        <v>Medium</v>
      </c>
      <c r="V117" s="206" t="str">
        <f>VLOOKUP($A117,'CCRA3 Risks'!$A:$R,12,FALSE)</f>
        <v>Medium</v>
      </c>
      <c r="W117" s="206" t="str">
        <f>VLOOKUP($A117,'CCRA3 Risks'!$A:$R,13,FALSE)</f>
        <v>Partially</v>
      </c>
      <c r="X117" s="206" t="str">
        <f>VLOOKUP($A117,'CCRA3 Risks'!$A:$R,14,FALSE)</f>
        <v>Further investigation</v>
      </c>
      <c r="Y117" s="206" t="str">
        <f>VLOOKUP($A117,'CCRA3 Risks'!$A:$R,15,FALSE)</f>
        <v>Further Investigation</v>
      </c>
      <c r="Z117" s="206" t="str">
        <f>VLOOKUP($A117,'CCRA3 Risks'!$A:$R,16,FALSE)</f>
        <v>N/A</v>
      </c>
      <c r="AA117" s="206" t="str">
        <f>VLOOKUP($A117,'CCRA3 Risks'!$A:$R,17,FALSE)</f>
        <v>N/A</v>
      </c>
      <c r="AB117" s="206" t="str">
        <f>VLOOKUP($A117,'CCRA3 Risks'!$A:$R,18,FALSE)</f>
        <v>Medium (implementation of flood policies)</v>
      </c>
      <c r="AC117" s="202">
        <f>VLOOKUP($A117,'CCRA3 Risks'!$A:$AG,19,FALSE)</f>
        <v>0</v>
      </c>
      <c r="AD117" s="123">
        <f>VLOOKUP($A117,'CCRA3 Risks'!$A:$AG,20,FALSE)</f>
        <v>0</v>
      </c>
      <c r="AE117" s="123">
        <f>VLOOKUP($A117,'CCRA3 Risks'!$A:$AG,21,FALSE)</f>
        <v>0</v>
      </c>
      <c r="AF117" s="123">
        <f>VLOOKUP($A117,'CCRA3 Risks'!$A:$AG,22,FALSE)</f>
        <v>0</v>
      </c>
      <c r="AG117" s="123" t="str">
        <f>VLOOKUP($A117,'CCRA3 Risks'!$A:$AG,23,FALSE)</f>
        <v>Y</v>
      </c>
      <c r="AH117" s="123" t="str">
        <f>VLOOKUP($A117,'CCRA3 Risks'!$A:$AG,24,FALSE)</f>
        <v>Y</v>
      </c>
      <c r="AI117" s="123" t="str">
        <f>VLOOKUP($A117,'CCRA3 Risks'!$A:$AG,25,FALSE)</f>
        <v>Y</v>
      </c>
      <c r="AJ117" s="123">
        <f>VLOOKUP($A117,'CCRA3 Risks'!$A:$AG,26,FALSE)</f>
        <v>0</v>
      </c>
      <c r="AK117" s="123">
        <f>VLOOKUP($A117,'CCRA3 Risks'!$A:$AG,27,FALSE)</f>
        <v>0</v>
      </c>
      <c r="AL117" s="123">
        <f>VLOOKUP($A117,'CCRA3 Risks'!$A:$AG,28,FALSE)</f>
        <v>0</v>
      </c>
      <c r="AM117" s="123">
        <f>VLOOKUP($A117,'CCRA3 Risks'!$A:$AG,29,FALSE)</f>
        <v>0</v>
      </c>
      <c r="AN117" s="123">
        <f>VLOOKUP($A117,'CCRA3 Risks'!$A:$AG,30,FALSE)</f>
        <v>0</v>
      </c>
      <c r="AO117" s="123">
        <f>VLOOKUP($A117,'CCRA3 Risks'!$A:$AG,31,FALSE)</f>
        <v>0</v>
      </c>
      <c r="AP117" s="123">
        <f>VLOOKUP($A117,'CCRA3 Risks'!$A:$AG,32,FALSE)</f>
        <v>0</v>
      </c>
      <c r="AQ117" s="123">
        <f>VLOOKUP($A117,'CCRA3 Risks'!$A:$AG,33,FALSE)</f>
        <v>0</v>
      </c>
    </row>
    <row r="118" spans="1:43" ht="165.75" x14ac:dyDescent="0.25">
      <c r="A118" s="88" t="s">
        <v>274</v>
      </c>
      <c r="B118" s="88" t="s">
        <v>934</v>
      </c>
      <c r="C118" s="83" t="s">
        <v>935</v>
      </c>
      <c r="D118" s="83" t="s">
        <v>461</v>
      </c>
      <c r="E118" s="88" t="s">
        <v>67</v>
      </c>
      <c r="F118" s="83" t="s">
        <v>421</v>
      </c>
      <c r="G118" s="83" t="s">
        <v>53</v>
      </c>
      <c r="H118" s="83" t="s">
        <v>936</v>
      </c>
      <c r="I118" s="88"/>
      <c r="J118" s="88" t="s">
        <v>463</v>
      </c>
      <c r="K118" s="83" t="s">
        <v>937</v>
      </c>
      <c r="L118" s="88" t="s">
        <v>938</v>
      </c>
      <c r="M118" s="88" t="s">
        <v>939</v>
      </c>
      <c r="N118" s="206" t="str">
        <f>VLOOKUP($A118,'CCRA3 Risks'!$A:$R,2,FALSE)</f>
        <v xml:space="preserve">I5 Risks to transport networks from slope and embankment failure </v>
      </c>
      <c r="O118" s="206" t="str">
        <f>VLOOKUP($A118,'CCRA3 Risks'!$A:$R,3,FALSE)</f>
        <v>No</v>
      </c>
      <c r="P118" s="207">
        <f>VLOOKUP($A118,'CCRA3 Risks'!$A:$R,4,FALSE)</f>
        <v>4</v>
      </c>
      <c r="Q118" s="206" t="str">
        <f>VLOOKUP($A118,'CCRA3 Risks'!$A:$R,7,FALSE)</f>
        <v>England</v>
      </c>
      <c r="R118" s="206" t="str">
        <f>VLOOKUP($A118,'CCRA3 Risks'!$A:$R,8,FALSE)</f>
        <v>Medium</v>
      </c>
      <c r="S118" s="206" t="str">
        <f>VLOOKUP($A118,'CCRA3 Risks'!$A:$R,9,FALSE)</f>
        <v>Medium</v>
      </c>
      <c r="T118" s="206" t="str">
        <f>VLOOKUP($A118,'CCRA3 Risks'!$A:$R,10,FALSE)</f>
        <v>Medium</v>
      </c>
      <c r="U118" s="206" t="str">
        <f>VLOOKUP($A118,'CCRA3 Risks'!$A:$R,11,FALSE)</f>
        <v>Medium</v>
      </c>
      <c r="V118" s="206" t="str">
        <f>VLOOKUP($A118,'CCRA3 Risks'!$A:$R,12,FALSE)</f>
        <v>Medium</v>
      </c>
      <c r="W118" s="206" t="str">
        <f>VLOOKUP($A118,'CCRA3 Risks'!$A:$R,13,FALSE)</f>
        <v>Partially</v>
      </c>
      <c r="X118" s="206" t="str">
        <f>VLOOKUP($A118,'CCRA3 Risks'!$A:$R,14,FALSE)</f>
        <v>More action needed</v>
      </c>
      <c r="Y118" s="206" t="str">
        <f>VLOOKUP($A118,'CCRA3 Risks'!$A:$R,15,FALSE)</f>
        <v>More action needed</v>
      </c>
      <c r="Z118" s="206" t="str">
        <f>VLOOKUP($A118,'CCRA3 Risks'!$A:$R,16,FALSE)</f>
        <v>Medium (5)</v>
      </c>
      <c r="AA118" s="206" t="str">
        <f>VLOOKUP($A118,'CCRA3 Risks'!$A:$R,17,FALSE)</f>
        <v>High (Green)</v>
      </c>
      <c r="AB118" s="206" t="str">
        <f>VLOOKUP($A118,'CCRA3 Risks'!$A:$R,18,FALSE)</f>
        <v>High (Network Rail review of vulnerability of the rail network following the Stonehaven crash)</v>
      </c>
      <c r="AC118" s="202">
        <f>VLOOKUP($A118,'CCRA3 Risks'!$A:$AG,19,FALSE)</f>
        <v>0</v>
      </c>
      <c r="AD118" s="123">
        <f>VLOOKUP($A118,'CCRA3 Risks'!$A:$AG,20,FALSE)</f>
        <v>0</v>
      </c>
      <c r="AE118" s="123">
        <f>VLOOKUP($A118,'CCRA3 Risks'!$A:$AG,21,FALSE)</f>
        <v>0</v>
      </c>
      <c r="AF118" s="123">
        <f>VLOOKUP($A118,'CCRA3 Risks'!$A:$AG,22,FALSE)</f>
        <v>0</v>
      </c>
      <c r="AG118" s="123">
        <f>VLOOKUP($A118,'CCRA3 Risks'!$A:$AG,23,FALSE)</f>
        <v>0</v>
      </c>
      <c r="AH118" s="123">
        <f>VLOOKUP($A118,'CCRA3 Risks'!$A:$AG,24,FALSE)</f>
        <v>0</v>
      </c>
      <c r="AI118" s="123" t="str">
        <f>VLOOKUP($A118,'CCRA3 Risks'!$A:$AG,25,FALSE)</f>
        <v>Y</v>
      </c>
      <c r="AJ118" s="123">
        <f>VLOOKUP($A118,'CCRA3 Risks'!$A:$AG,26,FALSE)</f>
        <v>0</v>
      </c>
      <c r="AK118" s="123">
        <f>VLOOKUP($A118,'CCRA3 Risks'!$A:$AG,27,FALSE)</f>
        <v>0</v>
      </c>
      <c r="AL118" s="123">
        <f>VLOOKUP($A118,'CCRA3 Risks'!$A:$AG,28,FALSE)</f>
        <v>0</v>
      </c>
      <c r="AM118" s="123">
        <f>VLOOKUP($A118,'CCRA3 Risks'!$A:$AG,29,FALSE)</f>
        <v>0</v>
      </c>
      <c r="AN118" s="123">
        <f>VLOOKUP($A118,'CCRA3 Risks'!$A:$AG,30,FALSE)</f>
        <v>0</v>
      </c>
      <c r="AO118" s="123">
        <f>VLOOKUP($A118,'CCRA3 Risks'!$A:$AG,31,FALSE)</f>
        <v>0</v>
      </c>
      <c r="AP118" s="123">
        <f>VLOOKUP($A118,'CCRA3 Risks'!$A:$AG,32,FALSE)</f>
        <v>0</v>
      </c>
      <c r="AQ118" s="123">
        <f>VLOOKUP($A118,'CCRA3 Risks'!$A:$AG,33,FALSE)</f>
        <v>0</v>
      </c>
    </row>
    <row r="119" spans="1:43" ht="102" x14ac:dyDescent="0.25">
      <c r="A119" s="88" t="s">
        <v>274</v>
      </c>
      <c r="B119" s="88" t="s">
        <v>940</v>
      </c>
      <c r="C119" s="83" t="s">
        <v>941</v>
      </c>
      <c r="D119" s="83" t="s">
        <v>461</v>
      </c>
      <c r="E119" s="88" t="s">
        <v>67</v>
      </c>
      <c r="F119" s="83" t="s">
        <v>396</v>
      </c>
      <c r="G119" s="83" t="s">
        <v>30</v>
      </c>
      <c r="H119" s="83" t="s">
        <v>942</v>
      </c>
      <c r="I119" s="88"/>
      <c r="J119" s="88" t="s">
        <v>411</v>
      </c>
      <c r="K119" s="83" t="s">
        <v>943</v>
      </c>
      <c r="L119" s="88" t="s">
        <v>938</v>
      </c>
      <c r="M119" s="83" t="s">
        <v>944</v>
      </c>
      <c r="N119" s="206" t="str">
        <f>VLOOKUP($A119,'CCRA3 Risks'!$A:$R,2,FALSE)</f>
        <v xml:space="preserve">I5 Risks to transport networks from slope and embankment failure </v>
      </c>
      <c r="O119" s="206" t="str">
        <f>VLOOKUP($A119,'CCRA3 Risks'!$A:$R,3,FALSE)</f>
        <v>No</v>
      </c>
      <c r="P119" s="207">
        <f>VLOOKUP($A119,'CCRA3 Risks'!$A:$R,4,FALSE)</f>
        <v>4</v>
      </c>
      <c r="Q119" s="206" t="str">
        <f>VLOOKUP($A119,'CCRA3 Risks'!$A:$R,7,FALSE)</f>
        <v>England</v>
      </c>
      <c r="R119" s="206" t="str">
        <f>VLOOKUP($A119,'CCRA3 Risks'!$A:$R,8,FALSE)</f>
        <v>Medium</v>
      </c>
      <c r="S119" s="206" t="str">
        <f>VLOOKUP($A119,'CCRA3 Risks'!$A:$R,9,FALSE)</f>
        <v>Medium</v>
      </c>
      <c r="T119" s="206" t="str">
        <f>VLOOKUP($A119,'CCRA3 Risks'!$A:$R,10,FALSE)</f>
        <v>Medium</v>
      </c>
      <c r="U119" s="206" t="str">
        <f>VLOOKUP($A119,'CCRA3 Risks'!$A:$R,11,FALSE)</f>
        <v>Medium</v>
      </c>
      <c r="V119" s="206" t="str">
        <f>VLOOKUP($A119,'CCRA3 Risks'!$A:$R,12,FALSE)</f>
        <v>Medium</v>
      </c>
      <c r="W119" s="206" t="str">
        <f>VLOOKUP($A119,'CCRA3 Risks'!$A:$R,13,FALSE)</f>
        <v>Partially</v>
      </c>
      <c r="X119" s="206" t="str">
        <f>VLOOKUP($A119,'CCRA3 Risks'!$A:$R,14,FALSE)</f>
        <v>More action needed</v>
      </c>
      <c r="Y119" s="206" t="str">
        <f>VLOOKUP($A119,'CCRA3 Risks'!$A:$R,15,FALSE)</f>
        <v>More action needed</v>
      </c>
      <c r="Z119" s="206" t="str">
        <f>VLOOKUP($A119,'CCRA3 Risks'!$A:$R,16,FALSE)</f>
        <v>Medium (5)</v>
      </c>
      <c r="AA119" s="206" t="str">
        <f>VLOOKUP($A119,'CCRA3 Risks'!$A:$R,17,FALSE)</f>
        <v>High (Green)</v>
      </c>
      <c r="AB119" s="206" t="str">
        <f>VLOOKUP($A119,'CCRA3 Risks'!$A:$R,18,FALSE)</f>
        <v>High (Network Rail review of vulnerability of the rail network following the Stonehaven crash)</v>
      </c>
      <c r="AC119" s="202">
        <f>VLOOKUP($A119,'CCRA3 Risks'!$A:$AG,19,FALSE)</f>
        <v>0</v>
      </c>
      <c r="AD119" s="123">
        <f>VLOOKUP($A119,'CCRA3 Risks'!$A:$AG,20,FALSE)</f>
        <v>0</v>
      </c>
      <c r="AE119" s="123">
        <f>VLOOKUP($A119,'CCRA3 Risks'!$A:$AG,21,FALSE)</f>
        <v>0</v>
      </c>
      <c r="AF119" s="123">
        <f>VLOOKUP($A119,'CCRA3 Risks'!$A:$AG,22,FALSE)</f>
        <v>0</v>
      </c>
      <c r="AG119" s="123">
        <f>VLOOKUP($A119,'CCRA3 Risks'!$A:$AG,23,FALSE)</f>
        <v>0</v>
      </c>
      <c r="AH119" s="123">
        <f>VLOOKUP($A119,'CCRA3 Risks'!$A:$AG,24,FALSE)</f>
        <v>0</v>
      </c>
      <c r="AI119" s="123" t="str">
        <f>VLOOKUP($A119,'CCRA3 Risks'!$A:$AG,25,FALSE)</f>
        <v>Y</v>
      </c>
      <c r="AJ119" s="123">
        <f>VLOOKUP($A119,'CCRA3 Risks'!$A:$AG,26,FALSE)</f>
        <v>0</v>
      </c>
      <c r="AK119" s="123">
        <f>VLOOKUP($A119,'CCRA3 Risks'!$A:$AG,27,FALSE)</f>
        <v>0</v>
      </c>
      <c r="AL119" s="123">
        <f>VLOOKUP($A119,'CCRA3 Risks'!$A:$AG,28,FALSE)</f>
        <v>0</v>
      </c>
      <c r="AM119" s="123">
        <f>VLOOKUP($A119,'CCRA3 Risks'!$A:$AG,29,FALSE)</f>
        <v>0</v>
      </c>
      <c r="AN119" s="123">
        <f>VLOOKUP($A119,'CCRA3 Risks'!$A:$AG,30,FALSE)</f>
        <v>0</v>
      </c>
      <c r="AO119" s="123">
        <f>VLOOKUP($A119,'CCRA3 Risks'!$A:$AG,31,FALSE)</f>
        <v>0</v>
      </c>
      <c r="AP119" s="123">
        <f>VLOOKUP($A119,'CCRA3 Risks'!$A:$AG,32,FALSE)</f>
        <v>0</v>
      </c>
      <c r="AQ119" s="123">
        <f>VLOOKUP($A119,'CCRA3 Risks'!$A:$AG,33,FALSE)</f>
        <v>0</v>
      </c>
    </row>
    <row r="120" spans="1:43" ht="38.25" x14ac:dyDescent="0.25">
      <c r="A120" s="88" t="s">
        <v>274</v>
      </c>
      <c r="B120" s="88" t="s">
        <v>945</v>
      </c>
      <c r="C120" s="83" t="s">
        <v>946</v>
      </c>
      <c r="D120" s="83" t="s">
        <v>461</v>
      </c>
      <c r="E120" s="88" t="s">
        <v>67</v>
      </c>
      <c r="F120" s="83" t="s">
        <v>421</v>
      </c>
      <c r="G120" s="83" t="s">
        <v>53</v>
      </c>
      <c r="H120" s="83" t="s">
        <v>947</v>
      </c>
      <c r="I120" s="88"/>
      <c r="J120" s="88" t="s">
        <v>417</v>
      </c>
      <c r="K120" s="83" t="s">
        <v>948</v>
      </c>
      <c r="L120" s="88" t="s">
        <v>938</v>
      </c>
      <c r="M120" s="88" t="s">
        <v>35</v>
      </c>
      <c r="N120" s="206" t="str">
        <f>VLOOKUP($A120,'CCRA3 Risks'!$A:$R,2,FALSE)</f>
        <v xml:space="preserve">I5 Risks to transport networks from slope and embankment failure </v>
      </c>
      <c r="O120" s="206" t="str">
        <f>VLOOKUP($A120,'CCRA3 Risks'!$A:$R,3,FALSE)</f>
        <v>No</v>
      </c>
      <c r="P120" s="207">
        <f>VLOOKUP($A120,'CCRA3 Risks'!$A:$R,4,FALSE)</f>
        <v>4</v>
      </c>
      <c r="Q120" s="206" t="str">
        <f>VLOOKUP($A120,'CCRA3 Risks'!$A:$R,7,FALSE)</f>
        <v>England</v>
      </c>
      <c r="R120" s="206" t="str">
        <f>VLOOKUP($A120,'CCRA3 Risks'!$A:$R,8,FALSE)</f>
        <v>Medium</v>
      </c>
      <c r="S120" s="206" t="str">
        <f>VLOOKUP($A120,'CCRA3 Risks'!$A:$R,9,FALSE)</f>
        <v>Medium</v>
      </c>
      <c r="T120" s="206" t="str">
        <f>VLOOKUP($A120,'CCRA3 Risks'!$A:$R,10,FALSE)</f>
        <v>Medium</v>
      </c>
      <c r="U120" s="206" t="str">
        <f>VLOOKUP($A120,'CCRA3 Risks'!$A:$R,11,FALSE)</f>
        <v>Medium</v>
      </c>
      <c r="V120" s="206" t="str">
        <f>VLOOKUP($A120,'CCRA3 Risks'!$A:$R,12,FALSE)</f>
        <v>Medium</v>
      </c>
      <c r="W120" s="206" t="str">
        <f>VLOOKUP($A120,'CCRA3 Risks'!$A:$R,13,FALSE)</f>
        <v>Partially</v>
      </c>
      <c r="X120" s="206" t="str">
        <f>VLOOKUP($A120,'CCRA3 Risks'!$A:$R,14,FALSE)</f>
        <v>More action needed</v>
      </c>
      <c r="Y120" s="206" t="str">
        <f>VLOOKUP($A120,'CCRA3 Risks'!$A:$R,15,FALSE)</f>
        <v>More action needed</v>
      </c>
      <c r="Z120" s="206" t="str">
        <f>VLOOKUP($A120,'CCRA3 Risks'!$A:$R,16,FALSE)</f>
        <v>Medium (5)</v>
      </c>
      <c r="AA120" s="206" t="str">
        <f>VLOOKUP($A120,'CCRA3 Risks'!$A:$R,17,FALSE)</f>
        <v>High (Green)</v>
      </c>
      <c r="AB120" s="206" t="str">
        <f>VLOOKUP($A120,'CCRA3 Risks'!$A:$R,18,FALSE)</f>
        <v>High (Network Rail review of vulnerability of the rail network following the Stonehaven crash)</v>
      </c>
      <c r="AC120" s="202">
        <f>VLOOKUP($A120,'CCRA3 Risks'!$A:$AG,19,FALSE)</f>
        <v>0</v>
      </c>
      <c r="AD120" s="123">
        <f>VLOOKUP($A120,'CCRA3 Risks'!$A:$AG,20,FALSE)</f>
        <v>0</v>
      </c>
      <c r="AE120" s="123">
        <f>VLOOKUP($A120,'CCRA3 Risks'!$A:$AG,21,FALSE)</f>
        <v>0</v>
      </c>
      <c r="AF120" s="123">
        <f>VLOOKUP($A120,'CCRA3 Risks'!$A:$AG,22,FALSE)</f>
        <v>0</v>
      </c>
      <c r="AG120" s="123">
        <f>VLOOKUP($A120,'CCRA3 Risks'!$A:$AG,23,FALSE)</f>
        <v>0</v>
      </c>
      <c r="AH120" s="123">
        <f>VLOOKUP($A120,'CCRA3 Risks'!$A:$AG,24,FALSE)</f>
        <v>0</v>
      </c>
      <c r="AI120" s="123" t="str">
        <f>VLOOKUP($A120,'CCRA3 Risks'!$A:$AG,25,FALSE)</f>
        <v>Y</v>
      </c>
      <c r="AJ120" s="123">
        <f>VLOOKUP($A120,'CCRA3 Risks'!$A:$AG,26,FALSE)</f>
        <v>0</v>
      </c>
      <c r="AK120" s="123">
        <f>VLOOKUP($A120,'CCRA3 Risks'!$A:$AG,27,FALSE)</f>
        <v>0</v>
      </c>
      <c r="AL120" s="123">
        <f>VLOOKUP($A120,'CCRA3 Risks'!$A:$AG,28,FALSE)</f>
        <v>0</v>
      </c>
      <c r="AM120" s="123">
        <f>VLOOKUP($A120,'CCRA3 Risks'!$A:$AG,29,FALSE)</f>
        <v>0</v>
      </c>
      <c r="AN120" s="123">
        <f>VLOOKUP($A120,'CCRA3 Risks'!$A:$AG,30,FALSE)</f>
        <v>0</v>
      </c>
      <c r="AO120" s="123">
        <f>VLOOKUP($A120,'CCRA3 Risks'!$A:$AG,31,FALSE)</f>
        <v>0</v>
      </c>
      <c r="AP120" s="123">
        <f>VLOOKUP($A120,'CCRA3 Risks'!$A:$AG,32,FALSE)</f>
        <v>0</v>
      </c>
      <c r="AQ120" s="123">
        <f>VLOOKUP($A120,'CCRA3 Risks'!$A:$AG,33,FALSE)</f>
        <v>0</v>
      </c>
    </row>
    <row r="121" spans="1:43" ht="89.25" x14ac:dyDescent="0.25">
      <c r="A121" s="88" t="s">
        <v>277</v>
      </c>
      <c r="B121" s="88" t="s">
        <v>949</v>
      </c>
      <c r="C121" s="83" t="s">
        <v>950</v>
      </c>
      <c r="D121" s="83" t="s">
        <v>395</v>
      </c>
      <c r="E121" s="88" t="s">
        <v>67</v>
      </c>
      <c r="F121" s="83" t="s">
        <v>396</v>
      </c>
      <c r="G121" s="83" t="s">
        <v>30</v>
      </c>
      <c r="H121" s="83" t="s">
        <v>951</v>
      </c>
      <c r="I121" s="88"/>
      <c r="J121" s="88" t="s">
        <v>398</v>
      </c>
      <c r="K121" s="83" t="s">
        <v>952</v>
      </c>
      <c r="L121" s="88" t="s">
        <v>953</v>
      </c>
      <c r="M121" s="88" t="s">
        <v>700</v>
      </c>
      <c r="N121" s="206" t="str">
        <f>VLOOKUP($A121,'CCRA3 Risks'!$A:$R,2,FALSE)</f>
        <v xml:space="preserve">I6 Risks to hydroelectric generation from low or high river flows </v>
      </c>
      <c r="O121" s="206" t="str">
        <f>VLOOKUP($A121,'CCRA3 Risks'!$A:$R,3,FALSE)</f>
        <v>No</v>
      </c>
      <c r="P121" s="207">
        <f>VLOOKUP($A121,'CCRA3 Risks'!$A:$R,4,FALSE)</f>
        <v>4</v>
      </c>
      <c r="Q121" s="206" t="str">
        <f>VLOOKUP($A121,'CCRA3 Risks'!$A:$R,7,FALSE)</f>
        <v>England</v>
      </c>
      <c r="R121" s="206" t="str">
        <f>VLOOKUP($A121,'CCRA3 Risks'!$A:$R,8,FALSE)</f>
        <v>Low</v>
      </c>
      <c r="S121" s="206" t="str">
        <f>VLOOKUP($A121,'CCRA3 Risks'!$A:$R,9,FALSE)</f>
        <v>Medium</v>
      </c>
      <c r="T121" s="206" t="str">
        <f>VLOOKUP($A121,'CCRA3 Risks'!$A:$R,10,FALSE)</f>
        <v>Medium</v>
      </c>
      <c r="U121" s="206" t="str">
        <f>VLOOKUP($A121,'CCRA3 Risks'!$A:$R,11,FALSE)</f>
        <v>Medium</v>
      </c>
      <c r="V121" s="206" t="str">
        <f>VLOOKUP($A121,'CCRA3 Risks'!$A:$R,12,FALSE)</f>
        <v>Medium</v>
      </c>
      <c r="W121" s="206" t="str">
        <f>VLOOKUP($A121,'CCRA3 Risks'!$A:$R,13,FALSE)</f>
        <v>Partially</v>
      </c>
      <c r="X121" s="206" t="str">
        <f>VLOOKUP($A121,'CCRA3 Risks'!$A:$R,14,FALSE)</f>
        <v>Further investigation</v>
      </c>
      <c r="Y121" s="206" t="str">
        <f>VLOOKUP($A121,'CCRA3 Risks'!$A:$R,15,FALSE)</f>
        <v>Further Investigation</v>
      </c>
      <c r="Z121" s="206" t="str">
        <f>VLOOKUP($A121,'CCRA3 Risks'!$A:$R,16,FALSE)</f>
        <v>N/A</v>
      </c>
      <c r="AA121" s="206" t="str">
        <f>VLOOKUP($A121,'CCRA3 Risks'!$A:$R,17,FALSE)</f>
        <v>N/A</v>
      </c>
      <c r="AB121" s="206" t="str">
        <f>VLOOKUP($A121,'CCRA3 Risks'!$A:$R,18,FALSE)</f>
        <v>Medium (reviews underway of environmental permitting)</v>
      </c>
      <c r="AC121" s="202">
        <f>VLOOKUP($A121,'CCRA3 Risks'!$A:$AG,19,FALSE)</f>
        <v>0</v>
      </c>
      <c r="AD121" s="123">
        <f>VLOOKUP($A121,'CCRA3 Risks'!$A:$AG,20,FALSE)</f>
        <v>0</v>
      </c>
      <c r="AE121" s="123">
        <f>VLOOKUP($A121,'CCRA3 Risks'!$A:$AG,21,FALSE)</f>
        <v>0</v>
      </c>
      <c r="AF121" s="123">
        <f>VLOOKUP($A121,'CCRA3 Risks'!$A:$AG,22,FALSE)</f>
        <v>0</v>
      </c>
      <c r="AG121" s="123" t="str">
        <f>VLOOKUP($A121,'CCRA3 Risks'!$A:$AG,23,FALSE)</f>
        <v>Y</v>
      </c>
      <c r="AH121" s="123">
        <f>VLOOKUP($A121,'CCRA3 Risks'!$A:$AG,24,FALSE)</f>
        <v>0</v>
      </c>
      <c r="AI121" s="123">
        <f>VLOOKUP($A121,'CCRA3 Risks'!$A:$AG,25,FALSE)</f>
        <v>0</v>
      </c>
      <c r="AJ121" s="123">
        <f>VLOOKUP($A121,'CCRA3 Risks'!$A:$AG,26,FALSE)</f>
        <v>0</v>
      </c>
      <c r="AK121" s="123">
        <f>VLOOKUP($A121,'CCRA3 Risks'!$A:$AG,27,FALSE)</f>
        <v>0</v>
      </c>
      <c r="AL121" s="123">
        <f>VLOOKUP($A121,'CCRA3 Risks'!$A:$AG,28,FALSE)</f>
        <v>0</v>
      </c>
      <c r="AM121" s="123">
        <f>VLOOKUP($A121,'CCRA3 Risks'!$A:$AG,29,FALSE)</f>
        <v>0</v>
      </c>
      <c r="AN121" s="123">
        <f>VLOOKUP($A121,'CCRA3 Risks'!$A:$AG,30,FALSE)</f>
        <v>0</v>
      </c>
      <c r="AO121" s="123">
        <f>VLOOKUP($A121,'CCRA3 Risks'!$A:$AG,31,FALSE)</f>
        <v>0</v>
      </c>
      <c r="AP121" s="123">
        <f>VLOOKUP($A121,'CCRA3 Risks'!$A:$AG,32,FALSE)</f>
        <v>0</v>
      </c>
      <c r="AQ121" s="123">
        <f>VLOOKUP($A121,'CCRA3 Risks'!$A:$AG,33,FALSE)</f>
        <v>0</v>
      </c>
    </row>
    <row r="122" spans="1:43" ht="89.25" x14ac:dyDescent="0.25">
      <c r="A122" s="88" t="s">
        <v>277</v>
      </c>
      <c r="B122" s="88" t="s">
        <v>954</v>
      </c>
      <c r="C122" s="83" t="s">
        <v>955</v>
      </c>
      <c r="D122" s="83" t="s">
        <v>395</v>
      </c>
      <c r="E122" s="88" t="s">
        <v>67</v>
      </c>
      <c r="F122" s="83" t="s">
        <v>396</v>
      </c>
      <c r="G122" s="83" t="s">
        <v>30</v>
      </c>
      <c r="H122" s="83" t="s">
        <v>956</v>
      </c>
      <c r="I122" s="88"/>
      <c r="J122" s="88" t="s">
        <v>411</v>
      </c>
      <c r="K122" s="83" t="s">
        <v>957</v>
      </c>
      <c r="L122" s="88" t="s">
        <v>953</v>
      </c>
      <c r="M122" s="88" t="s">
        <v>700</v>
      </c>
      <c r="N122" s="206" t="str">
        <f>VLOOKUP($A122,'CCRA3 Risks'!$A:$R,2,FALSE)</f>
        <v xml:space="preserve">I6 Risks to hydroelectric generation from low or high river flows </v>
      </c>
      <c r="O122" s="206" t="str">
        <f>VLOOKUP($A122,'CCRA3 Risks'!$A:$R,3,FALSE)</f>
        <v>No</v>
      </c>
      <c r="P122" s="207">
        <f>VLOOKUP($A122,'CCRA3 Risks'!$A:$R,4,FALSE)</f>
        <v>4</v>
      </c>
      <c r="Q122" s="206" t="str">
        <f>VLOOKUP($A122,'CCRA3 Risks'!$A:$R,7,FALSE)</f>
        <v>England</v>
      </c>
      <c r="R122" s="206" t="str">
        <f>VLOOKUP($A122,'CCRA3 Risks'!$A:$R,8,FALSE)</f>
        <v>Low</v>
      </c>
      <c r="S122" s="206" t="str">
        <f>VLOOKUP($A122,'CCRA3 Risks'!$A:$R,9,FALSE)</f>
        <v>Medium</v>
      </c>
      <c r="T122" s="206" t="str">
        <f>VLOOKUP($A122,'CCRA3 Risks'!$A:$R,10,FALSE)</f>
        <v>Medium</v>
      </c>
      <c r="U122" s="206" t="str">
        <f>VLOOKUP($A122,'CCRA3 Risks'!$A:$R,11,FALSE)</f>
        <v>Medium</v>
      </c>
      <c r="V122" s="206" t="str">
        <f>VLOOKUP($A122,'CCRA3 Risks'!$A:$R,12,FALSE)</f>
        <v>Medium</v>
      </c>
      <c r="W122" s="206" t="str">
        <f>VLOOKUP($A122,'CCRA3 Risks'!$A:$R,13,FALSE)</f>
        <v>Partially</v>
      </c>
      <c r="X122" s="206" t="str">
        <f>VLOOKUP($A122,'CCRA3 Risks'!$A:$R,14,FALSE)</f>
        <v>Further investigation</v>
      </c>
      <c r="Y122" s="206" t="str">
        <f>VLOOKUP($A122,'CCRA3 Risks'!$A:$R,15,FALSE)</f>
        <v>Further Investigation</v>
      </c>
      <c r="Z122" s="206" t="str">
        <f>VLOOKUP($A122,'CCRA3 Risks'!$A:$R,16,FALSE)</f>
        <v>N/A</v>
      </c>
      <c r="AA122" s="206" t="str">
        <f>VLOOKUP($A122,'CCRA3 Risks'!$A:$R,17,FALSE)</f>
        <v>N/A</v>
      </c>
      <c r="AB122" s="206" t="str">
        <f>VLOOKUP($A122,'CCRA3 Risks'!$A:$R,18,FALSE)</f>
        <v>Medium (reviews underway of environmental permitting)</v>
      </c>
      <c r="AC122" s="202">
        <f>VLOOKUP($A122,'CCRA3 Risks'!$A:$AG,19,FALSE)</f>
        <v>0</v>
      </c>
      <c r="AD122" s="123">
        <f>VLOOKUP($A122,'CCRA3 Risks'!$A:$AG,20,FALSE)</f>
        <v>0</v>
      </c>
      <c r="AE122" s="123">
        <f>VLOOKUP($A122,'CCRA3 Risks'!$A:$AG,21,FALSE)</f>
        <v>0</v>
      </c>
      <c r="AF122" s="123">
        <f>VLOOKUP($A122,'CCRA3 Risks'!$A:$AG,22,FALSE)</f>
        <v>0</v>
      </c>
      <c r="AG122" s="123" t="str">
        <f>VLOOKUP($A122,'CCRA3 Risks'!$A:$AG,23,FALSE)</f>
        <v>Y</v>
      </c>
      <c r="AH122" s="123">
        <f>VLOOKUP($A122,'CCRA3 Risks'!$A:$AG,24,FALSE)</f>
        <v>0</v>
      </c>
      <c r="AI122" s="123">
        <f>VLOOKUP($A122,'CCRA3 Risks'!$A:$AG,25,FALSE)</f>
        <v>0</v>
      </c>
      <c r="AJ122" s="123">
        <f>VLOOKUP($A122,'CCRA3 Risks'!$A:$AG,26,FALSE)</f>
        <v>0</v>
      </c>
      <c r="AK122" s="123">
        <f>VLOOKUP($A122,'CCRA3 Risks'!$A:$AG,27,FALSE)</f>
        <v>0</v>
      </c>
      <c r="AL122" s="123">
        <f>VLOOKUP($A122,'CCRA3 Risks'!$A:$AG,28,FALSE)</f>
        <v>0</v>
      </c>
      <c r="AM122" s="123">
        <f>VLOOKUP($A122,'CCRA3 Risks'!$A:$AG,29,FALSE)</f>
        <v>0</v>
      </c>
      <c r="AN122" s="123">
        <f>VLOOKUP($A122,'CCRA3 Risks'!$A:$AG,30,FALSE)</f>
        <v>0</v>
      </c>
      <c r="AO122" s="123">
        <f>VLOOKUP($A122,'CCRA3 Risks'!$A:$AG,31,FALSE)</f>
        <v>0</v>
      </c>
      <c r="AP122" s="123">
        <f>VLOOKUP($A122,'CCRA3 Risks'!$A:$AG,32,FALSE)</f>
        <v>0</v>
      </c>
      <c r="AQ122" s="123">
        <f>VLOOKUP($A122,'CCRA3 Risks'!$A:$AG,33,FALSE)</f>
        <v>0</v>
      </c>
    </row>
    <row r="123" spans="1:43" ht="255" x14ac:dyDescent="0.25">
      <c r="A123" s="88" t="s">
        <v>280</v>
      </c>
      <c r="B123" s="88" t="s">
        <v>958</v>
      </c>
      <c r="C123" s="83" t="s">
        <v>959</v>
      </c>
      <c r="D123" s="83" t="s">
        <v>461</v>
      </c>
      <c r="E123" s="88" t="s">
        <v>67</v>
      </c>
      <c r="F123" s="83" t="s">
        <v>33</v>
      </c>
      <c r="G123" s="83" t="s">
        <v>30</v>
      </c>
      <c r="H123" s="83" t="s">
        <v>960</v>
      </c>
      <c r="I123" s="88"/>
      <c r="J123" s="88" t="s">
        <v>398</v>
      </c>
      <c r="K123" s="83" t="s">
        <v>961</v>
      </c>
      <c r="L123" s="83" t="s">
        <v>962</v>
      </c>
      <c r="M123" s="83" t="s">
        <v>963</v>
      </c>
      <c r="N123" s="206" t="str">
        <f>VLOOKUP($A123,'CCRA3 Risks'!$A:$R,2,FALSE)</f>
        <v>I7 Risks to subterranean and surface infrastructure from subsidence</v>
      </c>
      <c r="O123" s="206" t="str">
        <f>VLOOKUP($A123,'CCRA3 Risks'!$A:$R,3,FALSE)</f>
        <v>No</v>
      </c>
      <c r="P123" s="207">
        <f>VLOOKUP($A123,'CCRA3 Risks'!$A:$R,4,FALSE)</f>
        <v>4</v>
      </c>
      <c r="Q123" s="206" t="str">
        <f>VLOOKUP($A123,'CCRA3 Risks'!$A:$R,7,FALSE)</f>
        <v>England</v>
      </c>
      <c r="R123" s="206" t="str">
        <f>VLOOKUP($A123,'CCRA3 Risks'!$A:$R,8,FALSE)</f>
        <v>Low</v>
      </c>
      <c r="S123" s="206" t="str">
        <f>VLOOKUP($A123,'CCRA3 Risks'!$A:$R,9,FALSE)</f>
        <v>Medium</v>
      </c>
      <c r="T123" s="206" t="str">
        <f>VLOOKUP($A123,'CCRA3 Risks'!$A:$R,10,FALSE)</f>
        <v>Medium</v>
      </c>
      <c r="U123" s="206" t="str">
        <f>VLOOKUP($A123,'CCRA3 Risks'!$A:$R,11,FALSE)</f>
        <v>Medium</v>
      </c>
      <c r="V123" s="206" t="str">
        <f>VLOOKUP($A123,'CCRA3 Risks'!$A:$R,12,FALSE)</f>
        <v>Medium</v>
      </c>
      <c r="W123" s="206" t="str">
        <f>VLOOKUP($A123,'CCRA3 Risks'!$A:$R,13,FALSE)</f>
        <v>Partially</v>
      </c>
      <c r="X123" s="206" t="str">
        <f>VLOOKUP($A123,'CCRA3 Risks'!$A:$R,14,FALSE)</f>
        <v>Further investigation</v>
      </c>
      <c r="Y123" s="206" t="str">
        <f>VLOOKUP($A123,'CCRA3 Risks'!$A:$R,15,FALSE)</f>
        <v>Further Investigation</v>
      </c>
      <c r="Z123" s="206" t="str">
        <f>VLOOKUP($A123,'CCRA3 Risks'!$A:$R,16,FALSE)</f>
        <v>N/A</v>
      </c>
      <c r="AA123" s="206" t="str">
        <f>VLOOKUP($A123,'CCRA3 Risks'!$A:$R,17,FALSE)</f>
        <v>N/A</v>
      </c>
      <c r="AB123" s="206" t="str">
        <f>VLOOKUP($A123,'CCRA3 Risks'!$A:$R,18,FALSE)</f>
        <v>Low (no key policies in the next two years)</v>
      </c>
      <c r="AC123" s="202">
        <f>VLOOKUP($A123,'CCRA3 Risks'!$A:$AG,19,FALSE)</f>
        <v>0</v>
      </c>
      <c r="AD123" s="123">
        <f>VLOOKUP($A123,'CCRA3 Risks'!$A:$AG,20,FALSE)</f>
        <v>0</v>
      </c>
      <c r="AE123" s="123">
        <f>VLOOKUP($A123,'CCRA3 Risks'!$A:$AG,21,FALSE)</f>
        <v>0</v>
      </c>
      <c r="AF123" s="123" t="str">
        <f>VLOOKUP($A123,'CCRA3 Risks'!$A:$AG,22,FALSE)</f>
        <v>Y</v>
      </c>
      <c r="AG123" s="123" t="str">
        <f>VLOOKUP($A123,'CCRA3 Risks'!$A:$AG,23,FALSE)</f>
        <v>Y</v>
      </c>
      <c r="AH123" s="123" t="str">
        <f>VLOOKUP($A123,'CCRA3 Risks'!$A:$AG,24,FALSE)</f>
        <v>Y</v>
      </c>
      <c r="AI123" s="123" t="str">
        <f>VLOOKUP($A123,'CCRA3 Risks'!$A:$AG,25,FALSE)</f>
        <v>Y</v>
      </c>
      <c r="AJ123" s="123">
        <f>VLOOKUP($A123,'CCRA3 Risks'!$A:$AG,26,FALSE)</f>
        <v>0</v>
      </c>
      <c r="AK123" s="123">
        <f>VLOOKUP($A123,'CCRA3 Risks'!$A:$AG,27,FALSE)</f>
        <v>0</v>
      </c>
      <c r="AL123" s="123">
        <f>VLOOKUP($A123,'CCRA3 Risks'!$A:$AG,28,FALSE)</f>
        <v>0</v>
      </c>
      <c r="AM123" s="123">
        <f>VLOOKUP($A123,'CCRA3 Risks'!$A:$AG,29,FALSE)</f>
        <v>0</v>
      </c>
      <c r="AN123" s="123">
        <f>VLOOKUP($A123,'CCRA3 Risks'!$A:$AG,30,FALSE)</f>
        <v>0</v>
      </c>
      <c r="AO123" s="123">
        <f>VLOOKUP($A123,'CCRA3 Risks'!$A:$AG,31,FALSE)</f>
        <v>0</v>
      </c>
      <c r="AP123" s="123">
        <f>VLOOKUP($A123,'CCRA3 Risks'!$A:$AG,32,FALSE)</f>
        <v>0</v>
      </c>
      <c r="AQ123" s="123">
        <f>VLOOKUP($A123,'CCRA3 Risks'!$A:$AG,33,FALSE)</f>
        <v>0</v>
      </c>
    </row>
    <row r="124" spans="1:43" ht="153" x14ac:dyDescent="0.25">
      <c r="A124" s="88" t="s">
        <v>280</v>
      </c>
      <c r="B124" s="88" t="s">
        <v>964</v>
      </c>
      <c r="C124" s="83" t="s">
        <v>965</v>
      </c>
      <c r="D124" s="83" t="s">
        <v>461</v>
      </c>
      <c r="E124" s="88" t="s">
        <v>67</v>
      </c>
      <c r="F124" s="83" t="s">
        <v>396</v>
      </c>
      <c r="G124" s="83" t="s">
        <v>20</v>
      </c>
      <c r="H124" s="83" t="s">
        <v>966</v>
      </c>
      <c r="I124" s="88"/>
      <c r="J124" s="88" t="s">
        <v>398</v>
      </c>
      <c r="K124" s="83" t="s">
        <v>967</v>
      </c>
      <c r="L124" s="83" t="s">
        <v>962</v>
      </c>
      <c r="M124" s="83" t="s">
        <v>968</v>
      </c>
      <c r="N124" s="206" t="str">
        <f>VLOOKUP($A124,'CCRA3 Risks'!$A:$R,2,FALSE)</f>
        <v>I7 Risks to subterranean and surface infrastructure from subsidence</v>
      </c>
      <c r="O124" s="206" t="str">
        <f>VLOOKUP($A124,'CCRA3 Risks'!$A:$R,3,FALSE)</f>
        <v>No</v>
      </c>
      <c r="P124" s="207">
        <f>VLOOKUP($A124,'CCRA3 Risks'!$A:$R,4,FALSE)</f>
        <v>4</v>
      </c>
      <c r="Q124" s="206" t="str">
        <f>VLOOKUP($A124,'CCRA3 Risks'!$A:$R,7,FALSE)</f>
        <v>England</v>
      </c>
      <c r="R124" s="206" t="str">
        <f>VLOOKUP($A124,'CCRA3 Risks'!$A:$R,8,FALSE)</f>
        <v>Low</v>
      </c>
      <c r="S124" s="206" t="str">
        <f>VLOOKUP($A124,'CCRA3 Risks'!$A:$R,9,FALSE)</f>
        <v>Medium</v>
      </c>
      <c r="T124" s="206" t="str">
        <f>VLOOKUP($A124,'CCRA3 Risks'!$A:$R,10,FALSE)</f>
        <v>Medium</v>
      </c>
      <c r="U124" s="206" t="str">
        <f>VLOOKUP($A124,'CCRA3 Risks'!$A:$R,11,FALSE)</f>
        <v>Medium</v>
      </c>
      <c r="V124" s="206" t="str">
        <f>VLOOKUP($A124,'CCRA3 Risks'!$A:$R,12,FALSE)</f>
        <v>Medium</v>
      </c>
      <c r="W124" s="206" t="str">
        <f>VLOOKUP($A124,'CCRA3 Risks'!$A:$R,13,FALSE)</f>
        <v>Partially</v>
      </c>
      <c r="X124" s="206" t="str">
        <f>VLOOKUP($A124,'CCRA3 Risks'!$A:$R,14,FALSE)</f>
        <v>Further investigation</v>
      </c>
      <c r="Y124" s="206" t="str">
        <f>VLOOKUP($A124,'CCRA3 Risks'!$A:$R,15,FALSE)</f>
        <v>Further Investigation</v>
      </c>
      <c r="Z124" s="206" t="str">
        <f>VLOOKUP($A124,'CCRA3 Risks'!$A:$R,16,FALSE)</f>
        <v>N/A</v>
      </c>
      <c r="AA124" s="206" t="str">
        <f>VLOOKUP($A124,'CCRA3 Risks'!$A:$R,17,FALSE)</f>
        <v>N/A</v>
      </c>
      <c r="AB124" s="206" t="str">
        <f>VLOOKUP($A124,'CCRA3 Risks'!$A:$R,18,FALSE)</f>
        <v>Low (no key policies in the next two years)</v>
      </c>
      <c r="AC124" s="202">
        <f>VLOOKUP($A124,'CCRA3 Risks'!$A:$AG,19,FALSE)</f>
        <v>0</v>
      </c>
      <c r="AD124" s="123">
        <f>VLOOKUP($A124,'CCRA3 Risks'!$A:$AG,20,FALSE)</f>
        <v>0</v>
      </c>
      <c r="AE124" s="123">
        <f>VLOOKUP($A124,'CCRA3 Risks'!$A:$AG,21,FALSE)</f>
        <v>0</v>
      </c>
      <c r="AF124" s="123" t="str">
        <f>VLOOKUP($A124,'CCRA3 Risks'!$A:$AG,22,FALSE)</f>
        <v>Y</v>
      </c>
      <c r="AG124" s="123" t="str">
        <f>VLOOKUP($A124,'CCRA3 Risks'!$A:$AG,23,FALSE)</f>
        <v>Y</v>
      </c>
      <c r="AH124" s="123" t="str">
        <f>VLOOKUP($A124,'CCRA3 Risks'!$A:$AG,24,FALSE)</f>
        <v>Y</v>
      </c>
      <c r="AI124" s="123" t="str">
        <f>VLOOKUP($A124,'CCRA3 Risks'!$A:$AG,25,FALSE)</f>
        <v>Y</v>
      </c>
      <c r="AJ124" s="123">
        <f>VLOOKUP($A124,'CCRA3 Risks'!$A:$AG,26,FALSE)</f>
        <v>0</v>
      </c>
      <c r="AK124" s="123">
        <f>VLOOKUP($A124,'CCRA3 Risks'!$A:$AG,27,FALSE)</f>
        <v>0</v>
      </c>
      <c r="AL124" s="123">
        <f>VLOOKUP($A124,'CCRA3 Risks'!$A:$AG,28,FALSE)</f>
        <v>0</v>
      </c>
      <c r="AM124" s="123">
        <f>VLOOKUP($A124,'CCRA3 Risks'!$A:$AG,29,FALSE)</f>
        <v>0</v>
      </c>
      <c r="AN124" s="123">
        <f>VLOOKUP($A124,'CCRA3 Risks'!$A:$AG,30,FALSE)</f>
        <v>0</v>
      </c>
      <c r="AO124" s="123">
        <f>VLOOKUP($A124,'CCRA3 Risks'!$A:$AG,31,FALSE)</f>
        <v>0</v>
      </c>
      <c r="AP124" s="123">
        <f>VLOOKUP($A124,'CCRA3 Risks'!$A:$AG,32,FALSE)</f>
        <v>0</v>
      </c>
      <c r="AQ124" s="123">
        <f>VLOOKUP($A124,'CCRA3 Risks'!$A:$AG,33,FALSE)</f>
        <v>0</v>
      </c>
    </row>
    <row r="125" spans="1:43" ht="240.6" customHeight="1" x14ac:dyDescent="0.25">
      <c r="A125" s="88" t="s">
        <v>283</v>
      </c>
      <c r="B125" s="88" t="s">
        <v>969</v>
      </c>
      <c r="C125" s="83" t="s">
        <v>970</v>
      </c>
      <c r="D125" s="83" t="s">
        <v>461</v>
      </c>
      <c r="E125" s="88" t="s">
        <v>67</v>
      </c>
      <c r="F125" s="83" t="s">
        <v>396</v>
      </c>
      <c r="G125" s="83" t="s">
        <v>30</v>
      </c>
      <c r="H125" s="83" t="s">
        <v>971</v>
      </c>
      <c r="I125" s="88"/>
      <c r="J125" s="88" t="s">
        <v>463</v>
      </c>
      <c r="K125" s="83" t="s">
        <v>972</v>
      </c>
      <c r="L125" s="88" t="s">
        <v>480</v>
      </c>
      <c r="M125" s="83" t="s">
        <v>469</v>
      </c>
      <c r="N125" s="206" t="str">
        <f>VLOOKUP($A125,'CCRA3 Risks'!$A:$R,2,FALSE)</f>
        <v xml:space="preserve">I8 Risks to public water supplies from reduced water availability </v>
      </c>
      <c r="O125" s="206" t="str">
        <f>VLOOKUP($A125,'CCRA3 Risks'!$A:$R,3,FALSE)</f>
        <v>No</v>
      </c>
      <c r="P125" s="207">
        <f>VLOOKUP($A125,'CCRA3 Risks'!$A:$R,4,FALSE)</f>
        <v>4</v>
      </c>
      <c r="Q125" s="206" t="str">
        <f>VLOOKUP($A125,'CCRA3 Risks'!$A:$R,7,FALSE)</f>
        <v>England</v>
      </c>
      <c r="R125" s="206" t="str">
        <f>VLOOKUP($A125,'CCRA3 Risks'!$A:$R,8,FALSE)</f>
        <v>Medium</v>
      </c>
      <c r="S125" s="206" t="str">
        <f>VLOOKUP($A125,'CCRA3 Risks'!$A:$R,9,FALSE)</f>
        <v>High</v>
      </c>
      <c r="T125" s="206" t="str">
        <f>VLOOKUP($A125,'CCRA3 Risks'!$A:$R,10,FALSE)</f>
        <v>High</v>
      </c>
      <c r="U125" s="206" t="str">
        <f>VLOOKUP($A125,'CCRA3 Risks'!$A:$R,11,FALSE)</f>
        <v>High</v>
      </c>
      <c r="V125" s="206" t="str">
        <f>VLOOKUP($A125,'CCRA3 Risks'!$A:$R,12,FALSE)</f>
        <v>High</v>
      </c>
      <c r="W125" s="206" t="str">
        <f>VLOOKUP($A125,'CCRA3 Risks'!$A:$R,13,FALSE)</f>
        <v>Partially</v>
      </c>
      <c r="X125" s="206" t="str">
        <f>VLOOKUP($A125,'CCRA3 Risks'!$A:$R,14,FALSE)</f>
        <v>More action needed</v>
      </c>
      <c r="Y125" s="206" t="str">
        <f>VLOOKUP($A125,'CCRA3 Risks'!$A:$R,15,FALSE)</f>
        <v>More action needed</v>
      </c>
      <c r="Z125" s="206" t="str">
        <f>VLOOKUP($A125,'CCRA3 Risks'!$A:$R,16,FALSE)</f>
        <v>High (8)</v>
      </c>
      <c r="AA125" s="206" t="str">
        <f>VLOOKUP($A125,'CCRA3 Risks'!$A:$R,17,FALSE)</f>
        <v>High (Green)</v>
      </c>
      <c r="AB125" s="206" t="str">
        <f>VLOOKUP($A125,'CCRA3 Risks'!$A:$R,18,FALSE)</f>
        <v>Medium (upcoming plans for water efficiency and reducing demand, next round in water resources planning in a few years' time)</v>
      </c>
      <c r="AC125" s="202">
        <f>VLOOKUP($A125,'CCRA3 Risks'!$A:$AG,19,FALSE)</f>
        <v>0</v>
      </c>
      <c r="AD125" s="123">
        <f>VLOOKUP($A125,'CCRA3 Risks'!$A:$AG,20,FALSE)</f>
        <v>0</v>
      </c>
      <c r="AE125" s="123">
        <f>VLOOKUP($A125,'CCRA3 Risks'!$A:$AG,21,FALSE)</f>
        <v>0</v>
      </c>
      <c r="AF125" s="123" t="str">
        <f>VLOOKUP($A125,'CCRA3 Risks'!$A:$AG,22,FALSE)</f>
        <v>Y</v>
      </c>
      <c r="AG125" s="123">
        <f>VLOOKUP($A125,'CCRA3 Risks'!$A:$AG,23,FALSE)</f>
        <v>0</v>
      </c>
      <c r="AH125" s="123">
        <f>VLOOKUP($A125,'CCRA3 Risks'!$A:$AG,24,FALSE)</f>
        <v>0</v>
      </c>
      <c r="AI125" s="123">
        <f>VLOOKUP($A125,'CCRA3 Risks'!$A:$AG,25,FALSE)</f>
        <v>0</v>
      </c>
      <c r="AJ125" s="123">
        <f>VLOOKUP($A125,'CCRA3 Risks'!$A:$AG,26,FALSE)</f>
        <v>0</v>
      </c>
      <c r="AK125" s="123">
        <f>VLOOKUP($A125,'CCRA3 Risks'!$A:$AG,27,FALSE)</f>
        <v>0</v>
      </c>
      <c r="AL125" s="123">
        <f>VLOOKUP($A125,'CCRA3 Risks'!$A:$AG,28,FALSE)</f>
        <v>0</v>
      </c>
      <c r="AM125" s="123">
        <f>VLOOKUP($A125,'CCRA3 Risks'!$A:$AG,29,FALSE)</f>
        <v>0</v>
      </c>
      <c r="AN125" s="123">
        <f>VLOOKUP($A125,'CCRA3 Risks'!$A:$AG,30,FALSE)</f>
        <v>0</v>
      </c>
      <c r="AO125" s="123">
        <f>VLOOKUP($A125,'CCRA3 Risks'!$A:$AG,31,FALSE)</f>
        <v>0</v>
      </c>
      <c r="AP125" s="123">
        <f>VLOOKUP($A125,'CCRA3 Risks'!$A:$AG,32,FALSE)</f>
        <v>0</v>
      </c>
      <c r="AQ125" s="123">
        <f>VLOOKUP($A125,'CCRA3 Risks'!$A:$AG,33,FALSE)</f>
        <v>0</v>
      </c>
    </row>
    <row r="126" spans="1:43" ht="102" x14ac:dyDescent="0.25">
      <c r="A126" s="88" t="s">
        <v>283</v>
      </c>
      <c r="B126" s="88" t="s">
        <v>973</v>
      </c>
      <c r="C126" s="83" t="s">
        <v>974</v>
      </c>
      <c r="D126" s="83" t="s">
        <v>403</v>
      </c>
      <c r="E126" s="88" t="s">
        <v>67</v>
      </c>
      <c r="F126" s="83" t="s">
        <v>396</v>
      </c>
      <c r="G126" s="83" t="s">
        <v>30</v>
      </c>
      <c r="H126" s="83" t="s">
        <v>975</v>
      </c>
      <c r="I126" s="88"/>
      <c r="J126" s="88" t="s">
        <v>405</v>
      </c>
      <c r="K126" s="83" t="s">
        <v>976</v>
      </c>
      <c r="L126" s="88" t="s">
        <v>480</v>
      </c>
      <c r="M126" s="83" t="s">
        <v>977</v>
      </c>
      <c r="N126" s="206" t="str">
        <f>VLOOKUP($A126,'CCRA3 Risks'!$A:$R,2,FALSE)</f>
        <v xml:space="preserve">I8 Risks to public water supplies from reduced water availability </v>
      </c>
      <c r="O126" s="206" t="str">
        <f>VLOOKUP($A126,'CCRA3 Risks'!$A:$R,3,FALSE)</f>
        <v>No</v>
      </c>
      <c r="P126" s="207">
        <f>VLOOKUP($A126,'CCRA3 Risks'!$A:$R,4,FALSE)</f>
        <v>4</v>
      </c>
      <c r="Q126" s="206" t="str">
        <f>VLOOKUP($A126,'CCRA3 Risks'!$A:$R,7,FALSE)</f>
        <v>England</v>
      </c>
      <c r="R126" s="206" t="str">
        <f>VLOOKUP($A126,'CCRA3 Risks'!$A:$R,8,FALSE)</f>
        <v>Medium</v>
      </c>
      <c r="S126" s="206" t="str">
        <f>VLOOKUP($A126,'CCRA3 Risks'!$A:$R,9,FALSE)</f>
        <v>High</v>
      </c>
      <c r="T126" s="206" t="str">
        <f>VLOOKUP($A126,'CCRA3 Risks'!$A:$R,10,FALSE)</f>
        <v>High</v>
      </c>
      <c r="U126" s="206" t="str">
        <f>VLOOKUP($A126,'CCRA3 Risks'!$A:$R,11,FALSE)</f>
        <v>High</v>
      </c>
      <c r="V126" s="206" t="str">
        <f>VLOOKUP($A126,'CCRA3 Risks'!$A:$R,12,FALSE)</f>
        <v>High</v>
      </c>
      <c r="W126" s="206" t="str">
        <f>VLOOKUP($A126,'CCRA3 Risks'!$A:$R,13,FALSE)</f>
        <v>Partially</v>
      </c>
      <c r="X126" s="206" t="str">
        <f>VLOOKUP($A126,'CCRA3 Risks'!$A:$R,14,FALSE)</f>
        <v>More action needed</v>
      </c>
      <c r="Y126" s="206" t="str">
        <f>VLOOKUP($A126,'CCRA3 Risks'!$A:$R,15,FALSE)</f>
        <v>More action needed</v>
      </c>
      <c r="Z126" s="206" t="str">
        <f>VLOOKUP($A126,'CCRA3 Risks'!$A:$R,16,FALSE)</f>
        <v>High (8)</v>
      </c>
      <c r="AA126" s="206" t="str">
        <f>VLOOKUP($A126,'CCRA3 Risks'!$A:$R,17,FALSE)</f>
        <v>High (Green)</v>
      </c>
      <c r="AB126" s="206" t="str">
        <f>VLOOKUP($A126,'CCRA3 Risks'!$A:$R,18,FALSE)</f>
        <v>Medium (upcoming plans for water efficiency and reducing demand, next round in water resources planning in a few years' time)</v>
      </c>
      <c r="AC126" s="202">
        <f>VLOOKUP($A126,'CCRA3 Risks'!$A:$AG,19,FALSE)</f>
        <v>0</v>
      </c>
      <c r="AD126" s="123">
        <f>VLOOKUP($A126,'CCRA3 Risks'!$A:$AG,20,FALSE)</f>
        <v>0</v>
      </c>
      <c r="AE126" s="123">
        <f>VLOOKUP($A126,'CCRA3 Risks'!$A:$AG,21,FALSE)</f>
        <v>0</v>
      </c>
      <c r="AF126" s="123" t="str">
        <f>VLOOKUP($A126,'CCRA3 Risks'!$A:$AG,22,FALSE)</f>
        <v>Y</v>
      </c>
      <c r="AG126" s="123">
        <f>VLOOKUP($A126,'CCRA3 Risks'!$A:$AG,23,FALSE)</f>
        <v>0</v>
      </c>
      <c r="AH126" s="123">
        <f>VLOOKUP($A126,'CCRA3 Risks'!$A:$AG,24,FALSE)</f>
        <v>0</v>
      </c>
      <c r="AI126" s="123">
        <f>VLOOKUP($A126,'CCRA3 Risks'!$A:$AG,25,FALSE)</f>
        <v>0</v>
      </c>
      <c r="AJ126" s="123">
        <f>VLOOKUP($A126,'CCRA3 Risks'!$A:$AG,26,FALSE)</f>
        <v>0</v>
      </c>
      <c r="AK126" s="123">
        <f>VLOOKUP($A126,'CCRA3 Risks'!$A:$AG,27,FALSE)</f>
        <v>0</v>
      </c>
      <c r="AL126" s="123">
        <f>VLOOKUP($A126,'CCRA3 Risks'!$A:$AG,28,FALSE)</f>
        <v>0</v>
      </c>
      <c r="AM126" s="123">
        <f>VLOOKUP($A126,'CCRA3 Risks'!$A:$AG,29,FALSE)</f>
        <v>0</v>
      </c>
      <c r="AN126" s="123">
        <f>VLOOKUP($A126,'CCRA3 Risks'!$A:$AG,30,FALSE)</f>
        <v>0</v>
      </c>
      <c r="AO126" s="123">
        <f>VLOOKUP($A126,'CCRA3 Risks'!$A:$AG,31,FALSE)</f>
        <v>0</v>
      </c>
      <c r="AP126" s="123">
        <f>VLOOKUP($A126,'CCRA3 Risks'!$A:$AG,32,FALSE)</f>
        <v>0</v>
      </c>
      <c r="AQ126" s="123">
        <f>VLOOKUP($A126,'CCRA3 Risks'!$A:$AG,33,FALSE)</f>
        <v>0</v>
      </c>
    </row>
    <row r="127" spans="1:43" ht="51" x14ac:dyDescent="0.25">
      <c r="A127" s="88" t="s">
        <v>283</v>
      </c>
      <c r="B127" s="88" t="s">
        <v>978</v>
      </c>
      <c r="C127" s="83" t="s">
        <v>979</v>
      </c>
      <c r="D127" s="83" t="s">
        <v>461</v>
      </c>
      <c r="E127" s="88" t="s">
        <v>67</v>
      </c>
      <c r="F127" s="83" t="s">
        <v>472</v>
      </c>
      <c r="G127" s="83" t="s">
        <v>53</v>
      </c>
      <c r="H127" s="83" t="s">
        <v>980</v>
      </c>
      <c r="I127" s="88"/>
      <c r="J127" s="88" t="s">
        <v>411</v>
      </c>
      <c r="K127" s="83" t="s">
        <v>981</v>
      </c>
      <c r="L127" s="88" t="s">
        <v>480</v>
      </c>
      <c r="M127" s="83" t="s">
        <v>982</v>
      </c>
      <c r="N127" s="206" t="str">
        <f>VLOOKUP($A127,'CCRA3 Risks'!$A:$R,2,FALSE)</f>
        <v xml:space="preserve">I8 Risks to public water supplies from reduced water availability </v>
      </c>
      <c r="O127" s="206" t="str">
        <f>VLOOKUP($A127,'CCRA3 Risks'!$A:$R,3,FALSE)</f>
        <v>No</v>
      </c>
      <c r="P127" s="207">
        <f>VLOOKUP($A127,'CCRA3 Risks'!$A:$R,4,FALSE)</f>
        <v>4</v>
      </c>
      <c r="Q127" s="206" t="str">
        <f>VLOOKUP($A127,'CCRA3 Risks'!$A:$R,7,FALSE)</f>
        <v>England</v>
      </c>
      <c r="R127" s="206" t="str">
        <f>VLOOKUP($A127,'CCRA3 Risks'!$A:$R,8,FALSE)</f>
        <v>Medium</v>
      </c>
      <c r="S127" s="206" t="str">
        <f>VLOOKUP($A127,'CCRA3 Risks'!$A:$R,9,FALSE)</f>
        <v>High</v>
      </c>
      <c r="T127" s="206" t="str">
        <f>VLOOKUP($A127,'CCRA3 Risks'!$A:$R,10,FALSE)</f>
        <v>High</v>
      </c>
      <c r="U127" s="206" t="str">
        <f>VLOOKUP($A127,'CCRA3 Risks'!$A:$R,11,FALSE)</f>
        <v>High</v>
      </c>
      <c r="V127" s="206" t="str">
        <f>VLOOKUP($A127,'CCRA3 Risks'!$A:$R,12,FALSE)</f>
        <v>High</v>
      </c>
      <c r="W127" s="206" t="str">
        <f>VLOOKUP($A127,'CCRA3 Risks'!$A:$R,13,FALSE)</f>
        <v>Partially</v>
      </c>
      <c r="X127" s="206" t="str">
        <f>VLOOKUP($A127,'CCRA3 Risks'!$A:$R,14,FALSE)</f>
        <v>More action needed</v>
      </c>
      <c r="Y127" s="206" t="str">
        <f>VLOOKUP($A127,'CCRA3 Risks'!$A:$R,15,FALSE)</f>
        <v>More action needed</v>
      </c>
      <c r="Z127" s="206" t="str">
        <f>VLOOKUP($A127,'CCRA3 Risks'!$A:$R,16,FALSE)</f>
        <v>High (8)</v>
      </c>
      <c r="AA127" s="206" t="str">
        <f>VLOOKUP($A127,'CCRA3 Risks'!$A:$R,17,FALSE)</f>
        <v>High (Green)</v>
      </c>
      <c r="AB127" s="206" t="str">
        <f>VLOOKUP($A127,'CCRA3 Risks'!$A:$R,18,FALSE)</f>
        <v>Medium (upcoming plans for water efficiency and reducing demand, next round in water resources planning in a few years' time)</v>
      </c>
      <c r="AC127" s="202">
        <f>VLOOKUP($A127,'CCRA3 Risks'!$A:$AG,19,FALSE)</f>
        <v>0</v>
      </c>
      <c r="AD127" s="123">
        <f>VLOOKUP($A127,'CCRA3 Risks'!$A:$AG,20,FALSE)</f>
        <v>0</v>
      </c>
      <c r="AE127" s="123">
        <f>VLOOKUP($A127,'CCRA3 Risks'!$A:$AG,21,FALSE)</f>
        <v>0</v>
      </c>
      <c r="AF127" s="123" t="str">
        <f>VLOOKUP($A127,'CCRA3 Risks'!$A:$AG,22,FALSE)</f>
        <v>Y</v>
      </c>
      <c r="AG127" s="123">
        <f>VLOOKUP($A127,'CCRA3 Risks'!$A:$AG,23,FALSE)</f>
        <v>0</v>
      </c>
      <c r="AH127" s="123">
        <f>VLOOKUP($A127,'CCRA3 Risks'!$A:$AG,24,FALSE)</f>
        <v>0</v>
      </c>
      <c r="AI127" s="123">
        <f>VLOOKUP($A127,'CCRA3 Risks'!$A:$AG,25,FALSE)</f>
        <v>0</v>
      </c>
      <c r="AJ127" s="123">
        <f>VLOOKUP($A127,'CCRA3 Risks'!$A:$AG,26,FALSE)</f>
        <v>0</v>
      </c>
      <c r="AK127" s="123">
        <f>VLOOKUP($A127,'CCRA3 Risks'!$A:$AG,27,FALSE)</f>
        <v>0</v>
      </c>
      <c r="AL127" s="123">
        <f>VLOOKUP($A127,'CCRA3 Risks'!$A:$AG,28,FALSE)</f>
        <v>0</v>
      </c>
      <c r="AM127" s="123">
        <f>VLOOKUP($A127,'CCRA3 Risks'!$A:$AG,29,FALSE)</f>
        <v>0</v>
      </c>
      <c r="AN127" s="123">
        <f>VLOOKUP($A127,'CCRA3 Risks'!$A:$AG,30,FALSE)</f>
        <v>0</v>
      </c>
      <c r="AO127" s="123">
        <f>VLOOKUP($A127,'CCRA3 Risks'!$A:$AG,31,FALSE)</f>
        <v>0</v>
      </c>
      <c r="AP127" s="123">
        <f>VLOOKUP($A127,'CCRA3 Risks'!$A:$AG,32,FALSE)</f>
        <v>0</v>
      </c>
      <c r="AQ127" s="123">
        <f>VLOOKUP($A127,'CCRA3 Risks'!$A:$AG,33,FALSE)</f>
        <v>0</v>
      </c>
    </row>
    <row r="128" spans="1:43" ht="38.25" x14ac:dyDescent="0.25">
      <c r="A128" s="88" t="s">
        <v>283</v>
      </c>
      <c r="B128" s="88" t="s">
        <v>983</v>
      </c>
      <c r="C128" s="83" t="s">
        <v>984</v>
      </c>
      <c r="D128" s="83" t="s">
        <v>461</v>
      </c>
      <c r="E128" s="88" t="s">
        <v>67</v>
      </c>
      <c r="F128" s="83" t="s">
        <v>396</v>
      </c>
      <c r="G128" s="83" t="s">
        <v>30</v>
      </c>
      <c r="H128" s="83" t="s">
        <v>985</v>
      </c>
      <c r="I128" s="88"/>
      <c r="J128" s="88" t="s">
        <v>417</v>
      </c>
      <c r="K128" s="83" t="s">
        <v>986</v>
      </c>
      <c r="L128" s="88" t="s">
        <v>480</v>
      </c>
      <c r="M128" s="83" t="s">
        <v>35</v>
      </c>
      <c r="N128" s="206" t="str">
        <f>VLOOKUP($A128,'CCRA3 Risks'!$A:$R,2,FALSE)</f>
        <v xml:space="preserve">I8 Risks to public water supplies from reduced water availability </v>
      </c>
      <c r="O128" s="206" t="str">
        <f>VLOOKUP($A128,'CCRA3 Risks'!$A:$R,3,FALSE)</f>
        <v>No</v>
      </c>
      <c r="P128" s="207">
        <f>VLOOKUP($A128,'CCRA3 Risks'!$A:$R,4,FALSE)</f>
        <v>4</v>
      </c>
      <c r="Q128" s="206" t="str">
        <f>VLOOKUP($A128,'CCRA3 Risks'!$A:$R,7,FALSE)</f>
        <v>England</v>
      </c>
      <c r="R128" s="206" t="str">
        <f>VLOOKUP($A128,'CCRA3 Risks'!$A:$R,8,FALSE)</f>
        <v>Medium</v>
      </c>
      <c r="S128" s="206" t="str">
        <f>VLOOKUP($A128,'CCRA3 Risks'!$A:$R,9,FALSE)</f>
        <v>High</v>
      </c>
      <c r="T128" s="206" t="str">
        <f>VLOOKUP($A128,'CCRA3 Risks'!$A:$R,10,FALSE)</f>
        <v>High</v>
      </c>
      <c r="U128" s="206" t="str">
        <f>VLOOKUP($A128,'CCRA3 Risks'!$A:$R,11,FALSE)</f>
        <v>High</v>
      </c>
      <c r="V128" s="206" t="str">
        <f>VLOOKUP($A128,'CCRA3 Risks'!$A:$R,12,FALSE)</f>
        <v>High</v>
      </c>
      <c r="W128" s="206" t="str">
        <f>VLOOKUP($A128,'CCRA3 Risks'!$A:$R,13,FALSE)</f>
        <v>Partially</v>
      </c>
      <c r="X128" s="206" t="str">
        <f>VLOOKUP($A128,'CCRA3 Risks'!$A:$R,14,FALSE)</f>
        <v>More action needed</v>
      </c>
      <c r="Y128" s="206" t="str">
        <f>VLOOKUP($A128,'CCRA3 Risks'!$A:$R,15,FALSE)</f>
        <v>More action needed</v>
      </c>
      <c r="Z128" s="206" t="str">
        <f>VLOOKUP($A128,'CCRA3 Risks'!$A:$R,16,FALSE)</f>
        <v>High (8)</v>
      </c>
      <c r="AA128" s="206" t="str">
        <f>VLOOKUP($A128,'CCRA3 Risks'!$A:$R,17,FALSE)</f>
        <v>High (Green)</v>
      </c>
      <c r="AB128" s="206" t="str">
        <f>VLOOKUP($A128,'CCRA3 Risks'!$A:$R,18,FALSE)</f>
        <v>Medium (upcoming plans for water efficiency and reducing demand, next round in water resources planning in a few years' time)</v>
      </c>
      <c r="AC128" s="202">
        <f>VLOOKUP($A128,'CCRA3 Risks'!$A:$AG,19,FALSE)</f>
        <v>0</v>
      </c>
      <c r="AD128" s="123">
        <f>VLOOKUP($A128,'CCRA3 Risks'!$A:$AG,20,FALSE)</f>
        <v>0</v>
      </c>
      <c r="AE128" s="123">
        <f>VLOOKUP($A128,'CCRA3 Risks'!$A:$AG,21,FALSE)</f>
        <v>0</v>
      </c>
      <c r="AF128" s="123" t="str">
        <f>VLOOKUP($A128,'CCRA3 Risks'!$A:$AG,22,FALSE)</f>
        <v>Y</v>
      </c>
      <c r="AG128" s="123">
        <f>VLOOKUP($A128,'CCRA3 Risks'!$A:$AG,23,FALSE)</f>
        <v>0</v>
      </c>
      <c r="AH128" s="123">
        <f>VLOOKUP($A128,'CCRA3 Risks'!$A:$AG,24,FALSE)</f>
        <v>0</v>
      </c>
      <c r="AI128" s="123">
        <f>VLOOKUP($A128,'CCRA3 Risks'!$A:$AG,25,FALSE)</f>
        <v>0</v>
      </c>
      <c r="AJ128" s="123">
        <f>VLOOKUP($A128,'CCRA3 Risks'!$A:$AG,26,FALSE)</f>
        <v>0</v>
      </c>
      <c r="AK128" s="123">
        <f>VLOOKUP($A128,'CCRA3 Risks'!$A:$AG,27,FALSE)</f>
        <v>0</v>
      </c>
      <c r="AL128" s="123">
        <f>VLOOKUP($A128,'CCRA3 Risks'!$A:$AG,28,FALSE)</f>
        <v>0</v>
      </c>
      <c r="AM128" s="123">
        <f>VLOOKUP($A128,'CCRA3 Risks'!$A:$AG,29,FALSE)</f>
        <v>0</v>
      </c>
      <c r="AN128" s="123">
        <f>VLOOKUP($A128,'CCRA3 Risks'!$A:$AG,30,FALSE)</f>
        <v>0</v>
      </c>
      <c r="AO128" s="123">
        <f>VLOOKUP($A128,'CCRA3 Risks'!$A:$AG,31,FALSE)</f>
        <v>0</v>
      </c>
      <c r="AP128" s="123">
        <f>VLOOKUP($A128,'CCRA3 Risks'!$A:$AG,32,FALSE)</f>
        <v>0</v>
      </c>
      <c r="AQ128" s="123">
        <f>VLOOKUP($A128,'CCRA3 Risks'!$A:$AG,33,FALSE)</f>
        <v>0</v>
      </c>
    </row>
    <row r="129" spans="1:43" ht="352.5" customHeight="1" x14ac:dyDescent="0.25">
      <c r="A129" s="88" t="s">
        <v>283</v>
      </c>
      <c r="B129" s="88" t="s">
        <v>987</v>
      </c>
      <c r="C129" s="83" t="s">
        <v>988</v>
      </c>
      <c r="D129" s="83" t="s">
        <v>461</v>
      </c>
      <c r="E129" s="88" t="s">
        <v>67</v>
      </c>
      <c r="F129" s="83" t="s">
        <v>421</v>
      </c>
      <c r="G129" s="83" t="s">
        <v>53</v>
      </c>
      <c r="H129" s="83" t="s">
        <v>989</v>
      </c>
      <c r="I129" s="88"/>
      <c r="J129" s="88" t="s">
        <v>405</v>
      </c>
      <c r="K129" s="83" t="s">
        <v>990</v>
      </c>
      <c r="L129" s="88" t="s">
        <v>480</v>
      </c>
      <c r="M129" s="83" t="s">
        <v>991</v>
      </c>
      <c r="N129" s="206" t="str">
        <f>VLOOKUP($A129,'CCRA3 Risks'!$A:$R,2,FALSE)</f>
        <v xml:space="preserve">I8 Risks to public water supplies from reduced water availability </v>
      </c>
      <c r="O129" s="206" t="str">
        <f>VLOOKUP($A129,'CCRA3 Risks'!$A:$R,3,FALSE)</f>
        <v>No</v>
      </c>
      <c r="P129" s="207">
        <f>VLOOKUP($A129,'CCRA3 Risks'!$A:$R,4,FALSE)</f>
        <v>4</v>
      </c>
      <c r="Q129" s="206" t="str">
        <f>VLOOKUP($A129,'CCRA3 Risks'!$A:$R,7,FALSE)</f>
        <v>England</v>
      </c>
      <c r="R129" s="206" t="str">
        <f>VLOOKUP($A129,'CCRA3 Risks'!$A:$R,8,FALSE)</f>
        <v>Medium</v>
      </c>
      <c r="S129" s="206" t="str">
        <f>VLOOKUP($A129,'CCRA3 Risks'!$A:$R,9,FALSE)</f>
        <v>High</v>
      </c>
      <c r="T129" s="206" t="str">
        <f>VLOOKUP($A129,'CCRA3 Risks'!$A:$R,10,FALSE)</f>
        <v>High</v>
      </c>
      <c r="U129" s="206" t="str">
        <f>VLOOKUP($A129,'CCRA3 Risks'!$A:$R,11,FALSE)</f>
        <v>High</v>
      </c>
      <c r="V129" s="206" t="str">
        <f>VLOOKUP($A129,'CCRA3 Risks'!$A:$R,12,FALSE)</f>
        <v>High</v>
      </c>
      <c r="W129" s="206" t="str">
        <f>VLOOKUP($A129,'CCRA3 Risks'!$A:$R,13,FALSE)</f>
        <v>Partially</v>
      </c>
      <c r="X129" s="206" t="str">
        <f>VLOOKUP($A129,'CCRA3 Risks'!$A:$R,14,FALSE)</f>
        <v>More action needed</v>
      </c>
      <c r="Y129" s="206" t="str">
        <f>VLOOKUP($A129,'CCRA3 Risks'!$A:$R,15,FALSE)</f>
        <v>More action needed</v>
      </c>
      <c r="Z129" s="206" t="str">
        <f>VLOOKUP($A129,'CCRA3 Risks'!$A:$R,16,FALSE)</f>
        <v>High (8)</v>
      </c>
      <c r="AA129" s="206" t="str">
        <f>VLOOKUP($A129,'CCRA3 Risks'!$A:$R,17,FALSE)</f>
        <v>High (Green)</v>
      </c>
      <c r="AB129" s="206" t="str">
        <f>VLOOKUP($A129,'CCRA3 Risks'!$A:$R,18,FALSE)</f>
        <v>Medium (upcoming plans for water efficiency and reducing demand, next round in water resources planning in a few years' time)</v>
      </c>
      <c r="AC129" s="202">
        <f>VLOOKUP($A129,'CCRA3 Risks'!$A:$AG,19,FALSE)</f>
        <v>0</v>
      </c>
      <c r="AD129" s="123">
        <f>VLOOKUP($A129,'CCRA3 Risks'!$A:$AG,20,FALSE)</f>
        <v>0</v>
      </c>
      <c r="AE129" s="123">
        <f>VLOOKUP($A129,'CCRA3 Risks'!$A:$AG,21,FALSE)</f>
        <v>0</v>
      </c>
      <c r="AF129" s="123" t="str">
        <f>VLOOKUP($A129,'CCRA3 Risks'!$A:$AG,22,FALSE)</f>
        <v>Y</v>
      </c>
      <c r="AG129" s="123">
        <f>VLOOKUP($A129,'CCRA3 Risks'!$A:$AG,23,FALSE)</f>
        <v>0</v>
      </c>
      <c r="AH129" s="123">
        <f>VLOOKUP($A129,'CCRA3 Risks'!$A:$AG,24,FALSE)</f>
        <v>0</v>
      </c>
      <c r="AI129" s="123">
        <f>VLOOKUP($A129,'CCRA3 Risks'!$A:$AG,25,FALSE)</f>
        <v>0</v>
      </c>
      <c r="AJ129" s="123">
        <f>VLOOKUP($A129,'CCRA3 Risks'!$A:$AG,26,FALSE)</f>
        <v>0</v>
      </c>
      <c r="AK129" s="123">
        <f>VLOOKUP($A129,'CCRA3 Risks'!$A:$AG,27,FALSE)</f>
        <v>0</v>
      </c>
      <c r="AL129" s="123">
        <f>VLOOKUP($A129,'CCRA3 Risks'!$A:$AG,28,FALSE)</f>
        <v>0</v>
      </c>
      <c r="AM129" s="123">
        <f>VLOOKUP($A129,'CCRA3 Risks'!$A:$AG,29,FALSE)</f>
        <v>0</v>
      </c>
      <c r="AN129" s="123">
        <f>VLOOKUP($A129,'CCRA3 Risks'!$A:$AG,30,FALSE)</f>
        <v>0</v>
      </c>
      <c r="AO129" s="123">
        <f>VLOOKUP($A129,'CCRA3 Risks'!$A:$AG,31,FALSE)</f>
        <v>0</v>
      </c>
      <c r="AP129" s="123">
        <f>VLOOKUP($A129,'CCRA3 Risks'!$A:$AG,32,FALSE)</f>
        <v>0</v>
      </c>
      <c r="AQ129" s="123">
        <f>VLOOKUP($A129,'CCRA3 Risks'!$A:$AG,33,FALSE)</f>
        <v>0</v>
      </c>
    </row>
    <row r="130" spans="1:43" ht="165.75" x14ac:dyDescent="0.25">
      <c r="A130" s="88" t="s">
        <v>286</v>
      </c>
      <c r="B130" s="88" t="s">
        <v>992</v>
      </c>
      <c r="C130" s="83" t="s">
        <v>993</v>
      </c>
      <c r="D130" s="83" t="s">
        <v>461</v>
      </c>
      <c r="E130" s="88" t="s">
        <v>67</v>
      </c>
      <c r="F130" s="83" t="s">
        <v>396</v>
      </c>
      <c r="G130" s="83" t="s">
        <v>30</v>
      </c>
      <c r="H130" s="83" t="s">
        <v>994</v>
      </c>
      <c r="I130" s="88"/>
      <c r="J130" s="88" t="s">
        <v>411</v>
      </c>
      <c r="K130" s="83" t="s">
        <v>995</v>
      </c>
      <c r="L130" s="83" t="s">
        <v>996</v>
      </c>
      <c r="M130" s="83" t="s">
        <v>997</v>
      </c>
      <c r="N130" s="206" t="str">
        <f>VLOOKUP($A130,'CCRA3 Risks'!$A:$R,2,FALSE)</f>
        <v>I9 Risks to energy generation from reduced water availability</v>
      </c>
      <c r="O130" s="206" t="str">
        <f>VLOOKUP($A130,'CCRA3 Risks'!$A:$R,3,FALSE)</f>
        <v>Yes</v>
      </c>
      <c r="P130" s="207">
        <f>VLOOKUP($A130,'CCRA3 Risks'!$A:$R,4,FALSE)</f>
        <v>4</v>
      </c>
      <c r="Q130" s="206" t="str">
        <f>VLOOKUP($A130,'CCRA3 Risks'!$A:$R,7,FALSE)</f>
        <v>England</v>
      </c>
      <c r="R130" s="206" t="str">
        <f>VLOOKUP($A130,'CCRA3 Risks'!$A:$R,8,FALSE)</f>
        <v>Low</v>
      </c>
      <c r="S130" s="206" t="str">
        <f>VLOOKUP($A130,'CCRA3 Risks'!$A:$R,9,FALSE)</f>
        <v>Medium</v>
      </c>
      <c r="T130" s="206" t="str">
        <f>VLOOKUP($A130,'CCRA3 Risks'!$A:$R,10,FALSE)</f>
        <v>Medium</v>
      </c>
      <c r="U130" s="206" t="str">
        <f>VLOOKUP($A130,'CCRA3 Risks'!$A:$R,11,FALSE)</f>
        <v>Medium</v>
      </c>
      <c r="V130" s="206" t="str">
        <f>VLOOKUP($A130,'CCRA3 Risks'!$A:$R,12,FALSE)</f>
        <v>High</v>
      </c>
      <c r="W130" s="206" t="str">
        <f>VLOOKUP($A130,'CCRA3 Risks'!$A:$R,13,FALSE)</f>
        <v>Partially</v>
      </c>
      <c r="X130" s="206" t="str">
        <f>VLOOKUP($A130,'CCRA3 Risks'!$A:$R,14,FALSE)</f>
        <v>Further investigation</v>
      </c>
      <c r="Y130" s="206" t="str">
        <f>VLOOKUP($A130,'CCRA3 Risks'!$A:$R,15,FALSE)</f>
        <v>Further Investigation</v>
      </c>
      <c r="Z130" s="206" t="str">
        <f>VLOOKUP($A130,'CCRA3 Risks'!$A:$R,16,FALSE)</f>
        <v>High (8)</v>
      </c>
      <c r="AA130" s="206" t="str">
        <f>VLOOKUP($A130,'CCRA3 Risks'!$A:$R,17,FALSE)</f>
        <v>Medium (Amber)</v>
      </c>
      <c r="AB130" s="206" t="str">
        <f>VLOOKUP($A130,'CCRA3 Risks'!$A:$R,18,FALSE)</f>
        <v>High (Net Zero)</v>
      </c>
      <c r="AC130" s="202">
        <f>VLOOKUP($A130,'CCRA3 Risks'!$A:$AG,19,FALSE)</f>
        <v>0</v>
      </c>
      <c r="AD130" s="123">
        <f>VLOOKUP($A130,'CCRA3 Risks'!$A:$AG,20,FALSE)</f>
        <v>0</v>
      </c>
      <c r="AE130" s="123">
        <f>VLOOKUP($A130,'CCRA3 Risks'!$A:$AG,21,FALSE)</f>
        <v>0</v>
      </c>
      <c r="AF130" s="123">
        <f>VLOOKUP($A130,'CCRA3 Risks'!$A:$AG,22,FALSE)</f>
        <v>0</v>
      </c>
      <c r="AG130" s="123" t="str">
        <f>VLOOKUP($A130,'CCRA3 Risks'!$A:$AG,23,FALSE)</f>
        <v>Y</v>
      </c>
      <c r="AH130" s="123">
        <f>VLOOKUP($A130,'CCRA3 Risks'!$A:$AG,24,FALSE)</f>
        <v>0</v>
      </c>
      <c r="AI130" s="123">
        <f>VLOOKUP($A130,'CCRA3 Risks'!$A:$AG,25,FALSE)</f>
        <v>0</v>
      </c>
      <c r="AJ130" s="123">
        <f>VLOOKUP($A130,'CCRA3 Risks'!$A:$AG,26,FALSE)</f>
        <v>0</v>
      </c>
      <c r="AK130" s="123">
        <f>VLOOKUP($A130,'CCRA3 Risks'!$A:$AG,27,FALSE)</f>
        <v>0</v>
      </c>
      <c r="AL130" s="123">
        <f>VLOOKUP($A130,'CCRA3 Risks'!$A:$AG,28,FALSE)</f>
        <v>0</v>
      </c>
      <c r="AM130" s="123">
        <f>VLOOKUP($A130,'CCRA3 Risks'!$A:$AG,29,FALSE)</f>
        <v>0</v>
      </c>
      <c r="AN130" s="123">
        <f>VLOOKUP($A130,'CCRA3 Risks'!$A:$AG,30,FALSE)</f>
        <v>0</v>
      </c>
      <c r="AO130" s="123">
        <f>VLOOKUP($A130,'CCRA3 Risks'!$A:$AG,31,FALSE)</f>
        <v>0</v>
      </c>
      <c r="AP130" s="123">
        <f>VLOOKUP($A130,'CCRA3 Risks'!$A:$AG,32,FALSE)</f>
        <v>0</v>
      </c>
      <c r="AQ130" s="123">
        <f>VLOOKUP($A130,'CCRA3 Risks'!$A:$AG,33,FALSE)</f>
        <v>0</v>
      </c>
    </row>
    <row r="131" spans="1:43" ht="153" x14ac:dyDescent="0.25">
      <c r="A131" s="88" t="s">
        <v>286</v>
      </c>
      <c r="B131" s="88" t="s">
        <v>998</v>
      </c>
      <c r="C131" s="83" t="s">
        <v>999</v>
      </c>
      <c r="D131" s="83" t="s">
        <v>461</v>
      </c>
      <c r="E131" s="88" t="s">
        <v>67</v>
      </c>
      <c r="F131" s="83" t="s">
        <v>396</v>
      </c>
      <c r="G131" s="83" t="s">
        <v>20</v>
      </c>
      <c r="H131" s="83" t="s">
        <v>1000</v>
      </c>
      <c r="I131" s="88"/>
      <c r="J131" s="88" t="s">
        <v>463</v>
      </c>
      <c r="K131" s="83" t="s">
        <v>1001</v>
      </c>
      <c r="L131" s="83" t="s">
        <v>996</v>
      </c>
      <c r="M131" s="83" t="s">
        <v>1002</v>
      </c>
      <c r="N131" s="206" t="str">
        <f>VLOOKUP($A131,'CCRA3 Risks'!$A:$R,2,FALSE)</f>
        <v>I9 Risks to energy generation from reduced water availability</v>
      </c>
      <c r="O131" s="206" t="str">
        <f>VLOOKUP($A131,'CCRA3 Risks'!$A:$R,3,FALSE)</f>
        <v>Yes</v>
      </c>
      <c r="P131" s="207">
        <f>VLOOKUP($A131,'CCRA3 Risks'!$A:$R,4,FALSE)</f>
        <v>4</v>
      </c>
      <c r="Q131" s="206" t="str">
        <f>VLOOKUP($A131,'CCRA3 Risks'!$A:$R,7,FALSE)</f>
        <v>England</v>
      </c>
      <c r="R131" s="206" t="str">
        <f>VLOOKUP($A131,'CCRA3 Risks'!$A:$R,8,FALSE)</f>
        <v>Low</v>
      </c>
      <c r="S131" s="206" t="str">
        <f>VLOOKUP($A131,'CCRA3 Risks'!$A:$R,9,FALSE)</f>
        <v>Medium</v>
      </c>
      <c r="T131" s="206" t="str">
        <f>VLOOKUP($A131,'CCRA3 Risks'!$A:$R,10,FALSE)</f>
        <v>Medium</v>
      </c>
      <c r="U131" s="206" t="str">
        <f>VLOOKUP($A131,'CCRA3 Risks'!$A:$R,11,FALSE)</f>
        <v>Medium</v>
      </c>
      <c r="V131" s="206" t="str">
        <f>VLOOKUP($A131,'CCRA3 Risks'!$A:$R,12,FALSE)</f>
        <v>High</v>
      </c>
      <c r="W131" s="206" t="str">
        <f>VLOOKUP($A131,'CCRA3 Risks'!$A:$R,13,FALSE)</f>
        <v>Partially</v>
      </c>
      <c r="X131" s="206" t="str">
        <f>VLOOKUP($A131,'CCRA3 Risks'!$A:$R,14,FALSE)</f>
        <v>Further investigation</v>
      </c>
      <c r="Y131" s="206" t="str">
        <f>VLOOKUP($A131,'CCRA3 Risks'!$A:$R,15,FALSE)</f>
        <v>Further Investigation</v>
      </c>
      <c r="Z131" s="206" t="str">
        <f>VLOOKUP($A131,'CCRA3 Risks'!$A:$R,16,FALSE)</f>
        <v>High (8)</v>
      </c>
      <c r="AA131" s="206" t="str">
        <f>VLOOKUP($A131,'CCRA3 Risks'!$A:$R,17,FALSE)</f>
        <v>Medium (Amber)</v>
      </c>
      <c r="AB131" s="206" t="str">
        <f>VLOOKUP($A131,'CCRA3 Risks'!$A:$R,18,FALSE)</f>
        <v>High (Net Zero)</v>
      </c>
      <c r="AC131" s="202">
        <f>VLOOKUP($A131,'CCRA3 Risks'!$A:$AG,19,FALSE)</f>
        <v>0</v>
      </c>
      <c r="AD131" s="123">
        <f>VLOOKUP($A131,'CCRA3 Risks'!$A:$AG,20,FALSE)</f>
        <v>0</v>
      </c>
      <c r="AE131" s="123">
        <f>VLOOKUP($A131,'CCRA3 Risks'!$A:$AG,21,FALSE)</f>
        <v>0</v>
      </c>
      <c r="AF131" s="123">
        <f>VLOOKUP($A131,'CCRA3 Risks'!$A:$AG,22,FALSE)</f>
        <v>0</v>
      </c>
      <c r="AG131" s="123" t="str">
        <f>VLOOKUP($A131,'CCRA3 Risks'!$A:$AG,23,FALSE)</f>
        <v>Y</v>
      </c>
      <c r="AH131" s="123">
        <f>VLOOKUP($A131,'CCRA3 Risks'!$A:$AG,24,FALSE)</f>
        <v>0</v>
      </c>
      <c r="AI131" s="123">
        <f>VLOOKUP($A131,'CCRA3 Risks'!$A:$AG,25,FALSE)</f>
        <v>0</v>
      </c>
      <c r="AJ131" s="123">
        <f>VLOOKUP($A131,'CCRA3 Risks'!$A:$AG,26,FALSE)</f>
        <v>0</v>
      </c>
      <c r="AK131" s="123">
        <f>VLOOKUP($A131,'CCRA3 Risks'!$A:$AG,27,FALSE)</f>
        <v>0</v>
      </c>
      <c r="AL131" s="123">
        <f>VLOOKUP($A131,'CCRA3 Risks'!$A:$AG,28,FALSE)</f>
        <v>0</v>
      </c>
      <c r="AM131" s="123">
        <f>VLOOKUP($A131,'CCRA3 Risks'!$A:$AG,29,FALSE)</f>
        <v>0</v>
      </c>
      <c r="AN131" s="123">
        <f>VLOOKUP($A131,'CCRA3 Risks'!$A:$AG,30,FALSE)</f>
        <v>0</v>
      </c>
      <c r="AO131" s="123">
        <f>VLOOKUP($A131,'CCRA3 Risks'!$A:$AG,31,FALSE)</f>
        <v>0</v>
      </c>
      <c r="AP131" s="123">
        <f>VLOOKUP($A131,'CCRA3 Risks'!$A:$AG,32,FALSE)</f>
        <v>0</v>
      </c>
      <c r="AQ131" s="123">
        <f>VLOOKUP($A131,'CCRA3 Risks'!$A:$AG,33,FALSE)</f>
        <v>0</v>
      </c>
    </row>
    <row r="132" spans="1:43" ht="38.25" x14ac:dyDescent="0.25">
      <c r="A132" s="88" t="s">
        <v>289</v>
      </c>
      <c r="B132" s="88" t="s">
        <v>1003</v>
      </c>
      <c r="C132" s="83" t="s">
        <v>1004</v>
      </c>
      <c r="D132" s="83" t="s">
        <v>461</v>
      </c>
      <c r="E132" s="88" t="s">
        <v>67</v>
      </c>
      <c r="F132" s="83" t="s">
        <v>33</v>
      </c>
      <c r="G132" s="83" t="s">
        <v>20</v>
      </c>
      <c r="H132" s="83" t="s">
        <v>1005</v>
      </c>
      <c r="I132" s="88"/>
      <c r="J132" s="88" t="s">
        <v>417</v>
      </c>
      <c r="K132" s="83" t="s">
        <v>1006</v>
      </c>
      <c r="L132" s="83" t="s">
        <v>996</v>
      </c>
      <c r="M132" s="88" t="s">
        <v>35</v>
      </c>
      <c r="N132" s="206" t="str">
        <f>VLOOKUP($A132,'CCRA3 Risks'!$A:$R,2,FALSE)</f>
        <v xml:space="preserve">I10 Risks to energy from high and low temperatures, high winds, lightning </v>
      </c>
      <c r="O132" s="206" t="str">
        <f>VLOOKUP($A132,'CCRA3 Risks'!$A:$R,3,FALSE)</f>
        <v>Yes</v>
      </c>
      <c r="P132" s="207">
        <f>VLOOKUP($A132,'CCRA3 Risks'!$A:$R,4,FALSE)</f>
        <v>4</v>
      </c>
      <c r="Q132" s="206" t="str">
        <f>VLOOKUP($A132,'CCRA3 Risks'!$A:$R,7,FALSE)</f>
        <v>England</v>
      </c>
      <c r="R132" s="206" t="str">
        <f>VLOOKUP($A132,'CCRA3 Risks'!$A:$R,8,FALSE)</f>
        <v>High</v>
      </c>
      <c r="S132" s="206" t="str">
        <f>VLOOKUP($A132,'CCRA3 Risks'!$A:$R,9,FALSE)</f>
        <v>High</v>
      </c>
      <c r="T132" s="206" t="str">
        <f>VLOOKUP($A132,'CCRA3 Risks'!$A:$R,10,FALSE)</f>
        <v>High</v>
      </c>
      <c r="U132" s="206" t="str">
        <f>VLOOKUP($A132,'CCRA3 Risks'!$A:$R,11,FALSE)</f>
        <v>High</v>
      </c>
      <c r="V132" s="206" t="str">
        <f>VLOOKUP($A132,'CCRA3 Risks'!$A:$R,12,FALSE)</f>
        <v>High</v>
      </c>
      <c r="W132" s="206" t="str">
        <f>VLOOKUP($A132,'CCRA3 Risks'!$A:$R,13,FALSE)</f>
        <v>Partially</v>
      </c>
      <c r="X132" s="206" t="str">
        <f>VLOOKUP($A132,'CCRA3 Risks'!$A:$R,14,FALSE)</f>
        <v>Further investigation</v>
      </c>
      <c r="Y132" s="206" t="str">
        <f>VLOOKUP($A132,'CCRA3 Risks'!$A:$R,15,FALSE)</f>
        <v>Further Investigation</v>
      </c>
      <c r="Z132" s="206" t="str">
        <f>VLOOKUP($A132,'CCRA3 Risks'!$A:$R,16,FALSE)</f>
        <v>High(8)</v>
      </c>
      <c r="AA132" s="206" t="str">
        <f>VLOOKUP($A132,'CCRA3 Risks'!$A:$R,17,FALSE)</f>
        <v>Medium (Amber)</v>
      </c>
      <c r="AB132" s="206" t="str">
        <f>VLOOKUP($A132,'CCRA3 Risks'!$A:$R,18,FALSE)</f>
        <v>High (Net Zero)</v>
      </c>
      <c r="AC132" s="202">
        <f>VLOOKUP($A132,'CCRA3 Risks'!$A:$AG,19,FALSE)</f>
        <v>0</v>
      </c>
      <c r="AD132" s="123">
        <f>VLOOKUP($A132,'CCRA3 Risks'!$A:$AG,20,FALSE)</f>
        <v>0</v>
      </c>
      <c r="AE132" s="123">
        <f>VLOOKUP($A132,'CCRA3 Risks'!$A:$AG,21,FALSE)</f>
        <v>0</v>
      </c>
      <c r="AF132" s="123">
        <f>VLOOKUP($A132,'CCRA3 Risks'!$A:$AG,22,FALSE)</f>
        <v>0</v>
      </c>
      <c r="AG132" s="123" t="str">
        <f>VLOOKUP($A132,'CCRA3 Risks'!$A:$AG,23,FALSE)</f>
        <v>Y</v>
      </c>
      <c r="AH132" s="123">
        <f>VLOOKUP($A132,'CCRA3 Risks'!$A:$AG,24,FALSE)</f>
        <v>0</v>
      </c>
      <c r="AI132" s="123">
        <f>VLOOKUP($A132,'CCRA3 Risks'!$A:$AG,25,FALSE)</f>
        <v>0</v>
      </c>
      <c r="AJ132" s="123">
        <f>VLOOKUP($A132,'CCRA3 Risks'!$A:$AG,26,FALSE)</f>
        <v>0</v>
      </c>
      <c r="AK132" s="123">
        <f>VLOOKUP($A132,'CCRA3 Risks'!$A:$AG,27,FALSE)</f>
        <v>0</v>
      </c>
      <c r="AL132" s="123">
        <f>VLOOKUP($A132,'CCRA3 Risks'!$A:$AG,28,FALSE)</f>
        <v>0</v>
      </c>
      <c r="AM132" s="123">
        <f>VLOOKUP($A132,'CCRA3 Risks'!$A:$AG,29,FALSE)</f>
        <v>0</v>
      </c>
      <c r="AN132" s="123">
        <f>VLOOKUP($A132,'CCRA3 Risks'!$A:$AG,30,FALSE)</f>
        <v>0</v>
      </c>
      <c r="AO132" s="123">
        <f>VLOOKUP($A132,'CCRA3 Risks'!$A:$AG,31,FALSE)</f>
        <v>0</v>
      </c>
      <c r="AP132" s="123">
        <f>VLOOKUP($A132,'CCRA3 Risks'!$A:$AG,32,FALSE)</f>
        <v>0</v>
      </c>
      <c r="AQ132" s="123">
        <f>VLOOKUP($A132,'CCRA3 Risks'!$A:$AG,33,FALSE)</f>
        <v>0</v>
      </c>
    </row>
    <row r="133" spans="1:43" ht="216.75" x14ac:dyDescent="0.25">
      <c r="A133" s="88" t="s">
        <v>289</v>
      </c>
      <c r="B133" s="88" t="s">
        <v>1007</v>
      </c>
      <c r="C133" s="83" t="s">
        <v>1008</v>
      </c>
      <c r="D133" s="83" t="s">
        <v>461</v>
      </c>
      <c r="E133" s="88" t="s">
        <v>67</v>
      </c>
      <c r="F133" s="83" t="s">
        <v>421</v>
      </c>
      <c r="G133" s="83" t="s">
        <v>30</v>
      </c>
      <c r="H133" s="83" t="s">
        <v>1009</v>
      </c>
      <c r="I133" s="88"/>
      <c r="J133" s="88" t="s">
        <v>398</v>
      </c>
      <c r="K133" s="83" t="s">
        <v>1010</v>
      </c>
      <c r="L133" s="83" t="s">
        <v>996</v>
      </c>
      <c r="M133" s="83" t="s">
        <v>1011</v>
      </c>
      <c r="N133" s="206" t="str">
        <f>VLOOKUP($A133,'CCRA3 Risks'!$A:$R,2,FALSE)</f>
        <v xml:space="preserve">I10 Risks to energy from high and low temperatures, high winds, lightning </v>
      </c>
      <c r="O133" s="206" t="str">
        <f>VLOOKUP($A133,'CCRA3 Risks'!$A:$R,3,FALSE)</f>
        <v>Yes</v>
      </c>
      <c r="P133" s="207">
        <f>VLOOKUP($A133,'CCRA3 Risks'!$A:$R,4,FALSE)</f>
        <v>4</v>
      </c>
      <c r="Q133" s="206" t="str">
        <f>VLOOKUP($A133,'CCRA3 Risks'!$A:$R,7,FALSE)</f>
        <v>England</v>
      </c>
      <c r="R133" s="206" t="str">
        <f>VLOOKUP($A133,'CCRA3 Risks'!$A:$R,8,FALSE)</f>
        <v>High</v>
      </c>
      <c r="S133" s="206" t="str">
        <f>VLOOKUP($A133,'CCRA3 Risks'!$A:$R,9,FALSE)</f>
        <v>High</v>
      </c>
      <c r="T133" s="206" t="str">
        <f>VLOOKUP($A133,'CCRA3 Risks'!$A:$R,10,FALSE)</f>
        <v>High</v>
      </c>
      <c r="U133" s="206" t="str">
        <f>VLOOKUP($A133,'CCRA3 Risks'!$A:$R,11,FALSE)</f>
        <v>High</v>
      </c>
      <c r="V133" s="206" t="str">
        <f>VLOOKUP($A133,'CCRA3 Risks'!$A:$R,12,FALSE)</f>
        <v>High</v>
      </c>
      <c r="W133" s="206" t="str">
        <f>VLOOKUP($A133,'CCRA3 Risks'!$A:$R,13,FALSE)</f>
        <v>Partially</v>
      </c>
      <c r="X133" s="206" t="str">
        <f>VLOOKUP($A133,'CCRA3 Risks'!$A:$R,14,FALSE)</f>
        <v>Further investigation</v>
      </c>
      <c r="Y133" s="206" t="str">
        <f>VLOOKUP($A133,'CCRA3 Risks'!$A:$R,15,FALSE)</f>
        <v>Further Investigation</v>
      </c>
      <c r="Z133" s="206" t="str">
        <f>VLOOKUP($A133,'CCRA3 Risks'!$A:$R,16,FALSE)</f>
        <v>High(8)</v>
      </c>
      <c r="AA133" s="206" t="str">
        <f>VLOOKUP($A133,'CCRA3 Risks'!$A:$R,17,FALSE)</f>
        <v>Medium (Amber)</v>
      </c>
      <c r="AB133" s="206" t="str">
        <f>VLOOKUP($A133,'CCRA3 Risks'!$A:$R,18,FALSE)</f>
        <v>High (Net Zero)</v>
      </c>
      <c r="AC133" s="202">
        <f>VLOOKUP($A133,'CCRA3 Risks'!$A:$AG,19,FALSE)</f>
        <v>0</v>
      </c>
      <c r="AD133" s="123">
        <f>VLOOKUP($A133,'CCRA3 Risks'!$A:$AG,20,FALSE)</f>
        <v>0</v>
      </c>
      <c r="AE133" s="123">
        <f>VLOOKUP($A133,'CCRA3 Risks'!$A:$AG,21,FALSE)</f>
        <v>0</v>
      </c>
      <c r="AF133" s="123">
        <f>VLOOKUP($A133,'CCRA3 Risks'!$A:$AG,22,FALSE)</f>
        <v>0</v>
      </c>
      <c r="AG133" s="123" t="str">
        <f>VLOOKUP($A133,'CCRA3 Risks'!$A:$AG,23,FALSE)</f>
        <v>Y</v>
      </c>
      <c r="AH133" s="123">
        <f>VLOOKUP($A133,'CCRA3 Risks'!$A:$AG,24,FALSE)</f>
        <v>0</v>
      </c>
      <c r="AI133" s="123">
        <f>VLOOKUP($A133,'CCRA3 Risks'!$A:$AG,25,FALSE)</f>
        <v>0</v>
      </c>
      <c r="AJ133" s="123">
        <f>VLOOKUP($A133,'CCRA3 Risks'!$A:$AG,26,FALSE)</f>
        <v>0</v>
      </c>
      <c r="AK133" s="123">
        <f>VLOOKUP($A133,'CCRA3 Risks'!$A:$AG,27,FALSE)</f>
        <v>0</v>
      </c>
      <c r="AL133" s="123">
        <f>VLOOKUP($A133,'CCRA3 Risks'!$A:$AG,28,FALSE)</f>
        <v>0</v>
      </c>
      <c r="AM133" s="123">
        <f>VLOOKUP($A133,'CCRA3 Risks'!$A:$AG,29,FALSE)</f>
        <v>0</v>
      </c>
      <c r="AN133" s="123">
        <f>VLOOKUP($A133,'CCRA3 Risks'!$A:$AG,30,FALSE)</f>
        <v>0</v>
      </c>
      <c r="AO133" s="123">
        <f>VLOOKUP($A133,'CCRA3 Risks'!$A:$AG,31,FALSE)</f>
        <v>0</v>
      </c>
      <c r="AP133" s="123">
        <f>VLOOKUP($A133,'CCRA3 Risks'!$A:$AG,32,FALSE)</f>
        <v>0</v>
      </c>
      <c r="AQ133" s="123">
        <f>VLOOKUP($A133,'CCRA3 Risks'!$A:$AG,33,FALSE)</f>
        <v>0</v>
      </c>
    </row>
    <row r="134" spans="1:43" ht="114.75" x14ac:dyDescent="0.25">
      <c r="A134" s="88" t="s">
        <v>289</v>
      </c>
      <c r="B134" s="88" t="s">
        <v>1012</v>
      </c>
      <c r="C134" s="83" t="s">
        <v>1013</v>
      </c>
      <c r="D134" s="83" t="s">
        <v>461</v>
      </c>
      <c r="E134" s="88" t="s">
        <v>67</v>
      </c>
      <c r="F134" s="83" t="s">
        <v>33</v>
      </c>
      <c r="G134" s="83" t="s">
        <v>20</v>
      </c>
      <c r="H134" s="83" t="s">
        <v>1014</v>
      </c>
      <c r="I134" s="88"/>
      <c r="J134" s="88" t="s">
        <v>463</v>
      </c>
      <c r="K134" s="83" t="s">
        <v>1015</v>
      </c>
      <c r="L134" s="83" t="s">
        <v>996</v>
      </c>
      <c r="M134" s="83" t="s">
        <v>1016</v>
      </c>
      <c r="N134" s="206" t="str">
        <f>VLOOKUP($A134,'CCRA3 Risks'!$A:$R,2,FALSE)</f>
        <v xml:space="preserve">I10 Risks to energy from high and low temperatures, high winds, lightning </v>
      </c>
      <c r="O134" s="206" t="str">
        <f>VLOOKUP($A134,'CCRA3 Risks'!$A:$R,3,FALSE)</f>
        <v>Yes</v>
      </c>
      <c r="P134" s="207">
        <f>VLOOKUP($A134,'CCRA3 Risks'!$A:$R,4,FALSE)</f>
        <v>4</v>
      </c>
      <c r="Q134" s="206" t="str">
        <f>VLOOKUP($A134,'CCRA3 Risks'!$A:$R,7,FALSE)</f>
        <v>England</v>
      </c>
      <c r="R134" s="206" t="str">
        <f>VLOOKUP($A134,'CCRA3 Risks'!$A:$R,8,FALSE)</f>
        <v>High</v>
      </c>
      <c r="S134" s="206" t="str">
        <f>VLOOKUP($A134,'CCRA3 Risks'!$A:$R,9,FALSE)</f>
        <v>High</v>
      </c>
      <c r="T134" s="206" t="str">
        <f>VLOOKUP($A134,'CCRA3 Risks'!$A:$R,10,FALSE)</f>
        <v>High</v>
      </c>
      <c r="U134" s="206" t="str">
        <f>VLOOKUP($A134,'CCRA3 Risks'!$A:$R,11,FALSE)</f>
        <v>High</v>
      </c>
      <c r="V134" s="206" t="str">
        <f>VLOOKUP($A134,'CCRA3 Risks'!$A:$R,12,FALSE)</f>
        <v>High</v>
      </c>
      <c r="W134" s="206" t="str">
        <f>VLOOKUP($A134,'CCRA3 Risks'!$A:$R,13,FALSE)</f>
        <v>Partially</v>
      </c>
      <c r="X134" s="206" t="str">
        <f>VLOOKUP($A134,'CCRA3 Risks'!$A:$R,14,FALSE)</f>
        <v>Further investigation</v>
      </c>
      <c r="Y134" s="206" t="str">
        <f>VLOOKUP($A134,'CCRA3 Risks'!$A:$R,15,FALSE)</f>
        <v>Further Investigation</v>
      </c>
      <c r="Z134" s="206" t="str">
        <f>VLOOKUP($A134,'CCRA3 Risks'!$A:$R,16,FALSE)</f>
        <v>High(8)</v>
      </c>
      <c r="AA134" s="206" t="str">
        <f>VLOOKUP($A134,'CCRA3 Risks'!$A:$R,17,FALSE)</f>
        <v>Medium (Amber)</v>
      </c>
      <c r="AB134" s="206" t="str">
        <f>VLOOKUP($A134,'CCRA3 Risks'!$A:$R,18,FALSE)</f>
        <v>High (Net Zero)</v>
      </c>
      <c r="AC134" s="202">
        <f>VLOOKUP($A134,'CCRA3 Risks'!$A:$AG,19,FALSE)</f>
        <v>0</v>
      </c>
      <c r="AD134" s="123">
        <f>VLOOKUP($A134,'CCRA3 Risks'!$A:$AG,20,FALSE)</f>
        <v>0</v>
      </c>
      <c r="AE134" s="123">
        <f>VLOOKUP($A134,'CCRA3 Risks'!$A:$AG,21,FALSE)</f>
        <v>0</v>
      </c>
      <c r="AF134" s="123">
        <f>VLOOKUP($A134,'CCRA3 Risks'!$A:$AG,22,FALSE)</f>
        <v>0</v>
      </c>
      <c r="AG134" s="123" t="str">
        <f>VLOOKUP($A134,'CCRA3 Risks'!$A:$AG,23,FALSE)</f>
        <v>Y</v>
      </c>
      <c r="AH134" s="123">
        <f>VLOOKUP($A134,'CCRA3 Risks'!$A:$AG,24,FALSE)</f>
        <v>0</v>
      </c>
      <c r="AI134" s="123">
        <f>VLOOKUP($A134,'CCRA3 Risks'!$A:$AG,25,FALSE)</f>
        <v>0</v>
      </c>
      <c r="AJ134" s="123">
        <f>VLOOKUP($A134,'CCRA3 Risks'!$A:$AG,26,FALSE)</f>
        <v>0</v>
      </c>
      <c r="AK134" s="123">
        <f>VLOOKUP($A134,'CCRA3 Risks'!$A:$AG,27,FALSE)</f>
        <v>0</v>
      </c>
      <c r="AL134" s="123">
        <f>VLOOKUP($A134,'CCRA3 Risks'!$A:$AG,28,FALSE)</f>
        <v>0</v>
      </c>
      <c r="AM134" s="123">
        <f>VLOOKUP($A134,'CCRA3 Risks'!$A:$AG,29,FALSE)</f>
        <v>0</v>
      </c>
      <c r="AN134" s="123">
        <f>VLOOKUP($A134,'CCRA3 Risks'!$A:$AG,30,FALSE)</f>
        <v>0</v>
      </c>
      <c r="AO134" s="123">
        <f>VLOOKUP($A134,'CCRA3 Risks'!$A:$AG,31,FALSE)</f>
        <v>0</v>
      </c>
      <c r="AP134" s="123">
        <f>VLOOKUP($A134,'CCRA3 Risks'!$A:$AG,32,FALSE)</f>
        <v>0</v>
      </c>
      <c r="AQ134" s="123">
        <f>VLOOKUP($A134,'CCRA3 Risks'!$A:$AG,33,FALSE)</f>
        <v>0</v>
      </c>
    </row>
    <row r="135" spans="1:43" ht="63.75" x14ac:dyDescent="0.25">
      <c r="A135" s="88" t="s">
        <v>289</v>
      </c>
      <c r="B135" s="88" t="s">
        <v>1017</v>
      </c>
      <c r="C135" s="83" t="s">
        <v>1018</v>
      </c>
      <c r="D135" s="83" t="s">
        <v>461</v>
      </c>
      <c r="E135" s="88" t="s">
        <v>67</v>
      </c>
      <c r="F135" s="83" t="s">
        <v>396</v>
      </c>
      <c r="G135" s="83" t="s">
        <v>20</v>
      </c>
      <c r="H135" s="83" t="s">
        <v>1019</v>
      </c>
      <c r="I135" s="88"/>
      <c r="J135" s="88" t="s">
        <v>411</v>
      </c>
      <c r="K135" s="83" t="s">
        <v>1020</v>
      </c>
      <c r="L135" s="83" t="s">
        <v>996</v>
      </c>
      <c r="M135" s="88" t="s">
        <v>700</v>
      </c>
      <c r="N135" s="206" t="str">
        <f>VLOOKUP($A135,'CCRA3 Risks'!$A:$R,2,FALSE)</f>
        <v xml:space="preserve">I10 Risks to energy from high and low temperatures, high winds, lightning </v>
      </c>
      <c r="O135" s="206" t="str">
        <f>VLOOKUP($A135,'CCRA3 Risks'!$A:$R,3,FALSE)</f>
        <v>Yes</v>
      </c>
      <c r="P135" s="207">
        <f>VLOOKUP($A135,'CCRA3 Risks'!$A:$R,4,FALSE)</f>
        <v>4</v>
      </c>
      <c r="Q135" s="206" t="str">
        <f>VLOOKUP($A135,'CCRA3 Risks'!$A:$R,7,FALSE)</f>
        <v>England</v>
      </c>
      <c r="R135" s="206" t="str">
        <f>VLOOKUP($A135,'CCRA3 Risks'!$A:$R,8,FALSE)</f>
        <v>High</v>
      </c>
      <c r="S135" s="206" t="str">
        <f>VLOOKUP($A135,'CCRA3 Risks'!$A:$R,9,FALSE)</f>
        <v>High</v>
      </c>
      <c r="T135" s="206" t="str">
        <f>VLOOKUP($A135,'CCRA3 Risks'!$A:$R,10,FALSE)</f>
        <v>High</v>
      </c>
      <c r="U135" s="206" t="str">
        <f>VLOOKUP($A135,'CCRA3 Risks'!$A:$R,11,FALSE)</f>
        <v>High</v>
      </c>
      <c r="V135" s="206" t="str">
        <f>VLOOKUP($A135,'CCRA3 Risks'!$A:$R,12,FALSE)</f>
        <v>High</v>
      </c>
      <c r="W135" s="206" t="str">
        <f>VLOOKUP($A135,'CCRA3 Risks'!$A:$R,13,FALSE)</f>
        <v>Partially</v>
      </c>
      <c r="X135" s="206" t="str">
        <f>VLOOKUP($A135,'CCRA3 Risks'!$A:$R,14,FALSE)</f>
        <v>Further investigation</v>
      </c>
      <c r="Y135" s="206" t="str">
        <f>VLOOKUP($A135,'CCRA3 Risks'!$A:$R,15,FALSE)</f>
        <v>Further Investigation</v>
      </c>
      <c r="Z135" s="206" t="str">
        <f>VLOOKUP($A135,'CCRA3 Risks'!$A:$R,16,FALSE)</f>
        <v>High(8)</v>
      </c>
      <c r="AA135" s="206" t="str">
        <f>VLOOKUP($A135,'CCRA3 Risks'!$A:$R,17,FALSE)</f>
        <v>Medium (Amber)</v>
      </c>
      <c r="AB135" s="206" t="str">
        <f>VLOOKUP($A135,'CCRA3 Risks'!$A:$R,18,FALSE)</f>
        <v>High (Net Zero)</v>
      </c>
      <c r="AC135" s="202">
        <f>VLOOKUP($A135,'CCRA3 Risks'!$A:$AG,19,FALSE)</f>
        <v>0</v>
      </c>
      <c r="AD135" s="123">
        <f>VLOOKUP($A135,'CCRA3 Risks'!$A:$AG,20,FALSE)</f>
        <v>0</v>
      </c>
      <c r="AE135" s="123">
        <f>VLOOKUP($A135,'CCRA3 Risks'!$A:$AG,21,FALSE)</f>
        <v>0</v>
      </c>
      <c r="AF135" s="123">
        <f>VLOOKUP($A135,'CCRA3 Risks'!$A:$AG,22,FALSE)</f>
        <v>0</v>
      </c>
      <c r="AG135" s="123" t="str">
        <f>VLOOKUP($A135,'CCRA3 Risks'!$A:$AG,23,FALSE)</f>
        <v>Y</v>
      </c>
      <c r="AH135" s="123">
        <f>VLOOKUP($A135,'CCRA3 Risks'!$A:$AG,24,FALSE)</f>
        <v>0</v>
      </c>
      <c r="AI135" s="123">
        <f>VLOOKUP($A135,'CCRA3 Risks'!$A:$AG,25,FALSE)</f>
        <v>0</v>
      </c>
      <c r="AJ135" s="123">
        <f>VLOOKUP($A135,'CCRA3 Risks'!$A:$AG,26,FALSE)</f>
        <v>0</v>
      </c>
      <c r="AK135" s="123">
        <f>VLOOKUP($A135,'CCRA3 Risks'!$A:$AG,27,FALSE)</f>
        <v>0</v>
      </c>
      <c r="AL135" s="123">
        <f>VLOOKUP($A135,'CCRA3 Risks'!$A:$AG,28,FALSE)</f>
        <v>0</v>
      </c>
      <c r="AM135" s="123">
        <f>VLOOKUP($A135,'CCRA3 Risks'!$A:$AG,29,FALSE)</f>
        <v>0</v>
      </c>
      <c r="AN135" s="123">
        <f>VLOOKUP($A135,'CCRA3 Risks'!$A:$AG,30,FALSE)</f>
        <v>0</v>
      </c>
      <c r="AO135" s="123">
        <f>VLOOKUP($A135,'CCRA3 Risks'!$A:$AG,31,FALSE)</f>
        <v>0</v>
      </c>
      <c r="AP135" s="123">
        <f>VLOOKUP($A135,'CCRA3 Risks'!$A:$AG,32,FALSE)</f>
        <v>0</v>
      </c>
      <c r="AQ135" s="123">
        <f>VLOOKUP($A135,'CCRA3 Risks'!$A:$AG,33,FALSE)</f>
        <v>0</v>
      </c>
    </row>
    <row r="136" spans="1:43" ht="51" x14ac:dyDescent="0.25">
      <c r="A136" s="88" t="s">
        <v>292</v>
      </c>
      <c r="B136" s="88" t="s">
        <v>1021</v>
      </c>
      <c r="C136" s="83" t="s">
        <v>1022</v>
      </c>
      <c r="D136" s="83" t="s">
        <v>461</v>
      </c>
      <c r="E136" s="88" t="s">
        <v>67</v>
      </c>
      <c r="F136" s="83" t="s">
        <v>396</v>
      </c>
      <c r="G136" s="83" t="s">
        <v>53</v>
      </c>
      <c r="H136" s="83" t="s">
        <v>1023</v>
      </c>
      <c r="I136" s="88"/>
      <c r="J136" s="88" t="s">
        <v>398</v>
      </c>
      <c r="K136" s="83" t="s">
        <v>1024</v>
      </c>
      <c r="L136" s="88" t="s">
        <v>700</v>
      </c>
      <c r="M136" s="88" t="s">
        <v>700</v>
      </c>
      <c r="N136" s="206" t="str">
        <f>VLOOKUP($A136,'CCRA3 Risks'!$A:$R,2,FALSE)</f>
        <v xml:space="preserve">I11 Risks to offshore infrastructure from storms and high waves </v>
      </c>
      <c r="O136" s="206" t="str">
        <f>VLOOKUP($A136,'CCRA3 Risks'!$A:$R,3,FALSE)</f>
        <v>Yes</v>
      </c>
      <c r="P136" s="207">
        <f>VLOOKUP($A136,'CCRA3 Risks'!$A:$R,4,FALSE)</f>
        <v>4</v>
      </c>
      <c r="Q136" s="206" t="str">
        <f>VLOOKUP($A136,'CCRA3 Risks'!$A:$R,7,FALSE)</f>
        <v>England</v>
      </c>
      <c r="R136" s="206" t="str">
        <f>VLOOKUP($A136,'CCRA3 Risks'!$A:$R,8,FALSE)</f>
        <v>Low</v>
      </c>
      <c r="S136" s="206" t="str">
        <f>VLOOKUP($A136,'CCRA3 Risks'!$A:$R,9,FALSE)</f>
        <v>Medium</v>
      </c>
      <c r="T136" s="206" t="str">
        <f>VLOOKUP($A136,'CCRA3 Risks'!$A:$R,10,FALSE)</f>
        <v>Medium</v>
      </c>
      <c r="U136" s="206" t="str">
        <f>VLOOKUP($A136,'CCRA3 Risks'!$A:$R,11,FALSE)</f>
        <v>Medium</v>
      </c>
      <c r="V136" s="206" t="str">
        <f>VLOOKUP($A136,'CCRA3 Risks'!$A:$R,12,FALSE)</f>
        <v>Medium</v>
      </c>
      <c r="W136" s="206" t="str">
        <f>VLOOKUP($A136,'CCRA3 Risks'!$A:$R,13,FALSE)</f>
        <v>Yes</v>
      </c>
      <c r="X136" s="206" t="str">
        <f>VLOOKUP($A136,'CCRA3 Risks'!$A:$R,14,FALSE)</f>
        <v>Sustain current action</v>
      </c>
      <c r="Y136" s="206" t="str">
        <f>VLOOKUP($A136,'CCRA3 Risks'!$A:$R,15,FALSE)</f>
        <v>Sustain current action</v>
      </c>
      <c r="Z136" s="206" t="str">
        <f>VLOOKUP($A136,'CCRA3 Risks'!$A:$R,16,FALSE)</f>
        <v>High (8)</v>
      </c>
      <c r="AA136" s="206" t="str">
        <f>VLOOKUP($A136,'CCRA3 Risks'!$A:$R,17,FALSE)</f>
        <v>Medium (Amber)</v>
      </c>
      <c r="AB136" s="206" t="str">
        <f>VLOOKUP($A136,'CCRA3 Risks'!$A:$R,18,FALSE)</f>
        <v>High (Net Zero)</v>
      </c>
      <c r="AC136" s="202">
        <f>VLOOKUP($A136,'CCRA3 Risks'!$A:$AG,19,FALSE)</f>
        <v>0</v>
      </c>
      <c r="AD136" s="123">
        <f>VLOOKUP($A136,'CCRA3 Risks'!$A:$AG,20,FALSE)</f>
        <v>0</v>
      </c>
      <c r="AE136" s="123">
        <f>VLOOKUP($A136,'CCRA3 Risks'!$A:$AG,21,FALSE)</f>
        <v>0</v>
      </c>
      <c r="AF136" s="123">
        <f>VLOOKUP($A136,'CCRA3 Risks'!$A:$AG,22,FALSE)</f>
        <v>0</v>
      </c>
      <c r="AG136" s="123" t="str">
        <f>VLOOKUP($A136,'CCRA3 Risks'!$A:$AG,23,FALSE)</f>
        <v>Y</v>
      </c>
      <c r="AH136" s="123">
        <f>VLOOKUP($A136,'CCRA3 Risks'!$A:$AG,24,FALSE)</f>
        <v>0</v>
      </c>
      <c r="AI136" s="123">
        <f>VLOOKUP($A136,'CCRA3 Risks'!$A:$AG,25,FALSE)</f>
        <v>0</v>
      </c>
      <c r="AJ136" s="123">
        <f>VLOOKUP($A136,'CCRA3 Risks'!$A:$AG,26,FALSE)</f>
        <v>0</v>
      </c>
      <c r="AK136" s="123">
        <f>VLOOKUP($A136,'CCRA3 Risks'!$A:$AG,27,FALSE)</f>
        <v>0</v>
      </c>
      <c r="AL136" s="123">
        <f>VLOOKUP($A136,'CCRA3 Risks'!$A:$AG,28,FALSE)</f>
        <v>0</v>
      </c>
      <c r="AM136" s="123">
        <f>VLOOKUP($A136,'CCRA3 Risks'!$A:$AG,29,FALSE)</f>
        <v>0</v>
      </c>
      <c r="AN136" s="123">
        <f>VLOOKUP($A136,'CCRA3 Risks'!$A:$AG,30,FALSE)</f>
        <v>0</v>
      </c>
      <c r="AO136" s="123">
        <f>VLOOKUP($A136,'CCRA3 Risks'!$A:$AG,31,FALSE)</f>
        <v>0</v>
      </c>
      <c r="AP136" s="123">
        <f>VLOOKUP($A136,'CCRA3 Risks'!$A:$AG,32,FALSE)</f>
        <v>0</v>
      </c>
      <c r="AQ136" s="123">
        <f>VLOOKUP($A136,'CCRA3 Risks'!$A:$AG,33,FALSE)</f>
        <v>0</v>
      </c>
    </row>
    <row r="137" spans="1:43" ht="102" x14ac:dyDescent="0.25">
      <c r="A137" s="88" t="s">
        <v>292</v>
      </c>
      <c r="B137" s="88" t="s">
        <v>1025</v>
      </c>
      <c r="C137" s="83" t="s">
        <v>1026</v>
      </c>
      <c r="D137" s="83" t="s">
        <v>461</v>
      </c>
      <c r="E137" s="88" t="s">
        <v>67</v>
      </c>
      <c r="F137" s="83" t="s">
        <v>33</v>
      </c>
      <c r="G137" s="83" t="s">
        <v>20</v>
      </c>
      <c r="H137" s="83" t="s">
        <v>1027</v>
      </c>
      <c r="I137" s="88"/>
      <c r="J137" s="88" t="s">
        <v>463</v>
      </c>
      <c r="K137" s="83" t="s">
        <v>1028</v>
      </c>
      <c r="L137" s="88" t="s">
        <v>700</v>
      </c>
      <c r="M137" s="88" t="s">
        <v>1029</v>
      </c>
      <c r="N137" s="206" t="str">
        <f>VLOOKUP($A137,'CCRA3 Risks'!$A:$R,2,FALSE)</f>
        <v xml:space="preserve">I11 Risks to offshore infrastructure from storms and high waves </v>
      </c>
      <c r="O137" s="206" t="str">
        <f>VLOOKUP($A137,'CCRA3 Risks'!$A:$R,3,FALSE)</f>
        <v>Yes</v>
      </c>
      <c r="P137" s="207">
        <f>VLOOKUP($A137,'CCRA3 Risks'!$A:$R,4,FALSE)</f>
        <v>4</v>
      </c>
      <c r="Q137" s="206" t="str">
        <f>VLOOKUP($A137,'CCRA3 Risks'!$A:$R,7,FALSE)</f>
        <v>England</v>
      </c>
      <c r="R137" s="206" t="str">
        <f>VLOOKUP($A137,'CCRA3 Risks'!$A:$R,8,FALSE)</f>
        <v>Low</v>
      </c>
      <c r="S137" s="206" t="str">
        <f>VLOOKUP($A137,'CCRA3 Risks'!$A:$R,9,FALSE)</f>
        <v>Medium</v>
      </c>
      <c r="T137" s="206" t="str">
        <f>VLOOKUP($A137,'CCRA3 Risks'!$A:$R,10,FALSE)</f>
        <v>Medium</v>
      </c>
      <c r="U137" s="206" t="str">
        <f>VLOOKUP($A137,'CCRA3 Risks'!$A:$R,11,FALSE)</f>
        <v>Medium</v>
      </c>
      <c r="V137" s="206" t="str">
        <f>VLOOKUP($A137,'CCRA3 Risks'!$A:$R,12,FALSE)</f>
        <v>Medium</v>
      </c>
      <c r="W137" s="206" t="str">
        <f>VLOOKUP($A137,'CCRA3 Risks'!$A:$R,13,FALSE)</f>
        <v>Yes</v>
      </c>
      <c r="X137" s="206" t="str">
        <f>VLOOKUP($A137,'CCRA3 Risks'!$A:$R,14,FALSE)</f>
        <v>Sustain current action</v>
      </c>
      <c r="Y137" s="206" t="str">
        <f>VLOOKUP($A137,'CCRA3 Risks'!$A:$R,15,FALSE)</f>
        <v>Sustain current action</v>
      </c>
      <c r="Z137" s="206" t="str">
        <f>VLOOKUP($A137,'CCRA3 Risks'!$A:$R,16,FALSE)</f>
        <v>High (8)</v>
      </c>
      <c r="AA137" s="206" t="str">
        <f>VLOOKUP($A137,'CCRA3 Risks'!$A:$R,17,FALSE)</f>
        <v>Medium (Amber)</v>
      </c>
      <c r="AB137" s="206" t="str">
        <f>VLOOKUP($A137,'CCRA3 Risks'!$A:$R,18,FALSE)</f>
        <v>High (Net Zero)</v>
      </c>
      <c r="AC137" s="202">
        <f>VLOOKUP($A137,'CCRA3 Risks'!$A:$AG,19,FALSE)</f>
        <v>0</v>
      </c>
      <c r="AD137" s="123">
        <f>VLOOKUP($A137,'CCRA3 Risks'!$A:$AG,20,FALSE)</f>
        <v>0</v>
      </c>
      <c r="AE137" s="123">
        <f>VLOOKUP($A137,'CCRA3 Risks'!$A:$AG,21,FALSE)</f>
        <v>0</v>
      </c>
      <c r="AF137" s="123">
        <f>VLOOKUP($A137,'CCRA3 Risks'!$A:$AG,22,FALSE)</f>
        <v>0</v>
      </c>
      <c r="AG137" s="123" t="str">
        <f>VLOOKUP($A137,'CCRA3 Risks'!$A:$AG,23,FALSE)</f>
        <v>Y</v>
      </c>
      <c r="AH137" s="123">
        <f>VLOOKUP($A137,'CCRA3 Risks'!$A:$AG,24,FALSE)</f>
        <v>0</v>
      </c>
      <c r="AI137" s="123">
        <f>VLOOKUP($A137,'CCRA3 Risks'!$A:$AG,25,FALSE)</f>
        <v>0</v>
      </c>
      <c r="AJ137" s="123">
        <f>VLOOKUP($A137,'CCRA3 Risks'!$A:$AG,26,FALSE)</f>
        <v>0</v>
      </c>
      <c r="AK137" s="123">
        <f>VLOOKUP($A137,'CCRA3 Risks'!$A:$AG,27,FALSE)</f>
        <v>0</v>
      </c>
      <c r="AL137" s="123">
        <f>VLOOKUP($A137,'CCRA3 Risks'!$A:$AG,28,FALSE)</f>
        <v>0</v>
      </c>
      <c r="AM137" s="123">
        <f>VLOOKUP($A137,'CCRA3 Risks'!$A:$AG,29,FALSE)</f>
        <v>0</v>
      </c>
      <c r="AN137" s="123">
        <f>VLOOKUP($A137,'CCRA3 Risks'!$A:$AG,30,FALSE)</f>
        <v>0</v>
      </c>
      <c r="AO137" s="123">
        <f>VLOOKUP($A137,'CCRA3 Risks'!$A:$AG,31,FALSE)</f>
        <v>0</v>
      </c>
      <c r="AP137" s="123">
        <f>VLOOKUP($A137,'CCRA3 Risks'!$A:$AG,32,FALSE)</f>
        <v>0</v>
      </c>
      <c r="AQ137" s="123">
        <f>VLOOKUP($A137,'CCRA3 Risks'!$A:$AG,33,FALSE)</f>
        <v>0</v>
      </c>
    </row>
    <row r="138" spans="1:43" ht="76.5" x14ac:dyDescent="0.25">
      <c r="A138" s="88" t="s">
        <v>295</v>
      </c>
      <c r="B138" s="88" t="s">
        <v>1030</v>
      </c>
      <c r="C138" s="83" t="s">
        <v>1031</v>
      </c>
      <c r="D138" s="83" t="s">
        <v>461</v>
      </c>
      <c r="E138" s="88" t="s">
        <v>67</v>
      </c>
      <c r="F138" s="83" t="s">
        <v>396</v>
      </c>
      <c r="G138" s="83" t="s">
        <v>53</v>
      </c>
      <c r="H138" s="83" t="s">
        <v>1032</v>
      </c>
      <c r="I138" s="88"/>
      <c r="J138" s="88" t="s">
        <v>398</v>
      </c>
      <c r="K138" s="83" t="s">
        <v>1033</v>
      </c>
      <c r="L138" s="88" t="s">
        <v>938</v>
      </c>
      <c r="M138" s="83" t="s">
        <v>939</v>
      </c>
      <c r="N138" s="206" t="str">
        <f>VLOOKUP($A138,'CCRA3 Risks'!$A:$R,2,FALSE)</f>
        <v>I12 Risks to transport from high and low temperatures, high winds, lightning</v>
      </c>
      <c r="O138" s="206" t="str">
        <f>VLOOKUP($A138,'CCRA3 Risks'!$A:$R,3,FALSE)</f>
        <v>No</v>
      </c>
      <c r="P138" s="207">
        <f>VLOOKUP($A138,'CCRA3 Risks'!$A:$R,4,FALSE)</f>
        <v>4</v>
      </c>
      <c r="Q138" s="206" t="str">
        <f>VLOOKUP($A138,'CCRA3 Risks'!$A:$R,7,FALSE)</f>
        <v>England</v>
      </c>
      <c r="R138" s="206" t="str">
        <f>VLOOKUP($A138,'CCRA3 Risks'!$A:$R,8,FALSE)</f>
        <v>Medium</v>
      </c>
      <c r="S138" s="206" t="str">
        <f>VLOOKUP($A138,'CCRA3 Risks'!$A:$R,9,FALSE)</f>
        <v>High</v>
      </c>
      <c r="T138" s="206" t="str">
        <f>VLOOKUP($A138,'CCRA3 Risks'!$A:$R,10,FALSE)</f>
        <v>High</v>
      </c>
      <c r="U138" s="206" t="str">
        <f>VLOOKUP($A138,'CCRA3 Risks'!$A:$R,11,FALSE)</f>
        <v>High</v>
      </c>
      <c r="V138" s="206" t="str">
        <f>VLOOKUP($A138,'CCRA3 Risks'!$A:$R,12,FALSE)</f>
        <v>High</v>
      </c>
      <c r="W138" s="206" t="str">
        <f>VLOOKUP($A138,'CCRA3 Risks'!$A:$R,13,FALSE)</f>
        <v>Partially</v>
      </c>
      <c r="X138" s="206" t="str">
        <f>VLOOKUP($A138,'CCRA3 Risks'!$A:$R,14,FALSE)</f>
        <v>More action needed</v>
      </c>
      <c r="Y138" s="206" t="str">
        <f>VLOOKUP($A138,'CCRA3 Risks'!$A:$R,15,FALSE)</f>
        <v>More action needed</v>
      </c>
      <c r="Z138" s="206" t="str">
        <f>VLOOKUP($A138,'CCRA3 Risks'!$A:$R,16,FALSE)</f>
        <v>Medium (5)</v>
      </c>
      <c r="AA138" s="206" t="str">
        <f>VLOOKUP($A138,'CCRA3 Risks'!$A:$R,17,FALSE)</f>
        <v>High (Green)</v>
      </c>
      <c r="AB138" s="206" t="str">
        <f>VLOOKUP($A138,'CCRA3 Risks'!$A:$R,18,FALSE)</f>
        <v>Low (no key policies in the next two years)</v>
      </c>
      <c r="AC138" s="202">
        <f>VLOOKUP($A138,'CCRA3 Risks'!$A:$AG,19,FALSE)</f>
        <v>0</v>
      </c>
      <c r="AD138" s="123">
        <f>VLOOKUP($A138,'CCRA3 Risks'!$A:$AG,20,FALSE)</f>
        <v>0</v>
      </c>
      <c r="AE138" s="123">
        <f>VLOOKUP($A138,'CCRA3 Risks'!$A:$AG,21,FALSE)</f>
        <v>0</v>
      </c>
      <c r="AF138" s="123">
        <f>VLOOKUP($A138,'CCRA3 Risks'!$A:$AG,22,FALSE)</f>
        <v>0</v>
      </c>
      <c r="AG138" s="123">
        <f>VLOOKUP($A138,'CCRA3 Risks'!$A:$AG,23,FALSE)</f>
        <v>0</v>
      </c>
      <c r="AH138" s="123">
        <f>VLOOKUP($A138,'CCRA3 Risks'!$A:$AG,24,FALSE)</f>
        <v>0</v>
      </c>
      <c r="AI138" s="123" t="str">
        <f>VLOOKUP($A138,'CCRA3 Risks'!$A:$AG,25,FALSE)</f>
        <v>Y</v>
      </c>
      <c r="AJ138" s="123">
        <f>VLOOKUP($A138,'CCRA3 Risks'!$A:$AG,26,FALSE)</f>
        <v>0</v>
      </c>
      <c r="AK138" s="123">
        <f>VLOOKUP($A138,'CCRA3 Risks'!$A:$AG,27,FALSE)</f>
        <v>0</v>
      </c>
      <c r="AL138" s="123">
        <f>VLOOKUP($A138,'CCRA3 Risks'!$A:$AG,28,FALSE)</f>
        <v>0</v>
      </c>
      <c r="AM138" s="123">
        <f>VLOOKUP($A138,'CCRA3 Risks'!$A:$AG,29,FALSE)</f>
        <v>0</v>
      </c>
      <c r="AN138" s="123">
        <f>VLOOKUP($A138,'CCRA3 Risks'!$A:$AG,30,FALSE)</f>
        <v>0</v>
      </c>
      <c r="AO138" s="123">
        <f>VLOOKUP($A138,'CCRA3 Risks'!$A:$AG,31,FALSE)</f>
        <v>0</v>
      </c>
      <c r="AP138" s="123">
        <f>VLOOKUP($A138,'CCRA3 Risks'!$A:$AG,32,FALSE)</f>
        <v>0</v>
      </c>
      <c r="AQ138" s="123">
        <f>VLOOKUP($A138,'CCRA3 Risks'!$A:$AG,33,FALSE)</f>
        <v>0</v>
      </c>
    </row>
    <row r="139" spans="1:43" ht="255" x14ac:dyDescent="0.25">
      <c r="A139" s="88" t="s">
        <v>295</v>
      </c>
      <c r="B139" s="88" t="s">
        <v>1034</v>
      </c>
      <c r="C139" s="83" t="s">
        <v>1035</v>
      </c>
      <c r="D139" s="83" t="s">
        <v>461</v>
      </c>
      <c r="E139" s="88" t="s">
        <v>67</v>
      </c>
      <c r="F139" s="83" t="s">
        <v>421</v>
      </c>
      <c r="G139" s="83" t="s">
        <v>53</v>
      </c>
      <c r="H139" s="83" t="s">
        <v>1036</v>
      </c>
      <c r="I139" s="88"/>
      <c r="J139" s="88" t="s">
        <v>398</v>
      </c>
      <c r="K139" s="83" t="s">
        <v>1037</v>
      </c>
      <c r="L139" s="88" t="s">
        <v>938</v>
      </c>
      <c r="M139" s="88" t="s">
        <v>1038</v>
      </c>
      <c r="N139" s="206" t="str">
        <f>VLOOKUP($A139,'CCRA3 Risks'!$A:$R,2,FALSE)</f>
        <v>I12 Risks to transport from high and low temperatures, high winds, lightning</v>
      </c>
      <c r="O139" s="206" t="str">
        <f>VLOOKUP($A139,'CCRA3 Risks'!$A:$R,3,FALSE)</f>
        <v>No</v>
      </c>
      <c r="P139" s="207">
        <f>VLOOKUP($A139,'CCRA3 Risks'!$A:$R,4,FALSE)</f>
        <v>4</v>
      </c>
      <c r="Q139" s="206" t="str">
        <f>VLOOKUP($A139,'CCRA3 Risks'!$A:$R,7,FALSE)</f>
        <v>England</v>
      </c>
      <c r="R139" s="206" t="str">
        <f>VLOOKUP($A139,'CCRA3 Risks'!$A:$R,8,FALSE)</f>
        <v>Medium</v>
      </c>
      <c r="S139" s="206" t="str">
        <f>VLOOKUP($A139,'CCRA3 Risks'!$A:$R,9,FALSE)</f>
        <v>High</v>
      </c>
      <c r="T139" s="206" t="str">
        <f>VLOOKUP($A139,'CCRA3 Risks'!$A:$R,10,FALSE)</f>
        <v>High</v>
      </c>
      <c r="U139" s="206" t="str">
        <f>VLOOKUP($A139,'CCRA3 Risks'!$A:$R,11,FALSE)</f>
        <v>High</v>
      </c>
      <c r="V139" s="206" t="str">
        <f>VLOOKUP($A139,'CCRA3 Risks'!$A:$R,12,FALSE)</f>
        <v>High</v>
      </c>
      <c r="W139" s="206" t="str">
        <f>VLOOKUP($A139,'CCRA3 Risks'!$A:$R,13,FALSE)</f>
        <v>Partially</v>
      </c>
      <c r="X139" s="206" t="str">
        <f>VLOOKUP($A139,'CCRA3 Risks'!$A:$R,14,FALSE)</f>
        <v>More action needed</v>
      </c>
      <c r="Y139" s="206" t="str">
        <f>VLOOKUP($A139,'CCRA3 Risks'!$A:$R,15,FALSE)</f>
        <v>More action needed</v>
      </c>
      <c r="Z139" s="206" t="str">
        <f>VLOOKUP($A139,'CCRA3 Risks'!$A:$R,16,FALSE)</f>
        <v>Medium (5)</v>
      </c>
      <c r="AA139" s="206" t="str">
        <f>VLOOKUP($A139,'CCRA3 Risks'!$A:$R,17,FALSE)</f>
        <v>High (Green)</v>
      </c>
      <c r="AB139" s="206" t="str">
        <f>VLOOKUP($A139,'CCRA3 Risks'!$A:$R,18,FALSE)</f>
        <v>Low (no key policies in the next two years)</v>
      </c>
      <c r="AC139" s="202">
        <f>VLOOKUP($A139,'CCRA3 Risks'!$A:$AG,19,FALSE)</f>
        <v>0</v>
      </c>
      <c r="AD139" s="123">
        <f>VLOOKUP($A139,'CCRA3 Risks'!$A:$AG,20,FALSE)</f>
        <v>0</v>
      </c>
      <c r="AE139" s="123">
        <f>VLOOKUP($A139,'CCRA3 Risks'!$A:$AG,21,FALSE)</f>
        <v>0</v>
      </c>
      <c r="AF139" s="123">
        <f>VLOOKUP($A139,'CCRA3 Risks'!$A:$AG,22,FALSE)</f>
        <v>0</v>
      </c>
      <c r="AG139" s="123">
        <f>VLOOKUP($A139,'CCRA3 Risks'!$A:$AG,23,FALSE)</f>
        <v>0</v>
      </c>
      <c r="AH139" s="123">
        <f>VLOOKUP($A139,'CCRA3 Risks'!$A:$AG,24,FALSE)</f>
        <v>0</v>
      </c>
      <c r="AI139" s="123" t="str">
        <f>VLOOKUP($A139,'CCRA3 Risks'!$A:$AG,25,FALSE)</f>
        <v>Y</v>
      </c>
      <c r="AJ139" s="123">
        <f>VLOOKUP($A139,'CCRA3 Risks'!$A:$AG,26,FALSE)</f>
        <v>0</v>
      </c>
      <c r="AK139" s="123">
        <f>VLOOKUP($A139,'CCRA3 Risks'!$A:$AG,27,FALSE)</f>
        <v>0</v>
      </c>
      <c r="AL139" s="123">
        <f>VLOOKUP($A139,'CCRA3 Risks'!$A:$AG,28,FALSE)</f>
        <v>0</v>
      </c>
      <c r="AM139" s="123">
        <f>VLOOKUP($A139,'CCRA3 Risks'!$A:$AG,29,FALSE)</f>
        <v>0</v>
      </c>
      <c r="AN139" s="123">
        <f>VLOOKUP($A139,'CCRA3 Risks'!$A:$AG,30,FALSE)</f>
        <v>0</v>
      </c>
      <c r="AO139" s="123">
        <f>VLOOKUP($A139,'CCRA3 Risks'!$A:$AG,31,FALSE)</f>
        <v>0</v>
      </c>
      <c r="AP139" s="123">
        <f>VLOOKUP($A139,'CCRA3 Risks'!$A:$AG,32,FALSE)</f>
        <v>0</v>
      </c>
      <c r="AQ139" s="123">
        <f>VLOOKUP($A139,'CCRA3 Risks'!$A:$AG,33,FALSE)</f>
        <v>0</v>
      </c>
    </row>
    <row r="140" spans="1:43" ht="89.25" x14ac:dyDescent="0.25">
      <c r="A140" s="88" t="s">
        <v>295</v>
      </c>
      <c r="B140" s="88" t="s">
        <v>1039</v>
      </c>
      <c r="C140" s="83" t="s">
        <v>1040</v>
      </c>
      <c r="D140" s="83" t="s">
        <v>403</v>
      </c>
      <c r="E140" s="88" t="s">
        <v>67</v>
      </c>
      <c r="F140" s="83" t="s">
        <v>421</v>
      </c>
      <c r="G140" s="83" t="s">
        <v>53</v>
      </c>
      <c r="H140" s="83" t="s">
        <v>1041</v>
      </c>
      <c r="I140" s="88"/>
      <c r="J140" s="88" t="s">
        <v>463</v>
      </c>
      <c r="K140" s="83" t="s">
        <v>1042</v>
      </c>
      <c r="L140" s="88" t="s">
        <v>938</v>
      </c>
      <c r="M140" s="83" t="s">
        <v>35</v>
      </c>
      <c r="N140" s="206" t="str">
        <f>VLOOKUP($A140,'CCRA3 Risks'!$A:$R,2,FALSE)</f>
        <v>I12 Risks to transport from high and low temperatures, high winds, lightning</v>
      </c>
      <c r="O140" s="206" t="str">
        <f>VLOOKUP($A140,'CCRA3 Risks'!$A:$R,3,FALSE)</f>
        <v>No</v>
      </c>
      <c r="P140" s="207">
        <f>VLOOKUP($A140,'CCRA3 Risks'!$A:$R,4,FALSE)</f>
        <v>4</v>
      </c>
      <c r="Q140" s="206" t="str">
        <f>VLOOKUP($A140,'CCRA3 Risks'!$A:$R,7,FALSE)</f>
        <v>England</v>
      </c>
      <c r="R140" s="206" t="str">
        <f>VLOOKUP($A140,'CCRA3 Risks'!$A:$R,8,FALSE)</f>
        <v>Medium</v>
      </c>
      <c r="S140" s="206" t="str">
        <f>VLOOKUP($A140,'CCRA3 Risks'!$A:$R,9,FALSE)</f>
        <v>High</v>
      </c>
      <c r="T140" s="206" t="str">
        <f>VLOOKUP($A140,'CCRA3 Risks'!$A:$R,10,FALSE)</f>
        <v>High</v>
      </c>
      <c r="U140" s="206" t="str">
        <f>VLOOKUP($A140,'CCRA3 Risks'!$A:$R,11,FALSE)</f>
        <v>High</v>
      </c>
      <c r="V140" s="206" t="str">
        <f>VLOOKUP($A140,'CCRA3 Risks'!$A:$R,12,FALSE)</f>
        <v>High</v>
      </c>
      <c r="W140" s="206" t="str">
        <f>VLOOKUP($A140,'CCRA3 Risks'!$A:$R,13,FALSE)</f>
        <v>Partially</v>
      </c>
      <c r="X140" s="206" t="str">
        <f>VLOOKUP($A140,'CCRA3 Risks'!$A:$R,14,FALSE)</f>
        <v>More action needed</v>
      </c>
      <c r="Y140" s="206" t="str">
        <f>VLOOKUP($A140,'CCRA3 Risks'!$A:$R,15,FALSE)</f>
        <v>More action needed</v>
      </c>
      <c r="Z140" s="206" t="str">
        <f>VLOOKUP($A140,'CCRA3 Risks'!$A:$R,16,FALSE)</f>
        <v>Medium (5)</v>
      </c>
      <c r="AA140" s="206" t="str">
        <f>VLOOKUP($A140,'CCRA3 Risks'!$A:$R,17,FALSE)</f>
        <v>High (Green)</v>
      </c>
      <c r="AB140" s="206" t="str">
        <f>VLOOKUP($A140,'CCRA3 Risks'!$A:$R,18,FALSE)</f>
        <v>Low (no key policies in the next two years)</v>
      </c>
      <c r="AC140" s="202">
        <f>VLOOKUP($A140,'CCRA3 Risks'!$A:$AG,19,FALSE)</f>
        <v>0</v>
      </c>
      <c r="AD140" s="123">
        <f>VLOOKUP($A140,'CCRA3 Risks'!$A:$AG,20,FALSE)</f>
        <v>0</v>
      </c>
      <c r="AE140" s="123">
        <f>VLOOKUP($A140,'CCRA3 Risks'!$A:$AG,21,FALSE)</f>
        <v>0</v>
      </c>
      <c r="AF140" s="123">
        <f>VLOOKUP($A140,'CCRA3 Risks'!$A:$AG,22,FALSE)</f>
        <v>0</v>
      </c>
      <c r="AG140" s="123">
        <f>VLOOKUP($A140,'CCRA3 Risks'!$A:$AG,23,FALSE)</f>
        <v>0</v>
      </c>
      <c r="AH140" s="123">
        <f>VLOOKUP($A140,'CCRA3 Risks'!$A:$AG,24,FALSE)</f>
        <v>0</v>
      </c>
      <c r="AI140" s="123" t="str">
        <f>VLOOKUP($A140,'CCRA3 Risks'!$A:$AG,25,FALSE)</f>
        <v>Y</v>
      </c>
      <c r="AJ140" s="123">
        <f>VLOOKUP($A140,'CCRA3 Risks'!$A:$AG,26,FALSE)</f>
        <v>0</v>
      </c>
      <c r="AK140" s="123">
        <f>VLOOKUP($A140,'CCRA3 Risks'!$A:$AG,27,FALSE)</f>
        <v>0</v>
      </c>
      <c r="AL140" s="123">
        <f>VLOOKUP($A140,'CCRA3 Risks'!$A:$AG,28,FALSE)</f>
        <v>0</v>
      </c>
      <c r="AM140" s="123">
        <f>VLOOKUP($A140,'CCRA3 Risks'!$A:$AG,29,FALSE)</f>
        <v>0</v>
      </c>
      <c r="AN140" s="123">
        <f>VLOOKUP($A140,'CCRA3 Risks'!$A:$AG,30,FALSE)</f>
        <v>0</v>
      </c>
      <c r="AO140" s="123">
        <f>VLOOKUP($A140,'CCRA3 Risks'!$A:$AG,31,FALSE)</f>
        <v>0</v>
      </c>
      <c r="AP140" s="123">
        <f>VLOOKUP($A140,'CCRA3 Risks'!$A:$AG,32,FALSE)</f>
        <v>0</v>
      </c>
      <c r="AQ140" s="123">
        <f>VLOOKUP($A140,'CCRA3 Risks'!$A:$AG,33,FALSE)</f>
        <v>0</v>
      </c>
    </row>
    <row r="141" spans="1:43" ht="225.95" customHeight="1" x14ac:dyDescent="0.25">
      <c r="A141" s="88" t="s">
        <v>295</v>
      </c>
      <c r="B141" s="88" t="s">
        <v>1043</v>
      </c>
      <c r="C141" s="83" t="s">
        <v>1044</v>
      </c>
      <c r="D141" s="83" t="s">
        <v>461</v>
      </c>
      <c r="E141" s="88" t="s">
        <v>67</v>
      </c>
      <c r="F141" s="83" t="s">
        <v>33</v>
      </c>
      <c r="G141" s="83" t="s">
        <v>30</v>
      </c>
      <c r="H141" s="83" t="s">
        <v>1045</v>
      </c>
      <c r="I141" s="88"/>
      <c r="J141" s="88" t="s">
        <v>405</v>
      </c>
      <c r="K141" s="83" t="s">
        <v>1046</v>
      </c>
      <c r="L141" s="88" t="s">
        <v>938</v>
      </c>
      <c r="M141" s="83" t="s">
        <v>1047</v>
      </c>
      <c r="N141" s="206" t="str">
        <f>VLOOKUP($A141,'CCRA3 Risks'!$A:$R,2,FALSE)</f>
        <v>I12 Risks to transport from high and low temperatures, high winds, lightning</v>
      </c>
      <c r="O141" s="206" t="str">
        <f>VLOOKUP($A141,'CCRA3 Risks'!$A:$R,3,FALSE)</f>
        <v>No</v>
      </c>
      <c r="P141" s="207">
        <f>VLOOKUP($A141,'CCRA3 Risks'!$A:$R,4,FALSE)</f>
        <v>4</v>
      </c>
      <c r="Q141" s="206" t="str">
        <f>VLOOKUP($A141,'CCRA3 Risks'!$A:$R,7,FALSE)</f>
        <v>England</v>
      </c>
      <c r="R141" s="206" t="str">
        <f>VLOOKUP($A141,'CCRA3 Risks'!$A:$R,8,FALSE)</f>
        <v>Medium</v>
      </c>
      <c r="S141" s="206" t="str">
        <f>VLOOKUP($A141,'CCRA3 Risks'!$A:$R,9,FALSE)</f>
        <v>High</v>
      </c>
      <c r="T141" s="206" t="str">
        <f>VLOOKUP($A141,'CCRA3 Risks'!$A:$R,10,FALSE)</f>
        <v>High</v>
      </c>
      <c r="U141" s="206" t="str">
        <f>VLOOKUP($A141,'CCRA3 Risks'!$A:$R,11,FALSE)</f>
        <v>High</v>
      </c>
      <c r="V141" s="206" t="str">
        <f>VLOOKUP($A141,'CCRA3 Risks'!$A:$R,12,FALSE)</f>
        <v>High</v>
      </c>
      <c r="W141" s="206" t="str">
        <f>VLOOKUP($A141,'CCRA3 Risks'!$A:$R,13,FALSE)</f>
        <v>Partially</v>
      </c>
      <c r="X141" s="206" t="str">
        <f>VLOOKUP($A141,'CCRA3 Risks'!$A:$R,14,FALSE)</f>
        <v>More action needed</v>
      </c>
      <c r="Y141" s="206" t="str">
        <f>VLOOKUP($A141,'CCRA3 Risks'!$A:$R,15,FALSE)</f>
        <v>More action needed</v>
      </c>
      <c r="Z141" s="206" t="str">
        <f>VLOOKUP($A141,'CCRA3 Risks'!$A:$R,16,FALSE)</f>
        <v>Medium (5)</v>
      </c>
      <c r="AA141" s="206" t="str">
        <f>VLOOKUP($A141,'CCRA3 Risks'!$A:$R,17,FALSE)</f>
        <v>High (Green)</v>
      </c>
      <c r="AB141" s="206" t="str">
        <f>VLOOKUP($A141,'CCRA3 Risks'!$A:$R,18,FALSE)</f>
        <v>Low (no key policies in the next two years)</v>
      </c>
      <c r="AC141" s="202">
        <f>VLOOKUP($A141,'CCRA3 Risks'!$A:$AG,19,FALSE)</f>
        <v>0</v>
      </c>
      <c r="AD141" s="123">
        <f>VLOOKUP($A141,'CCRA3 Risks'!$A:$AG,20,FALSE)</f>
        <v>0</v>
      </c>
      <c r="AE141" s="123">
        <f>VLOOKUP($A141,'CCRA3 Risks'!$A:$AG,21,FALSE)</f>
        <v>0</v>
      </c>
      <c r="AF141" s="123">
        <f>VLOOKUP($A141,'CCRA3 Risks'!$A:$AG,22,FALSE)</f>
        <v>0</v>
      </c>
      <c r="AG141" s="123">
        <f>VLOOKUP($A141,'CCRA3 Risks'!$A:$AG,23,FALSE)</f>
        <v>0</v>
      </c>
      <c r="AH141" s="123">
        <f>VLOOKUP($A141,'CCRA3 Risks'!$A:$AG,24,FALSE)</f>
        <v>0</v>
      </c>
      <c r="AI141" s="123" t="str">
        <f>VLOOKUP($A141,'CCRA3 Risks'!$A:$AG,25,FALSE)</f>
        <v>Y</v>
      </c>
      <c r="AJ141" s="123">
        <f>VLOOKUP($A141,'CCRA3 Risks'!$A:$AG,26,FALSE)</f>
        <v>0</v>
      </c>
      <c r="AK141" s="123">
        <f>VLOOKUP($A141,'CCRA3 Risks'!$A:$AG,27,FALSE)</f>
        <v>0</v>
      </c>
      <c r="AL141" s="123">
        <f>VLOOKUP($A141,'CCRA3 Risks'!$A:$AG,28,FALSE)</f>
        <v>0</v>
      </c>
      <c r="AM141" s="123">
        <f>VLOOKUP($A141,'CCRA3 Risks'!$A:$AG,29,FALSE)</f>
        <v>0</v>
      </c>
      <c r="AN141" s="123">
        <f>VLOOKUP($A141,'CCRA3 Risks'!$A:$AG,30,FALSE)</f>
        <v>0</v>
      </c>
      <c r="AO141" s="123">
        <f>VLOOKUP($A141,'CCRA3 Risks'!$A:$AG,31,FALSE)</f>
        <v>0</v>
      </c>
      <c r="AP141" s="123">
        <f>VLOOKUP($A141,'CCRA3 Risks'!$A:$AG,32,FALSE)</f>
        <v>0</v>
      </c>
      <c r="AQ141" s="123">
        <f>VLOOKUP($A141,'CCRA3 Risks'!$A:$AG,33,FALSE)</f>
        <v>0</v>
      </c>
    </row>
    <row r="142" spans="1:43" ht="204" x14ac:dyDescent="0.25">
      <c r="A142" s="88" t="s">
        <v>299</v>
      </c>
      <c r="B142" s="88" t="s">
        <v>1048</v>
      </c>
      <c r="C142" s="83" t="s">
        <v>1049</v>
      </c>
      <c r="D142" s="83" t="s">
        <v>461</v>
      </c>
      <c r="E142" s="88" t="s">
        <v>67</v>
      </c>
      <c r="F142" s="83" t="s">
        <v>396</v>
      </c>
      <c r="G142" s="83" t="s">
        <v>30</v>
      </c>
      <c r="H142" s="83" t="s">
        <v>1050</v>
      </c>
      <c r="I142" s="88"/>
      <c r="J142" s="88" t="s">
        <v>463</v>
      </c>
      <c r="K142" s="83" t="s">
        <v>1051</v>
      </c>
      <c r="L142" s="83" t="s">
        <v>1052</v>
      </c>
      <c r="M142" s="83" t="s">
        <v>1053</v>
      </c>
      <c r="N142" s="206" t="str">
        <f>VLOOKUP($A142,'CCRA3 Risks'!$A:$R,2,FALSE)</f>
        <v>I13 Risks to digital from high and low temperatures, high winds, lightning</v>
      </c>
      <c r="O142" s="206" t="str">
        <f>VLOOKUP($A142,'CCRA3 Risks'!$A:$R,3,FALSE)</f>
        <v>No</v>
      </c>
      <c r="P142" s="207">
        <f>VLOOKUP($A142,'CCRA3 Risks'!$A:$R,4,FALSE)</f>
        <v>4</v>
      </c>
      <c r="Q142" s="206" t="str">
        <f>VLOOKUP($A142,'CCRA3 Risks'!$A:$R,7,FALSE)</f>
        <v>England</v>
      </c>
      <c r="R142" s="206" t="str">
        <f>VLOOKUP($A142,'CCRA3 Risks'!$A:$R,8,FALSE)</f>
        <v>Low</v>
      </c>
      <c r="S142" s="206" t="str">
        <f>VLOOKUP($A142,'CCRA3 Risks'!$A:$R,9,FALSE)</f>
        <v>Medium</v>
      </c>
      <c r="T142" s="206" t="str">
        <f>VLOOKUP($A142,'CCRA3 Risks'!$A:$R,10,FALSE)</f>
        <v>Medium</v>
      </c>
      <c r="U142" s="206" t="str">
        <f>VLOOKUP($A142,'CCRA3 Risks'!$A:$R,11,FALSE)</f>
        <v>Medium</v>
      </c>
      <c r="V142" s="206" t="str">
        <f>VLOOKUP($A142,'CCRA3 Risks'!$A:$R,12,FALSE)</f>
        <v>Medium</v>
      </c>
      <c r="W142" s="206" t="str">
        <f>VLOOKUP($A142,'CCRA3 Risks'!$A:$R,13,FALSE)</f>
        <v>No</v>
      </c>
      <c r="X142" s="206" t="str">
        <f>VLOOKUP($A142,'CCRA3 Risks'!$A:$R,14,FALSE)</f>
        <v>Further investigation</v>
      </c>
      <c r="Y142" s="206" t="str">
        <f>VLOOKUP($A142,'CCRA3 Risks'!$A:$R,15,FALSE)</f>
        <v>Further Investigation</v>
      </c>
      <c r="Z142" s="206" t="str">
        <f>VLOOKUP($A142,'CCRA3 Risks'!$A:$R,16,FALSE)</f>
        <v>Low (2)</v>
      </c>
      <c r="AA142" s="206" t="str">
        <f>VLOOKUP($A142,'CCRA3 Risks'!$A:$R,17,FALSE)</f>
        <v>Low (Red)</v>
      </c>
      <c r="AB142" s="206" t="str">
        <f>VLOOKUP($A142,'CCRA3 Risks'!$A:$R,18,FALSE)</f>
        <v>Low (no key policies in the next two years)</v>
      </c>
      <c r="AC142" s="202">
        <f>VLOOKUP($A142,'CCRA3 Risks'!$A:$AG,19,FALSE)</f>
        <v>0</v>
      </c>
      <c r="AD142" s="123">
        <f>VLOOKUP($A142,'CCRA3 Risks'!$A:$AG,20,FALSE)</f>
        <v>0</v>
      </c>
      <c r="AE142" s="123">
        <f>VLOOKUP($A142,'CCRA3 Risks'!$A:$AG,21,FALSE)</f>
        <v>0</v>
      </c>
      <c r="AF142" s="123">
        <f>VLOOKUP($A142,'CCRA3 Risks'!$A:$AG,22,FALSE)</f>
        <v>0</v>
      </c>
      <c r="AG142" s="123">
        <f>VLOOKUP($A142,'CCRA3 Risks'!$A:$AG,23,FALSE)</f>
        <v>0</v>
      </c>
      <c r="AH142" s="123" t="str">
        <f>VLOOKUP($A142,'CCRA3 Risks'!$A:$AG,24,FALSE)</f>
        <v>Y</v>
      </c>
      <c r="AI142" s="123">
        <f>VLOOKUP($A142,'CCRA3 Risks'!$A:$AG,25,FALSE)</f>
        <v>0</v>
      </c>
      <c r="AJ142" s="123">
        <f>VLOOKUP($A142,'CCRA3 Risks'!$A:$AG,26,FALSE)</f>
        <v>0</v>
      </c>
      <c r="AK142" s="123">
        <f>VLOOKUP($A142,'CCRA3 Risks'!$A:$AG,27,FALSE)</f>
        <v>0</v>
      </c>
      <c r="AL142" s="123">
        <f>VLOOKUP($A142,'CCRA3 Risks'!$A:$AG,28,FALSE)</f>
        <v>0</v>
      </c>
      <c r="AM142" s="123">
        <f>VLOOKUP($A142,'CCRA3 Risks'!$A:$AG,29,FALSE)</f>
        <v>0</v>
      </c>
      <c r="AN142" s="123">
        <f>VLOOKUP($A142,'CCRA3 Risks'!$A:$AG,30,FALSE)</f>
        <v>0</v>
      </c>
      <c r="AO142" s="123">
        <f>VLOOKUP($A142,'CCRA3 Risks'!$A:$AG,31,FALSE)</f>
        <v>0</v>
      </c>
      <c r="AP142" s="123">
        <f>VLOOKUP($A142,'CCRA3 Risks'!$A:$AG,32,FALSE)</f>
        <v>0</v>
      </c>
      <c r="AQ142" s="123">
        <f>VLOOKUP($A142,'CCRA3 Risks'!$A:$AG,33,FALSE)</f>
        <v>0</v>
      </c>
    </row>
    <row r="143" spans="1:43" ht="267.75" x14ac:dyDescent="0.25">
      <c r="A143" s="88" t="s">
        <v>299</v>
      </c>
      <c r="B143" s="88" t="s">
        <v>1054</v>
      </c>
      <c r="C143" s="83" t="s">
        <v>1055</v>
      </c>
      <c r="D143" s="83" t="s">
        <v>461</v>
      </c>
      <c r="E143" s="88" t="s">
        <v>67</v>
      </c>
      <c r="F143" s="83" t="s">
        <v>33</v>
      </c>
      <c r="G143" s="83" t="s">
        <v>30</v>
      </c>
      <c r="H143" s="83" t="s">
        <v>1056</v>
      </c>
      <c r="I143" s="88"/>
      <c r="J143" s="88" t="s">
        <v>463</v>
      </c>
      <c r="K143" s="83" t="s">
        <v>1057</v>
      </c>
      <c r="L143" s="83" t="s">
        <v>1052</v>
      </c>
      <c r="M143" s="83" t="s">
        <v>1058</v>
      </c>
      <c r="N143" s="206" t="str">
        <f>VLOOKUP($A143,'CCRA3 Risks'!$A:$R,2,FALSE)</f>
        <v>I13 Risks to digital from high and low temperatures, high winds, lightning</v>
      </c>
      <c r="O143" s="206" t="str">
        <f>VLOOKUP($A143,'CCRA3 Risks'!$A:$R,3,FALSE)</f>
        <v>No</v>
      </c>
      <c r="P143" s="207">
        <f>VLOOKUP($A143,'CCRA3 Risks'!$A:$R,4,FALSE)</f>
        <v>4</v>
      </c>
      <c r="Q143" s="206" t="str">
        <f>VLOOKUP($A143,'CCRA3 Risks'!$A:$R,7,FALSE)</f>
        <v>England</v>
      </c>
      <c r="R143" s="206" t="str">
        <f>VLOOKUP($A143,'CCRA3 Risks'!$A:$R,8,FALSE)</f>
        <v>Low</v>
      </c>
      <c r="S143" s="206" t="str">
        <f>VLOOKUP($A143,'CCRA3 Risks'!$A:$R,9,FALSE)</f>
        <v>Medium</v>
      </c>
      <c r="T143" s="206" t="str">
        <f>VLOOKUP($A143,'CCRA3 Risks'!$A:$R,10,FALSE)</f>
        <v>Medium</v>
      </c>
      <c r="U143" s="206" t="str">
        <f>VLOOKUP($A143,'CCRA3 Risks'!$A:$R,11,FALSE)</f>
        <v>Medium</v>
      </c>
      <c r="V143" s="206" t="str">
        <f>VLOOKUP($A143,'CCRA3 Risks'!$A:$R,12,FALSE)</f>
        <v>Medium</v>
      </c>
      <c r="W143" s="206" t="str">
        <f>VLOOKUP($A143,'CCRA3 Risks'!$A:$R,13,FALSE)</f>
        <v>No</v>
      </c>
      <c r="X143" s="206" t="str">
        <f>VLOOKUP($A143,'CCRA3 Risks'!$A:$R,14,FALSE)</f>
        <v>Further investigation</v>
      </c>
      <c r="Y143" s="206" t="str">
        <f>VLOOKUP($A143,'CCRA3 Risks'!$A:$R,15,FALSE)</f>
        <v>Further Investigation</v>
      </c>
      <c r="Z143" s="206" t="str">
        <f>VLOOKUP($A143,'CCRA3 Risks'!$A:$R,16,FALSE)</f>
        <v>Low (2)</v>
      </c>
      <c r="AA143" s="206" t="str">
        <f>VLOOKUP($A143,'CCRA3 Risks'!$A:$R,17,FALSE)</f>
        <v>Low (Red)</v>
      </c>
      <c r="AB143" s="206" t="str">
        <f>VLOOKUP($A143,'CCRA3 Risks'!$A:$R,18,FALSE)</f>
        <v>Low (no key policies in the next two years)</v>
      </c>
      <c r="AC143" s="202">
        <f>VLOOKUP($A143,'CCRA3 Risks'!$A:$AG,19,FALSE)</f>
        <v>0</v>
      </c>
      <c r="AD143" s="123">
        <f>VLOOKUP($A143,'CCRA3 Risks'!$A:$AG,20,FALSE)</f>
        <v>0</v>
      </c>
      <c r="AE143" s="123">
        <f>VLOOKUP($A143,'CCRA3 Risks'!$A:$AG,21,FALSE)</f>
        <v>0</v>
      </c>
      <c r="AF143" s="123">
        <f>VLOOKUP($A143,'CCRA3 Risks'!$A:$AG,22,FALSE)</f>
        <v>0</v>
      </c>
      <c r="AG143" s="123">
        <f>VLOOKUP($A143,'CCRA3 Risks'!$A:$AG,23,FALSE)</f>
        <v>0</v>
      </c>
      <c r="AH143" s="123" t="str">
        <f>VLOOKUP($A143,'CCRA3 Risks'!$A:$AG,24,FALSE)</f>
        <v>Y</v>
      </c>
      <c r="AI143" s="123">
        <f>VLOOKUP($A143,'CCRA3 Risks'!$A:$AG,25,FALSE)</f>
        <v>0</v>
      </c>
      <c r="AJ143" s="123">
        <f>VLOOKUP($A143,'CCRA3 Risks'!$A:$AG,26,FALSE)</f>
        <v>0</v>
      </c>
      <c r="AK143" s="123">
        <f>VLOOKUP($A143,'CCRA3 Risks'!$A:$AG,27,FALSE)</f>
        <v>0</v>
      </c>
      <c r="AL143" s="123">
        <f>VLOOKUP($A143,'CCRA3 Risks'!$A:$AG,28,FALSE)</f>
        <v>0</v>
      </c>
      <c r="AM143" s="123">
        <f>VLOOKUP($A143,'CCRA3 Risks'!$A:$AG,29,FALSE)</f>
        <v>0</v>
      </c>
      <c r="AN143" s="123">
        <f>VLOOKUP($A143,'CCRA3 Risks'!$A:$AG,30,FALSE)</f>
        <v>0</v>
      </c>
      <c r="AO143" s="123">
        <f>VLOOKUP($A143,'CCRA3 Risks'!$A:$AG,31,FALSE)</f>
        <v>0</v>
      </c>
      <c r="AP143" s="123">
        <f>VLOOKUP($A143,'CCRA3 Risks'!$A:$AG,32,FALSE)</f>
        <v>0</v>
      </c>
      <c r="AQ143" s="123">
        <f>VLOOKUP($A143,'CCRA3 Risks'!$A:$AG,33,FALSE)</f>
        <v>0</v>
      </c>
    </row>
    <row r="144" spans="1:43" ht="204" x14ac:dyDescent="0.25">
      <c r="A144" s="88" t="s">
        <v>299</v>
      </c>
      <c r="B144" s="88" t="s">
        <v>1059</v>
      </c>
      <c r="C144" s="83" t="s">
        <v>1060</v>
      </c>
      <c r="D144" s="83" t="s">
        <v>461</v>
      </c>
      <c r="E144" s="88" t="s">
        <v>67</v>
      </c>
      <c r="F144" s="83" t="s">
        <v>396</v>
      </c>
      <c r="G144" s="83" t="s">
        <v>53</v>
      </c>
      <c r="H144" s="83" t="s">
        <v>1061</v>
      </c>
      <c r="I144" s="88"/>
      <c r="J144" s="88" t="s">
        <v>463</v>
      </c>
      <c r="K144" s="83" t="s">
        <v>1062</v>
      </c>
      <c r="L144" s="83" t="s">
        <v>1052</v>
      </c>
      <c r="M144" s="83" t="s">
        <v>1063</v>
      </c>
      <c r="N144" s="206" t="str">
        <f>VLOOKUP($A144,'CCRA3 Risks'!$A:$R,2,FALSE)</f>
        <v>I13 Risks to digital from high and low temperatures, high winds, lightning</v>
      </c>
      <c r="O144" s="206" t="str">
        <f>VLOOKUP($A144,'CCRA3 Risks'!$A:$R,3,FALSE)</f>
        <v>No</v>
      </c>
      <c r="P144" s="207">
        <f>VLOOKUP($A144,'CCRA3 Risks'!$A:$R,4,FALSE)</f>
        <v>4</v>
      </c>
      <c r="Q144" s="206" t="str">
        <f>VLOOKUP($A144,'CCRA3 Risks'!$A:$R,7,FALSE)</f>
        <v>England</v>
      </c>
      <c r="R144" s="206" t="str">
        <f>VLOOKUP($A144,'CCRA3 Risks'!$A:$R,8,FALSE)</f>
        <v>Low</v>
      </c>
      <c r="S144" s="206" t="str">
        <f>VLOOKUP($A144,'CCRA3 Risks'!$A:$R,9,FALSE)</f>
        <v>Medium</v>
      </c>
      <c r="T144" s="206" t="str">
        <f>VLOOKUP($A144,'CCRA3 Risks'!$A:$R,10,FALSE)</f>
        <v>Medium</v>
      </c>
      <c r="U144" s="206" t="str">
        <f>VLOOKUP($A144,'CCRA3 Risks'!$A:$R,11,FALSE)</f>
        <v>Medium</v>
      </c>
      <c r="V144" s="206" t="str">
        <f>VLOOKUP($A144,'CCRA3 Risks'!$A:$R,12,FALSE)</f>
        <v>Medium</v>
      </c>
      <c r="W144" s="206" t="str">
        <f>VLOOKUP($A144,'CCRA3 Risks'!$A:$R,13,FALSE)</f>
        <v>No</v>
      </c>
      <c r="X144" s="206" t="str">
        <f>VLOOKUP($A144,'CCRA3 Risks'!$A:$R,14,FALSE)</f>
        <v>Further investigation</v>
      </c>
      <c r="Y144" s="206" t="str">
        <f>VLOOKUP($A144,'CCRA3 Risks'!$A:$R,15,FALSE)</f>
        <v>Further Investigation</v>
      </c>
      <c r="Z144" s="206" t="str">
        <f>VLOOKUP($A144,'CCRA3 Risks'!$A:$R,16,FALSE)</f>
        <v>Low (2)</v>
      </c>
      <c r="AA144" s="206" t="str">
        <f>VLOOKUP($A144,'CCRA3 Risks'!$A:$R,17,FALSE)</f>
        <v>Low (Red)</v>
      </c>
      <c r="AB144" s="206" t="str">
        <f>VLOOKUP($A144,'CCRA3 Risks'!$A:$R,18,FALSE)</f>
        <v>Low (no key policies in the next two years)</v>
      </c>
      <c r="AC144" s="202">
        <f>VLOOKUP($A144,'CCRA3 Risks'!$A:$AG,19,FALSE)</f>
        <v>0</v>
      </c>
      <c r="AD144" s="123">
        <f>VLOOKUP($A144,'CCRA3 Risks'!$A:$AG,20,FALSE)</f>
        <v>0</v>
      </c>
      <c r="AE144" s="123">
        <f>VLOOKUP($A144,'CCRA3 Risks'!$A:$AG,21,FALSE)</f>
        <v>0</v>
      </c>
      <c r="AF144" s="123">
        <f>VLOOKUP($A144,'CCRA3 Risks'!$A:$AG,22,FALSE)</f>
        <v>0</v>
      </c>
      <c r="AG144" s="123">
        <f>VLOOKUP($A144,'CCRA3 Risks'!$A:$AG,23,FALSE)</f>
        <v>0</v>
      </c>
      <c r="AH144" s="123" t="str">
        <f>VLOOKUP($A144,'CCRA3 Risks'!$A:$AG,24,FALSE)</f>
        <v>Y</v>
      </c>
      <c r="AI144" s="123">
        <f>VLOOKUP($A144,'CCRA3 Risks'!$A:$AG,25,FALSE)</f>
        <v>0</v>
      </c>
      <c r="AJ144" s="123">
        <f>VLOOKUP($A144,'CCRA3 Risks'!$A:$AG,26,FALSE)</f>
        <v>0</v>
      </c>
      <c r="AK144" s="123">
        <f>VLOOKUP($A144,'CCRA3 Risks'!$A:$AG,27,FALSE)</f>
        <v>0</v>
      </c>
      <c r="AL144" s="123">
        <f>VLOOKUP($A144,'CCRA3 Risks'!$A:$AG,28,FALSE)</f>
        <v>0</v>
      </c>
      <c r="AM144" s="123">
        <f>VLOOKUP($A144,'CCRA3 Risks'!$A:$AG,29,FALSE)</f>
        <v>0</v>
      </c>
      <c r="AN144" s="123">
        <f>VLOOKUP($A144,'CCRA3 Risks'!$A:$AG,30,FALSE)</f>
        <v>0</v>
      </c>
      <c r="AO144" s="123">
        <f>VLOOKUP($A144,'CCRA3 Risks'!$A:$AG,31,FALSE)</f>
        <v>0</v>
      </c>
      <c r="AP144" s="123">
        <f>VLOOKUP($A144,'CCRA3 Risks'!$A:$AG,32,FALSE)</f>
        <v>0</v>
      </c>
      <c r="AQ144" s="123">
        <f>VLOOKUP($A144,'CCRA3 Risks'!$A:$AG,33,FALSE)</f>
        <v>0</v>
      </c>
    </row>
    <row r="145" spans="1:43" ht="255" x14ac:dyDescent="0.25">
      <c r="A145" s="88" t="s">
        <v>302</v>
      </c>
      <c r="B145" s="88" t="s">
        <v>1064</v>
      </c>
      <c r="C145" s="83" t="s">
        <v>1065</v>
      </c>
      <c r="D145" s="83" t="s">
        <v>403</v>
      </c>
      <c r="E145" s="88" t="s">
        <v>67</v>
      </c>
      <c r="F145" s="83" t="s">
        <v>421</v>
      </c>
      <c r="G145" s="83" t="s">
        <v>30</v>
      </c>
      <c r="H145" s="83" t="s">
        <v>1066</v>
      </c>
      <c r="I145" s="88"/>
      <c r="J145" s="88" t="s">
        <v>411</v>
      </c>
      <c r="K145" s="83" t="s">
        <v>1067</v>
      </c>
      <c r="L145" s="88" t="s">
        <v>480</v>
      </c>
      <c r="M145" s="88" t="s">
        <v>480</v>
      </c>
      <c r="N145" s="206" t="str">
        <f>VLOOKUP($A145,'CCRA3 Risks'!$A:$R,2,FALSE)</f>
        <v>ID1 Risks to UK food availability, safety, and quality from climate change overseas</v>
      </c>
      <c r="O145" s="206" t="str">
        <f>VLOOKUP($A145,'CCRA3 Risks'!$A:$R,3,FALSE)</f>
        <v>Yes</v>
      </c>
      <c r="P145" s="207">
        <f>VLOOKUP($A145,'CCRA3 Risks'!$A:$R,4,FALSE)</f>
        <v>7</v>
      </c>
      <c r="Q145" s="206" t="str">
        <f>VLOOKUP($A145,'CCRA3 Risks'!$A:$R,7,FALSE)</f>
        <v>UK</v>
      </c>
      <c r="R145" s="206" t="str">
        <f>VLOOKUP($A145,'CCRA3 Risks'!$A:$R,8,FALSE)</f>
        <v>High</v>
      </c>
      <c r="S145" s="206" t="str">
        <f>VLOOKUP($A145,'CCRA3 Risks'!$A:$R,9,FALSE)</f>
        <v>High</v>
      </c>
      <c r="T145" s="206" t="str">
        <f>VLOOKUP($A145,'CCRA3 Risks'!$A:$R,10,FALSE)</f>
        <v>High</v>
      </c>
      <c r="U145" s="206" t="str">
        <f>VLOOKUP($A145,'CCRA3 Risks'!$A:$R,11,FALSE)</f>
        <v>High</v>
      </c>
      <c r="V145" s="206" t="str">
        <f>VLOOKUP($A145,'CCRA3 Risks'!$A:$R,12,FALSE)</f>
        <v>High</v>
      </c>
      <c r="W145" s="206" t="str">
        <f>VLOOKUP($A145,'CCRA3 Risks'!$A:$R,13,FALSE)</f>
        <v>Partially</v>
      </c>
      <c r="X145" s="206" t="str">
        <f>VLOOKUP($A145,'CCRA3 Risks'!$A:$R,14,FALSE)</f>
        <v>More action needed</v>
      </c>
      <c r="Y145" s="206" t="str">
        <f>VLOOKUP($A145,'CCRA3 Risks'!$A:$R,15,FALSE)</f>
        <v>More action needed</v>
      </c>
      <c r="Z145" s="206" t="str">
        <f>VLOOKUP($A145,'CCRA3 Risks'!$A:$R,16,FALSE)</f>
        <v>N/A</v>
      </c>
      <c r="AA145" s="206" t="str">
        <f>VLOOKUP($A145,'CCRA3 Risks'!$A:$R,17,FALSE)</f>
        <v>N/A</v>
      </c>
      <c r="AB145" s="206" t="str">
        <f>VLOOKUP($A145,'CCRA3 Risks'!$A:$R,18,FALSE)</f>
        <v>Medium (new food security strategies)</v>
      </c>
      <c r="AC145" s="202">
        <f>VLOOKUP($A145,'CCRA3 Risks'!$A:$AG,19,FALSE)</f>
        <v>0</v>
      </c>
      <c r="AD145" s="123">
        <f>VLOOKUP($A145,'CCRA3 Risks'!$A:$AG,20,FALSE)</f>
        <v>0</v>
      </c>
      <c r="AE145" s="123" t="str">
        <f>VLOOKUP($A145,'CCRA3 Risks'!$A:$AG,21,FALSE)</f>
        <v>Y</v>
      </c>
      <c r="AF145" s="123">
        <f>VLOOKUP($A145,'CCRA3 Risks'!$A:$AG,22,FALSE)</f>
        <v>0</v>
      </c>
      <c r="AG145" s="123">
        <f>VLOOKUP($A145,'CCRA3 Risks'!$A:$AG,23,FALSE)</f>
        <v>0</v>
      </c>
      <c r="AH145" s="123">
        <f>VLOOKUP($A145,'CCRA3 Risks'!$A:$AG,24,FALSE)</f>
        <v>0</v>
      </c>
      <c r="AI145" s="123">
        <f>VLOOKUP($A145,'CCRA3 Risks'!$A:$AG,25,FALSE)</f>
        <v>0</v>
      </c>
      <c r="AJ145" s="123">
        <f>VLOOKUP($A145,'CCRA3 Risks'!$A:$AG,26,FALSE)</f>
        <v>0</v>
      </c>
      <c r="AK145" s="123">
        <f>VLOOKUP($A145,'CCRA3 Risks'!$A:$AG,27,FALSE)</f>
        <v>0</v>
      </c>
      <c r="AL145" s="123">
        <f>VLOOKUP($A145,'CCRA3 Risks'!$A:$AG,28,FALSE)</f>
        <v>0</v>
      </c>
      <c r="AM145" s="123">
        <f>VLOOKUP($A145,'CCRA3 Risks'!$A:$AG,29,FALSE)</f>
        <v>0</v>
      </c>
      <c r="AN145" s="123">
        <f>VLOOKUP($A145,'CCRA3 Risks'!$A:$AG,30,FALSE)</f>
        <v>0</v>
      </c>
      <c r="AO145" s="123">
        <f>VLOOKUP($A145,'CCRA3 Risks'!$A:$AG,31,FALSE)</f>
        <v>0</v>
      </c>
      <c r="AP145" s="123">
        <f>VLOOKUP($A145,'CCRA3 Risks'!$A:$AG,32,FALSE)</f>
        <v>0</v>
      </c>
      <c r="AQ145" s="123">
        <f>VLOOKUP($A145,'CCRA3 Risks'!$A:$AG,33,FALSE)</f>
        <v>0</v>
      </c>
    </row>
    <row r="146" spans="1:43" ht="76.5" x14ac:dyDescent="0.25">
      <c r="A146" s="88" t="s">
        <v>302</v>
      </c>
      <c r="B146" s="88" t="s">
        <v>1068</v>
      </c>
      <c r="C146" s="83" t="s">
        <v>1069</v>
      </c>
      <c r="D146" s="83" t="s">
        <v>403</v>
      </c>
      <c r="E146" s="88" t="s">
        <v>67</v>
      </c>
      <c r="F146" s="83" t="s">
        <v>421</v>
      </c>
      <c r="G146" s="83" t="s">
        <v>53</v>
      </c>
      <c r="H146" s="83" t="s">
        <v>1070</v>
      </c>
      <c r="I146" s="88"/>
      <c r="J146" s="88" t="s">
        <v>417</v>
      </c>
      <c r="K146" s="83" t="s">
        <v>1071</v>
      </c>
      <c r="L146" s="88" t="s">
        <v>480</v>
      </c>
      <c r="M146" s="88" t="s">
        <v>35</v>
      </c>
      <c r="N146" s="206" t="str">
        <f>VLOOKUP($A146,'CCRA3 Risks'!$A:$R,2,FALSE)</f>
        <v>ID1 Risks to UK food availability, safety, and quality from climate change overseas</v>
      </c>
      <c r="O146" s="206" t="str">
        <f>VLOOKUP($A146,'CCRA3 Risks'!$A:$R,3,FALSE)</f>
        <v>Yes</v>
      </c>
      <c r="P146" s="207">
        <f>VLOOKUP($A146,'CCRA3 Risks'!$A:$R,4,FALSE)</f>
        <v>7</v>
      </c>
      <c r="Q146" s="206" t="str">
        <f>VLOOKUP($A146,'CCRA3 Risks'!$A:$R,7,FALSE)</f>
        <v>UK</v>
      </c>
      <c r="R146" s="206" t="str">
        <f>VLOOKUP($A146,'CCRA3 Risks'!$A:$R,8,FALSE)</f>
        <v>High</v>
      </c>
      <c r="S146" s="206" t="str">
        <f>VLOOKUP($A146,'CCRA3 Risks'!$A:$R,9,FALSE)</f>
        <v>High</v>
      </c>
      <c r="T146" s="206" t="str">
        <f>VLOOKUP($A146,'CCRA3 Risks'!$A:$R,10,FALSE)</f>
        <v>High</v>
      </c>
      <c r="U146" s="206" t="str">
        <f>VLOOKUP($A146,'CCRA3 Risks'!$A:$R,11,FALSE)</f>
        <v>High</v>
      </c>
      <c r="V146" s="206" t="str">
        <f>VLOOKUP($A146,'CCRA3 Risks'!$A:$R,12,FALSE)</f>
        <v>High</v>
      </c>
      <c r="W146" s="206" t="str">
        <f>VLOOKUP($A146,'CCRA3 Risks'!$A:$R,13,FALSE)</f>
        <v>Partially</v>
      </c>
      <c r="X146" s="206" t="str">
        <f>VLOOKUP($A146,'CCRA3 Risks'!$A:$R,14,FALSE)</f>
        <v>More action needed</v>
      </c>
      <c r="Y146" s="206" t="str">
        <f>VLOOKUP($A146,'CCRA3 Risks'!$A:$R,15,FALSE)</f>
        <v>More action needed</v>
      </c>
      <c r="Z146" s="206" t="str">
        <f>VLOOKUP($A146,'CCRA3 Risks'!$A:$R,16,FALSE)</f>
        <v>N/A</v>
      </c>
      <c r="AA146" s="206" t="str">
        <f>VLOOKUP($A146,'CCRA3 Risks'!$A:$R,17,FALSE)</f>
        <v>N/A</v>
      </c>
      <c r="AB146" s="206" t="str">
        <f>VLOOKUP($A146,'CCRA3 Risks'!$A:$R,18,FALSE)</f>
        <v>Medium (new food security strategies)</v>
      </c>
      <c r="AC146" s="202">
        <f>VLOOKUP($A146,'CCRA3 Risks'!$A:$AG,19,FALSE)</f>
        <v>0</v>
      </c>
      <c r="AD146" s="123">
        <f>VLOOKUP($A146,'CCRA3 Risks'!$A:$AG,20,FALSE)</f>
        <v>0</v>
      </c>
      <c r="AE146" s="123" t="str">
        <f>VLOOKUP($A146,'CCRA3 Risks'!$A:$AG,21,FALSE)</f>
        <v>Y</v>
      </c>
      <c r="AF146" s="123">
        <f>VLOOKUP($A146,'CCRA3 Risks'!$A:$AG,22,FALSE)</f>
        <v>0</v>
      </c>
      <c r="AG146" s="123">
        <f>VLOOKUP($A146,'CCRA3 Risks'!$A:$AG,23,FALSE)</f>
        <v>0</v>
      </c>
      <c r="AH146" s="123">
        <f>VLOOKUP($A146,'CCRA3 Risks'!$A:$AG,24,FALSE)</f>
        <v>0</v>
      </c>
      <c r="AI146" s="123">
        <f>VLOOKUP($A146,'CCRA3 Risks'!$A:$AG,25,FALSE)</f>
        <v>0</v>
      </c>
      <c r="AJ146" s="123">
        <f>VLOOKUP($A146,'CCRA3 Risks'!$A:$AG,26,FALSE)</f>
        <v>0</v>
      </c>
      <c r="AK146" s="123">
        <f>VLOOKUP($A146,'CCRA3 Risks'!$A:$AG,27,FALSE)</f>
        <v>0</v>
      </c>
      <c r="AL146" s="123">
        <f>VLOOKUP($A146,'CCRA3 Risks'!$A:$AG,28,FALSE)</f>
        <v>0</v>
      </c>
      <c r="AM146" s="123">
        <f>VLOOKUP($A146,'CCRA3 Risks'!$A:$AG,29,FALSE)</f>
        <v>0</v>
      </c>
      <c r="AN146" s="123">
        <f>VLOOKUP($A146,'CCRA3 Risks'!$A:$AG,30,FALSE)</f>
        <v>0</v>
      </c>
      <c r="AO146" s="123">
        <f>VLOOKUP($A146,'CCRA3 Risks'!$A:$AG,31,FALSE)</f>
        <v>0</v>
      </c>
      <c r="AP146" s="123">
        <f>VLOOKUP($A146,'CCRA3 Risks'!$A:$AG,32,FALSE)</f>
        <v>0</v>
      </c>
      <c r="AQ146" s="123">
        <f>VLOOKUP($A146,'CCRA3 Risks'!$A:$AG,33,FALSE)</f>
        <v>0</v>
      </c>
    </row>
    <row r="147" spans="1:43" ht="127.5" x14ac:dyDescent="0.25">
      <c r="A147" s="88" t="s">
        <v>302</v>
      </c>
      <c r="B147" s="88" t="s">
        <v>1072</v>
      </c>
      <c r="C147" s="83" t="s">
        <v>1073</v>
      </c>
      <c r="D147" s="83" t="s">
        <v>461</v>
      </c>
      <c r="E147" s="88" t="s">
        <v>67</v>
      </c>
      <c r="F147" s="83" t="s">
        <v>421</v>
      </c>
      <c r="G147" s="83" t="s">
        <v>53</v>
      </c>
      <c r="H147" s="83" t="s">
        <v>1074</v>
      </c>
      <c r="I147" s="88"/>
      <c r="J147" s="83" t="s">
        <v>411</v>
      </c>
      <c r="K147" s="83" t="s">
        <v>1075</v>
      </c>
      <c r="L147" s="88" t="s">
        <v>480</v>
      </c>
      <c r="M147" s="88" t="s">
        <v>480</v>
      </c>
      <c r="N147" s="206" t="str">
        <f>VLOOKUP($A147,'CCRA3 Risks'!$A:$R,2,FALSE)</f>
        <v>ID1 Risks to UK food availability, safety, and quality from climate change overseas</v>
      </c>
      <c r="O147" s="206" t="str">
        <f>VLOOKUP($A147,'CCRA3 Risks'!$A:$R,3,FALSE)</f>
        <v>Yes</v>
      </c>
      <c r="P147" s="207">
        <f>VLOOKUP($A147,'CCRA3 Risks'!$A:$R,4,FALSE)</f>
        <v>7</v>
      </c>
      <c r="Q147" s="206" t="str">
        <f>VLOOKUP($A147,'CCRA3 Risks'!$A:$R,7,FALSE)</f>
        <v>UK</v>
      </c>
      <c r="R147" s="206" t="str">
        <f>VLOOKUP($A147,'CCRA3 Risks'!$A:$R,8,FALSE)</f>
        <v>High</v>
      </c>
      <c r="S147" s="206" t="str">
        <f>VLOOKUP($A147,'CCRA3 Risks'!$A:$R,9,FALSE)</f>
        <v>High</v>
      </c>
      <c r="T147" s="206" t="str">
        <f>VLOOKUP($A147,'CCRA3 Risks'!$A:$R,10,FALSE)</f>
        <v>High</v>
      </c>
      <c r="U147" s="206" t="str">
        <f>VLOOKUP($A147,'CCRA3 Risks'!$A:$R,11,FALSE)</f>
        <v>High</v>
      </c>
      <c r="V147" s="206" t="str">
        <f>VLOOKUP($A147,'CCRA3 Risks'!$A:$R,12,FALSE)</f>
        <v>High</v>
      </c>
      <c r="W147" s="206" t="str">
        <f>VLOOKUP($A147,'CCRA3 Risks'!$A:$R,13,FALSE)</f>
        <v>Partially</v>
      </c>
      <c r="X147" s="206" t="str">
        <f>VLOOKUP($A147,'CCRA3 Risks'!$A:$R,14,FALSE)</f>
        <v>More action needed</v>
      </c>
      <c r="Y147" s="206" t="str">
        <f>VLOOKUP($A147,'CCRA3 Risks'!$A:$R,15,FALSE)</f>
        <v>More action needed</v>
      </c>
      <c r="Z147" s="206" t="str">
        <f>VLOOKUP($A147,'CCRA3 Risks'!$A:$R,16,FALSE)</f>
        <v>N/A</v>
      </c>
      <c r="AA147" s="206" t="str">
        <f>VLOOKUP($A147,'CCRA3 Risks'!$A:$R,17,FALSE)</f>
        <v>N/A</v>
      </c>
      <c r="AB147" s="206" t="str">
        <f>VLOOKUP($A147,'CCRA3 Risks'!$A:$R,18,FALSE)</f>
        <v>Medium (new food security strategies)</v>
      </c>
      <c r="AC147" s="202">
        <f>VLOOKUP($A147,'CCRA3 Risks'!$A:$AG,19,FALSE)</f>
        <v>0</v>
      </c>
      <c r="AD147" s="123">
        <f>VLOOKUP($A147,'CCRA3 Risks'!$A:$AG,20,FALSE)</f>
        <v>0</v>
      </c>
      <c r="AE147" s="123" t="str">
        <f>VLOOKUP($A147,'CCRA3 Risks'!$A:$AG,21,FALSE)</f>
        <v>Y</v>
      </c>
      <c r="AF147" s="123">
        <f>VLOOKUP($A147,'CCRA3 Risks'!$A:$AG,22,FALSE)</f>
        <v>0</v>
      </c>
      <c r="AG147" s="123">
        <f>VLOOKUP($A147,'CCRA3 Risks'!$A:$AG,23,FALSE)</f>
        <v>0</v>
      </c>
      <c r="AH147" s="123">
        <f>VLOOKUP($A147,'CCRA3 Risks'!$A:$AG,24,FALSE)</f>
        <v>0</v>
      </c>
      <c r="AI147" s="123">
        <f>VLOOKUP($A147,'CCRA3 Risks'!$A:$AG,25,FALSE)</f>
        <v>0</v>
      </c>
      <c r="AJ147" s="123">
        <f>VLOOKUP($A147,'CCRA3 Risks'!$A:$AG,26,FALSE)</f>
        <v>0</v>
      </c>
      <c r="AK147" s="123">
        <f>VLOOKUP($A147,'CCRA3 Risks'!$A:$AG,27,FALSE)</f>
        <v>0</v>
      </c>
      <c r="AL147" s="123">
        <f>VLOOKUP($A147,'CCRA3 Risks'!$A:$AG,28,FALSE)</f>
        <v>0</v>
      </c>
      <c r="AM147" s="123">
        <f>VLOOKUP($A147,'CCRA3 Risks'!$A:$AG,29,FALSE)</f>
        <v>0</v>
      </c>
      <c r="AN147" s="123">
        <f>VLOOKUP($A147,'CCRA3 Risks'!$A:$AG,30,FALSE)</f>
        <v>0</v>
      </c>
      <c r="AO147" s="123">
        <f>VLOOKUP($A147,'CCRA3 Risks'!$A:$AG,31,FALSE)</f>
        <v>0</v>
      </c>
      <c r="AP147" s="123">
        <f>VLOOKUP($A147,'CCRA3 Risks'!$A:$AG,32,FALSE)</f>
        <v>0</v>
      </c>
      <c r="AQ147" s="123">
        <f>VLOOKUP($A147,'CCRA3 Risks'!$A:$AG,33,FALSE)</f>
        <v>0</v>
      </c>
    </row>
    <row r="148" spans="1:43" ht="76.5" x14ac:dyDescent="0.25">
      <c r="A148" s="88" t="s">
        <v>302</v>
      </c>
      <c r="B148" s="88" t="s">
        <v>1076</v>
      </c>
      <c r="C148" s="83" t="s">
        <v>1077</v>
      </c>
      <c r="D148" s="83" t="s">
        <v>461</v>
      </c>
      <c r="E148" s="88" t="s">
        <v>67</v>
      </c>
      <c r="F148" s="83" t="s">
        <v>396</v>
      </c>
      <c r="G148" s="83" t="s">
        <v>53</v>
      </c>
      <c r="H148" s="83" t="s">
        <v>1078</v>
      </c>
      <c r="I148" s="88"/>
      <c r="J148" s="83" t="s">
        <v>411</v>
      </c>
      <c r="K148" s="83" t="s">
        <v>1079</v>
      </c>
      <c r="L148" s="88" t="s">
        <v>480</v>
      </c>
      <c r="M148" s="88" t="s">
        <v>480</v>
      </c>
      <c r="N148" s="206" t="str">
        <f>VLOOKUP($A148,'CCRA3 Risks'!$A:$R,2,FALSE)</f>
        <v>ID1 Risks to UK food availability, safety, and quality from climate change overseas</v>
      </c>
      <c r="O148" s="206" t="str">
        <f>VLOOKUP($A148,'CCRA3 Risks'!$A:$R,3,FALSE)</f>
        <v>Yes</v>
      </c>
      <c r="P148" s="207">
        <f>VLOOKUP($A148,'CCRA3 Risks'!$A:$R,4,FALSE)</f>
        <v>7</v>
      </c>
      <c r="Q148" s="206" t="str">
        <f>VLOOKUP($A148,'CCRA3 Risks'!$A:$R,7,FALSE)</f>
        <v>UK</v>
      </c>
      <c r="R148" s="206" t="str">
        <f>VLOOKUP($A148,'CCRA3 Risks'!$A:$R,8,FALSE)</f>
        <v>High</v>
      </c>
      <c r="S148" s="206" t="str">
        <f>VLOOKUP($A148,'CCRA3 Risks'!$A:$R,9,FALSE)</f>
        <v>High</v>
      </c>
      <c r="T148" s="206" t="str">
        <f>VLOOKUP($A148,'CCRA3 Risks'!$A:$R,10,FALSE)</f>
        <v>High</v>
      </c>
      <c r="U148" s="206" t="str">
        <f>VLOOKUP($A148,'CCRA3 Risks'!$A:$R,11,FALSE)</f>
        <v>High</v>
      </c>
      <c r="V148" s="206" t="str">
        <f>VLOOKUP($A148,'CCRA3 Risks'!$A:$R,12,FALSE)</f>
        <v>High</v>
      </c>
      <c r="W148" s="206" t="str">
        <f>VLOOKUP($A148,'CCRA3 Risks'!$A:$R,13,FALSE)</f>
        <v>Partially</v>
      </c>
      <c r="X148" s="206" t="str">
        <f>VLOOKUP($A148,'CCRA3 Risks'!$A:$R,14,FALSE)</f>
        <v>More action needed</v>
      </c>
      <c r="Y148" s="206" t="str">
        <f>VLOOKUP($A148,'CCRA3 Risks'!$A:$R,15,FALSE)</f>
        <v>More action needed</v>
      </c>
      <c r="Z148" s="206" t="str">
        <f>VLOOKUP($A148,'CCRA3 Risks'!$A:$R,16,FALSE)</f>
        <v>N/A</v>
      </c>
      <c r="AA148" s="206" t="str">
        <f>VLOOKUP($A148,'CCRA3 Risks'!$A:$R,17,FALSE)</f>
        <v>N/A</v>
      </c>
      <c r="AB148" s="206" t="str">
        <f>VLOOKUP($A148,'CCRA3 Risks'!$A:$R,18,FALSE)</f>
        <v>Medium (new food security strategies)</v>
      </c>
      <c r="AC148" s="202">
        <f>VLOOKUP($A148,'CCRA3 Risks'!$A:$AG,19,FALSE)</f>
        <v>0</v>
      </c>
      <c r="AD148" s="123">
        <f>VLOOKUP($A148,'CCRA3 Risks'!$A:$AG,20,FALSE)</f>
        <v>0</v>
      </c>
      <c r="AE148" s="123" t="str">
        <f>VLOOKUP($A148,'CCRA3 Risks'!$A:$AG,21,FALSE)</f>
        <v>Y</v>
      </c>
      <c r="AF148" s="123">
        <f>VLOOKUP($A148,'CCRA3 Risks'!$A:$AG,22,FALSE)</f>
        <v>0</v>
      </c>
      <c r="AG148" s="123">
        <f>VLOOKUP($A148,'CCRA3 Risks'!$A:$AG,23,FALSE)</f>
        <v>0</v>
      </c>
      <c r="AH148" s="123">
        <f>VLOOKUP($A148,'CCRA3 Risks'!$A:$AG,24,FALSE)</f>
        <v>0</v>
      </c>
      <c r="AI148" s="123">
        <f>VLOOKUP($A148,'CCRA3 Risks'!$A:$AG,25,FALSE)</f>
        <v>0</v>
      </c>
      <c r="AJ148" s="123">
        <f>VLOOKUP($A148,'CCRA3 Risks'!$A:$AG,26,FALSE)</f>
        <v>0</v>
      </c>
      <c r="AK148" s="123">
        <f>VLOOKUP($A148,'CCRA3 Risks'!$A:$AG,27,FALSE)</f>
        <v>0</v>
      </c>
      <c r="AL148" s="123">
        <f>VLOOKUP($A148,'CCRA3 Risks'!$A:$AG,28,FALSE)</f>
        <v>0</v>
      </c>
      <c r="AM148" s="123">
        <f>VLOOKUP($A148,'CCRA3 Risks'!$A:$AG,29,FALSE)</f>
        <v>0</v>
      </c>
      <c r="AN148" s="123">
        <f>VLOOKUP($A148,'CCRA3 Risks'!$A:$AG,30,FALSE)</f>
        <v>0</v>
      </c>
      <c r="AO148" s="123">
        <f>VLOOKUP($A148,'CCRA3 Risks'!$A:$AG,31,FALSE)</f>
        <v>0</v>
      </c>
      <c r="AP148" s="123">
        <f>VLOOKUP($A148,'CCRA3 Risks'!$A:$AG,32,FALSE)</f>
        <v>0</v>
      </c>
      <c r="AQ148" s="123">
        <f>VLOOKUP($A148,'CCRA3 Risks'!$A:$AG,33,FALSE)</f>
        <v>0</v>
      </c>
    </row>
    <row r="149" spans="1:43" ht="51" x14ac:dyDescent="0.25">
      <c r="A149" s="88" t="s">
        <v>305</v>
      </c>
      <c r="B149" s="88" t="s">
        <v>1080</v>
      </c>
      <c r="C149" s="83" t="s">
        <v>1081</v>
      </c>
      <c r="D149" s="83" t="s">
        <v>461</v>
      </c>
      <c r="E149" s="88" t="s">
        <v>67</v>
      </c>
      <c r="F149" s="83" t="s">
        <v>421</v>
      </c>
      <c r="G149" s="83" t="s">
        <v>53</v>
      </c>
      <c r="H149" s="83" t="s">
        <v>1082</v>
      </c>
      <c r="I149" s="88"/>
      <c r="J149" s="88" t="s">
        <v>417</v>
      </c>
      <c r="K149" s="83" t="s">
        <v>1083</v>
      </c>
      <c r="L149" s="88" t="s">
        <v>480</v>
      </c>
      <c r="M149" s="88" t="s">
        <v>35</v>
      </c>
      <c r="N149" s="206" t="str">
        <f>VLOOKUP($A149,'CCRA3 Risks'!$A:$R,2,FALSE)</f>
        <v>ID2 Opportunities for UK food availability and exports from climate impacts overseas</v>
      </c>
      <c r="O149" s="206" t="str">
        <f>VLOOKUP($A149,'CCRA3 Risks'!$A:$R,3,FALSE)</f>
        <v>No</v>
      </c>
      <c r="P149" s="207">
        <f>VLOOKUP($A149,'CCRA3 Risks'!$A:$R,4,FALSE)</f>
        <v>7</v>
      </c>
      <c r="Q149" s="206" t="str">
        <f>VLOOKUP($A149,'CCRA3 Risks'!$A:$R,7,FALSE)</f>
        <v>UK</v>
      </c>
      <c r="R149" s="206" t="str">
        <f>VLOOKUP($A149,'CCRA3 Risks'!$A:$R,8,FALSE)</f>
        <v>Low</v>
      </c>
      <c r="S149" s="206" t="str">
        <f>VLOOKUP($A149,'CCRA3 Risks'!$A:$R,9,FALSE)</f>
        <v>Low</v>
      </c>
      <c r="T149" s="206" t="str">
        <f>VLOOKUP($A149,'CCRA3 Risks'!$A:$R,10,FALSE)</f>
        <v>Low</v>
      </c>
      <c r="U149" s="206" t="str">
        <f>VLOOKUP($A149,'CCRA3 Risks'!$A:$R,11,FALSE)</f>
        <v>Low</v>
      </c>
      <c r="V149" s="206" t="str">
        <f>VLOOKUP($A149,'CCRA3 Risks'!$A:$R,12,FALSE)</f>
        <v>Low</v>
      </c>
      <c r="W149" s="206" t="str">
        <f>VLOOKUP($A149,'CCRA3 Risks'!$A:$R,13,FALSE)</f>
        <v>Yes</v>
      </c>
      <c r="X149" s="206" t="str">
        <f>VLOOKUP($A149,'CCRA3 Risks'!$A:$R,14,FALSE)</f>
        <v>Watching brief</v>
      </c>
      <c r="Y149" s="206" t="str">
        <f>VLOOKUP($A149,'CCRA3 Risks'!$A:$R,15,FALSE)</f>
        <v>Watching brief</v>
      </c>
      <c r="Z149" s="206" t="str">
        <f>VLOOKUP($A149,'CCRA3 Risks'!$A:$R,16,FALSE)</f>
        <v>N/A</v>
      </c>
      <c r="AA149" s="206" t="str">
        <f>VLOOKUP($A149,'CCRA3 Risks'!$A:$R,17,FALSE)</f>
        <v>N/A</v>
      </c>
      <c r="AB149" s="206" t="str">
        <f>VLOOKUP($A149,'CCRA3 Risks'!$A:$R,18,FALSE)</f>
        <v>Low (No key policies looking at opportunities in the next two years)</v>
      </c>
      <c r="AC149" s="202">
        <f>VLOOKUP($A149,'CCRA3 Risks'!$A:$AG,19,FALSE)</f>
        <v>0</v>
      </c>
      <c r="AD149" s="123">
        <f>VLOOKUP($A149,'CCRA3 Risks'!$A:$AG,20,FALSE)</f>
        <v>0</v>
      </c>
      <c r="AE149" s="123" t="str">
        <f>VLOOKUP($A149,'CCRA3 Risks'!$A:$AG,21,FALSE)</f>
        <v>Y</v>
      </c>
      <c r="AF149" s="123">
        <f>VLOOKUP($A149,'CCRA3 Risks'!$A:$AG,22,FALSE)</f>
        <v>0</v>
      </c>
      <c r="AG149" s="123">
        <f>VLOOKUP($A149,'CCRA3 Risks'!$A:$AG,23,FALSE)</f>
        <v>0</v>
      </c>
      <c r="AH149" s="123">
        <f>VLOOKUP($A149,'CCRA3 Risks'!$A:$AG,24,FALSE)</f>
        <v>0</v>
      </c>
      <c r="AI149" s="123">
        <f>VLOOKUP($A149,'CCRA3 Risks'!$A:$AG,25,FALSE)</f>
        <v>0</v>
      </c>
      <c r="AJ149" s="123">
        <f>VLOOKUP($A149,'CCRA3 Risks'!$A:$AG,26,FALSE)</f>
        <v>0</v>
      </c>
      <c r="AK149" s="123">
        <f>VLOOKUP($A149,'CCRA3 Risks'!$A:$AG,27,FALSE)</f>
        <v>0</v>
      </c>
      <c r="AL149" s="123">
        <f>VLOOKUP($A149,'CCRA3 Risks'!$A:$AG,28,FALSE)</f>
        <v>0</v>
      </c>
      <c r="AM149" s="123">
        <f>VLOOKUP($A149,'CCRA3 Risks'!$A:$AG,29,FALSE)</f>
        <v>0</v>
      </c>
      <c r="AN149" s="123">
        <f>VLOOKUP($A149,'CCRA3 Risks'!$A:$AG,30,FALSE)</f>
        <v>0</v>
      </c>
      <c r="AO149" s="123">
        <f>VLOOKUP($A149,'CCRA3 Risks'!$A:$AG,31,FALSE)</f>
        <v>0</v>
      </c>
      <c r="AP149" s="123">
        <f>VLOOKUP($A149,'CCRA3 Risks'!$A:$AG,32,FALSE)</f>
        <v>0</v>
      </c>
      <c r="AQ149" s="123">
        <f>VLOOKUP($A149,'CCRA3 Risks'!$A:$AG,33,FALSE)</f>
        <v>0</v>
      </c>
    </row>
    <row r="150" spans="1:43" ht="76.5" x14ac:dyDescent="0.25">
      <c r="A150" s="88" t="s">
        <v>307</v>
      </c>
      <c r="B150" s="88" t="s">
        <v>1084</v>
      </c>
      <c r="C150" s="83" t="s">
        <v>1085</v>
      </c>
      <c r="D150" s="83" t="s">
        <v>461</v>
      </c>
      <c r="E150" s="88" t="s">
        <v>67</v>
      </c>
      <c r="F150" s="83" t="s">
        <v>396</v>
      </c>
      <c r="G150" s="83" t="s">
        <v>53</v>
      </c>
      <c r="H150" s="83" t="s">
        <v>1086</v>
      </c>
      <c r="I150" s="88"/>
      <c r="J150" s="83" t="s">
        <v>398</v>
      </c>
      <c r="K150" s="83" t="s">
        <v>1087</v>
      </c>
      <c r="L150" s="88" t="s">
        <v>1088</v>
      </c>
      <c r="M150" s="83" t="s">
        <v>1089</v>
      </c>
      <c r="N150" s="206" t="str">
        <f>VLOOKUP($A150,'CCRA3 Risks'!$A:$R,2,FALSE)</f>
        <v>ID3 Risks and opportunities to the UK from climate-related international human mobility</v>
      </c>
      <c r="O150" s="206" t="str">
        <f>VLOOKUP($A150,'CCRA3 Risks'!$A:$R,3,FALSE)</f>
        <v>No</v>
      </c>
      <c r="P150" s="207">
        <f>VLOOKUP($A150,'CCRA3 Risks'!$A:$R,4,FALSE)</f>
        <v>7</v>
      </c>
      <c r="Q150" s="206" t="str">
        <f>VLOOKUP($A150,'CCRA3 Risks'!$A:$R,7,FALSE)</f>
        <v>UK</v>
      </c>
      <c r="R150" s="206" t="str">
        <f>VLOOKUP($A150,'CCRA3 Risks'!$A:$R,8,FALSE)</f>
        <v>Low</v>
      </c>
      <c r="S150" s="206" t="str">
        <f>VLOOKUP($A150,'CCRA3 Risks'!$A:$R,9,FALSE)</f>
        <v>Low</v>
      </c>
      <c r="T150" s="206" t="str">
        <f>VLOOKUP($A150,'CCRA3 Risks'!$A:$R,10,FALSE)</f>
        <v>Low</v>
      </c>
      <c r="U150" s="206" t="str">
        <f>VLOOKUP($A150,'CCRA3 Risks'!$A:$R,11,FALSE)</f>
        <v>Medium</v>
      </c>
      <c r="V150" s="206" t="str">
        <f>VLOOKUP($A150,'CCRA3 Risks'!$A:$R,12,FALSE)</f>
        <v>Medium</v>
      </c>
      <c r="W150" s="206" t="str">
        <f>VLOOKUP($A150,'CCRA3 Risks'!$A:$R,13,FALSE)</f>
        <v>Partially</v>
      </c>
      <c r="X150" s="206" t="str">
        <f>VLOOKUP($A150,'CCRA3 Risks'!$A:$R,14,FALSE)</f>
        <v>Watching brief</v>
      </c>
      <c r="Y150" s="206" t="str">
        <f>VLOOKUP($A150,'CCRA3 Risks'!$A:$R,15,FALSE)</f>
        <v>Watching brief</v>
      </c>
      <c r="Z150" s="206" t="str">
        <f>VLOOKUP($A150,'CCRA3 Risks'!$A:$R,16,FALSE)</f>
        <v>N/A</v>
      </c>
      <c r="AA150" s="206" t="str">
        <f>VLOOKUP($A150,'CCRA3 Risks'!$A:$R,17,FALSE)</f>
        <v>N/A</v>
      </c>
      <c r="AB150" s="206" t="str">
        <f>VLOOKUP($A150,'CCRA3 Risks'!$A:$R,18,FALSE)</f>
        <v>Low (no key policies in the next two years)</v>
      </c>
      <c r="AC150" s="202">
        <f>VLOOKUP($A150,'CCRA3 Risks'!$A:$AG,19,FALSE)</f>
        <v>0</v>
      </c>
      <c r="AD150" s="123">
        <f>VLOOKUP($A150,'CCRA3 Risks'!$A:$AG,20,FALSE)</f>
        <v>0</v>
      </c>
      <c r="AE150" s="123">
        <f>VLOOKUP($A150,'CCRA3 Risks'!$A:$AG,21,FALSE)</f>
        <v>0</v>
      </c>
      <c r="AF150" s="123">
        <f>VLOOKUP($A150,'CCRA3 Risks'!$A:$AG,22,FALSE)</f>
        <v>0</v>
      </c>
      <c r="AG150" s="123">
        <f>VLOOKUP($A150,'CCRA3 Risks'!$A:$AG,23,FALSE)</f>
        <v>0</v>
      </c>
      <c r="AH150" s="123">
        <f>VLOOKUP($A150,'CCRA3 Risks'!$A:$AG,24,FALSE)</f>
        <v>0</v>
      </c>
      <c r="AI150" s="123">
        <f>VLOOKUP($A150,'CCRA3 Risks'!$A:$AG,25,FALSE)</f>
        <v>0</v>
      </c>
      <c r="AJ150" s="123">
        <f>VLOOKUP($A150,'CCRA3 Risks'!$A:$AG,26,FALSE)</f>
        <v>0</v>
      </c>
      <c r="AK150" s="123">
        <f>VLOOKUP($A150,'CCRA3 Risks'!$A:$AG,27,FALSE)</f>
        <v>0</v>
      </c>
      <c r="AL150" s="123">
        <f>VLOOKUP($A150,'CCRA3 Risks'!$A:$AG,28,FALSE)</f>
        <v>0</v>
      </c>
      <c r="AM150" s="123">
        <f>VLOOKUP($A150,'CCRA3 Risks'!$A:$AG,29,FALSE)</f>
        <v>0</v>
      </c>
      <c r="AN150" s="123">
        <f>VLOOKUP($A150,'CCRA3 Risks'!$A:$AG,30,FALSE)</f>
        <v>0</v>
      </c>
      <c r="AO150" s="123">
        <f>VLOOKUP($A150,'CCRA3 Risks'!$A:$AG,31,FALSE)</f>
        <v>0</v>
      </c>
      <c r="AP150" s="123">
        <f>VLOOKUP($A150,'CCRA3 Risks'!$A:$AG,32,FALSE)</f>
        <v>0</v>
      </c>
      <c r="AQ150" s="123" t="str">
        <f>VLOOKUP($A150,'CCRA3 Risks'!$A:$AG,33,FALSE)</f>
        <v>N</v>
      </c>
    </row>
    <row r="151" spans="1:43" ht="140.25" x14ac:dyDescent="0.25">
      <c r="A151" s="88" t="s">
        <v>307</v>
      </c>
      <c r="B151" s="88" t="s">
        <v>1090</v>
      </c>
      <c r="C151" s="83" t="s">
        <v>1091</v>
      </c>
      <c r="D151" s="83" t="s">
        <v>403</v>
      </c>
      <c r="E151" s="88" t="s">
        <v>67</v>
      </c>
      <c r="F151" s="83" t="s">
        <v>396</v>
      </c>
      <c r="G151" s="83" t="s">
        <v>53</v>
      </c>
      <c r="H151" s="83" t="s">
        <v>1092</v>
      </c>
      <c r="I151" s="88"/>
      <c r="J151" s="88" t="s">
        <v>398</v>
      </c>
      <c r="K151" s="83" t="s">
        <v>1093</v>
      </c>
      <c r="L151" s="88" t="s">
        <v>1088</v>
      </c>
      <c r="M151" s="83" t="s">
        <v>1094</v>
      </c>
      <c r="N151" s="206" t="str">
        <f>VLOOKUP($A151,'CCRA3 Risks'!$A:$R,2,FALSE)</f>
        <v>ID3 Risks and opportunities to the UK from climate-related international human mobility</v>
      </c>
      <c r="O151" s="206" t="str">
        <f>VLOOKUP($A151,'CCRA3 Risks'!$A:$R,3,FALSE)</f>
        <v>No</v>
      </c>
      <c r="P151" s="207">
        <f>VLOOKUP($A151,'CCRA3 Risks'!$A:$R,4,FALSE)</f>
        <v>7</v>
      </c>
      <c r="Q151" s="206" t="str">
        <f>VLOOKUP($A151,'CCRA3 Risks'!$A:$R,7,FALSE)</f>
        <v>UK</v>
      </c>
      <c r="R151" s="206" t="str">
        <f>VLOOKUP($A151,'CCRA3 Risks'!$A:$R,8,FALSE)</f>
        <v>Low</v>
      </c>
      <c r="S151" s="206" t="str">
        <f>VLOOKUP($A151,'CCRA3 Risks'!$A:$R,9,FALSE)</f>
        <v>Low</v>
      </c>
      <c r="T151" s="206" t="str">
        <f>VLOOKUP($A151,'CCRA3 Risks'!$A:$R,10,FALSE)</f>
        <v>Low</v>
      </c>
      <c r="U151" s="206" t="str">
        <f>VLOOKUP($A151,'CCRA3 Risks'!$A:$R,11,FALSE)</f>
        <v>Medium</v>
      </c>
      <c r="V151" s="206" t="str">
        <f>VLOOKUP($A151,'CCRA3 Risks'!$A:$R,12,FALSE)</f>
        <v>Medium</v>
      </c>
      <c r="W151" s="206" t="str">
        <f>VLOOKUP($A151,'CCRA3 Risks'!$A:$R,13,FALSE)</f>
        <v>Partially</v>
      </c>
      <c r="X151" s="206" t="str">
        <f>VLOOKUP($A151,'CCRA3 Risks'!$A:$R,14,FALSE)</f>
        <v>Watching brief</v>
      </c>
      <c r="Y151" s="206" t="str">
        <f>VLOOKUP($A151,'CCRA3 Risks'!$A:$R,15,FALSE)</f>
        <v>Watching brief</v>
      </c>
      <c r="Z151" s="206" t="str">
        <f>VLOOKUP($A151,'CCRA3 Risks'!$A:$R,16,FALSE)</f>
        <v>N/A</v>
      </c>
      <c r="AA151" s="206" t="str">
        <f>VLOOKUP($A151,'CCRA3 Risks'!$A:$R,17,FALSE)</f>
        <v>N/A</v>
      </c>
      <c r="AB151" s="206" t="str">
        <f>VLOOKUP($A151,'CCRA3 Risks'!$A:$R,18,FALSE)</f>
        <v>Low (no key policies in the next two years)</v>
      </c>
      <c r="AC151" s="202">
        <f>VLOOKUP($A151,'CCRA3 Risks'!$A:$AG,19,FALSE)</f>
        <v>0</v>
      </c>
      <c r="AD151" s="123">
        <f>VLOOKUP($A151,'CCRA3 Risks'!$A:$AG,20,FALSE)</f>
        <v>0</v>
      </c>
      <c r="AE151" s="123">
        <f>VLOOKUP($A151,'CCRA3 Risks'!$A:$AG,21,FALSE)</f>
        <v>0</v>
      </c>
      <c r="AF151" s="123">
        <f>VLOOKUP($A151,'CCRA3 Risks'!$A:$AG,22,FALSE)</f>
        <v>0</v>
      </c>
      <c r="AG151" s="123">
        <f>VLOOKUP($A151,'CCRA3 Risks'!$A:$AG,23,FALSE)</f>
        <v>0</v>
      </c>
      <c r="AH151" s="123">
        <f>VLOOKUP($A151,'CCRA3 Risks'!$A:$AG,24,FALSE)</f>
        <v>0</v>
      </c>
      <c r="AI151" s="123">
        <f>VLOOKUP($A151,'CCRA3 Risks'!$A:$AG,25,FALSE)</f>
        <v>0</v>
      </c>
      <c r="AJ151" s="123">
        <f>VLOOKUP($A151,'CCRA3 Risks'!$A:$AG,26,FALSE)</f>
        <v>0</v>
      </c>
      <c r="AK151" s="123">
        <f>VLOOKUP($A151,'CCRA3 Risks'!$A:$AG,27,FALSE)</f>
        <v>0</v>
      </c>
      <c r="AL151" s="123">
        <f>VLOOKUP($A151,'CCRA3 Risks'!$A:$AG,28,FALSE)</f>
        <v>0</v>
      </c>
      <c r="AM151" s="123">
        <f>VLOOKUP($A151,'CCRA3 Risks'!$A:$AG,29,FALSE)</f>
        <v>0</v>
      </c>
      <c r="AN151" s="123">
        <f>VLOOKUP($A151,'CCRA3 Risks'!$A:$AG,30,FALSE)</f>
        <v>0</v>
      </c>
      <c r="AO151" s="123">
        <f>VLOOKUP($A151,'CCRA3 Risks'!$A:$AG,31,FALSE)</f>
        <v>0</v>
      </c>
      <c r="AP151" s="123">
        <f>VLOOKUP($A151,'CCRA3 Risks'!$A:$AG,32,FALSE)</f>
        <v>0</v>
      </c>
      <c r="AQ151" s="123" t="str">
        <f>VLOOKUP($A151,'CCRA3 Risks'!$A:$AG,33,FALSE)</f>
        <v>N</v>
      </c>
    </row>
    <row r="152" spans="1:43" ht="89.25" x14ac:dyDescent="0.25">
      <c r="A152" s="88" t="s">
        <v>307</v>
      </c>
      <c r="B152" s="88" t="s">
        <v>1095</v>
      </c>
      <c r="C152" s="83" t="s">
        <v>1096</v>
      </c>
      <c r="D152" s="83" t="s">
        <v>403</v>
      </c>
      <c r="E152" s="88" t="s">
        <v>67</v>
      </c>
      <c r="F152" s="83" t="s">
        <v>396</v>
      </c>
      <c r="G152" s="83" t="s">
        <v>53</v>
      </c>
      <c r="H152" s="83" t="s">
        <v>1097</v>
      </c>
      <c r="I152" s="88"/>
      <c r="J152" s="88" t="s">
        <v>398</v>
      </c>
      <c r="K152" s="83" t="s">
        <v>1098</v>
      </c>
      <c r="L152" s="88" t="s">
        <v>1088</v>
      </c>
      <c r="M152" s="83" t="s">
        <v>1099</v>
      </c>
      <c r="N152" s="206" t="str">
        <f>VLOOKUP($A152,'CCRA3 Risks'!$A:$R,2,FALSE)</f>
        <v>ID3 Risks and opportunities to the UK from climate-related international human mobility</v>
      </c>
      <c r="O152" s="206" t="str">
        <f>VLOOKUP($A152,'CCRA3 Risks'!$A:$R,3,FALSE)</f>
        <v>No</v>
      </c>
      <c r="P152" s="207">
        <f>VLOOKUP($A152,'CCRA3 Risks'!$A:$R,4,FALSE)</f>
        <v>7</v>
      </c>
      <c r="Q152" s="206" t="str">
        <f>VLOOKUP($A152,'CCRA3 Risks'!$A:$R,7,FALSE)</f>
        <v>UK</v>
      </c>
      <c r="R152" s="206" t="str">
        <f>VLOOKUP($A152,'CCRA3 Risks'!$A:$R,8,FALSE)</f>
        <v>Low</v>
      </c>
      <c r="S152" s="206" t="str">
        <f>VLOOKUP($A152,'CCRA3 Risks'!$A:$R,9,FALSE)</f>
        <v>Low</v>
      </c>
      <c r="T152" s="206" t="str">
        <f>VLOOKUP($A152,'CCRA3 Risks'!$A:$R,10,FALSE)</f>
        <v>Low</v>
      </c>
      <c r="U152" s="206" t="str">
        <f>VLOOKUP($A152,'CCRA3 Risks'!$A:$R,11,FALSE)</f>
        <v>Medium</v>
      </c>
      <c r="V152" s="206" t="str">
        <f>VLOOKUP($A152,'CCRA3 Risks'!$A:$R,12,FALSE)</f>
        <v>Medium</v>
      </c>
      <c r="W152" s="206" t="str">
        <f>VLOOKUP($A152,'CCRA3 Risks'!$A:$R,13,FALSE)</f>
        <v>Partially</v>
      </c>
      <c r="X152" s="206" t="str">
        <f>VLOOKUP($A152,'CCRA3 Risks'!$A:$R,14,FALSE)</f>
        <v>Watching brief</v>
      </c>
      <c r="Y152" s="206" t="str">
        <f>VLOOKUP($A152,'CCRA3 Risks'!$A:$R,15,FALSE)</f>
        <v>Watching brief</v>
      </c>
      <c r="Z152" s="206" t="str">
        <f>VLOOKUP($A152,'CCRA3 Risks'!$A:$R,16,FALSE)</f>
        <v>N/A</v>
      </c>
      <c r="AA152" s="206" t="str">
        <f>VLOOKUP($A152,'CCRA3 Risks'!$A:$R,17,FALSE)</f>
        <v>N/A</v>
      </c>
      <c r="AB152" s="206" t="str">
        <f>VLOOKUP($A152,'CCRA3 Risks'!$A:$R,18,FALSE)</f>
        <v>Low (no key policies in the next two years)</v>
      </c>
      <c r="AC152" s="202">
        <f>VLOOKUP($A152,'CCRA3 Risks'!$A:$AG,19,FALSE)</f>
        <v>0</v>
      </c>
      <c r="AD152" s="123">
        <f>VLOOKUP($A152,'CCRA3 Risks'!$A:$AG,20,FALSE)</f>
        <v>0</v>
      </c>
      <c r="AE152" s="123">
        <f>VLOOKUP($A152,'CCRA3 Risks'!$A:$AG,21,FALSE)</f>
        <v>0</v>
      </c>
      <c r="AF152" s="123">
        <f>VLOOKUP($A152,'CCRA3 Risks'!$A:$AG,22,FALSE)</f>
        <v>0</v>
      </c>
      <c r="AG152" s="123">
        <f>VLOOKUP($A152,'CCRA3 Risks'!$A:$AG,23,FALSE)</f>
        <v>0</v>
      </c>
      <c r="AH152" s="123">
        <f>VLOOKUP($A152,'CCRA3 Risks'!$A:$AG,24,FALSE)</f>
        <v>0</v>
      </c>
      <c r="AI152" s="123">
        <f>VLOOKUP($A152,'CCRA3 Risks'!$A:$AG,25,FALSE)</f>
        <v>0</v>
      </c>
      <c r="AJ152" s="123">
        <f>VLOOKUP($A152,'CCRA3 Risks'!$A:$AG,26,FALSE)</f>
        <v>0</v>
      </c>
      <c r="AK152" s="123">
        <f>VLOOKUP($A152,'CCRA3 Risks'!$A:$AG,27,FALSE)</f>
        <v>0</v>
      </c>
      <c r="AL152" s="123">
        <f>VLOOKUP($A152,'CCRA3 Risks'!$A:$AG,28,FALSE)</f>
        <v>0</v>
      </c>
      <c r="AM152" s="123">
        <f>VLOOKUP($A152,'CCRA3 Risks'!$A:$AG,29,FALSE)</f>
        <v>0</v>
      </c>
      <c r="AN152" s="123">
        <f>VLOOKUP($A152,'CCRA3 Risks'!$A:$AG,30,FALSE)</f>
        <v>0</v>
      </c>
      <c r="AO152" s="123">
        <f>VLOOKUP($A152,'CCRA3 Risks'!$A:$AG,31,FALSE)</f>
        <v>0</v>
      </c>
      <c r="AP152" s="123">
        <f>VLOOKUP($A152,'CCRA3 Risks'!$A:$AG,32,FALSE)</f>
        <v>0</v>
      </c>
      <c r="AQ152" s="123" t="str">
        <f>VLOOKUP($A152,'CCRA3 Risks'!$A:$AG,33,FALSE)</f>
        <v>N</v>
      </c>
    </row>
    <row r="153" spans="1:43" ht="127.5" x14ac:dyDescent="0.25">
      <c r="A153" s="88" t="s">
        <v>307</v>
      </c>
      <c r="B153" s="88" t="s">
        <v>1100</v>
      </c>
      <c r="C153" s="83" t="s">
        <v>1101</v>
      </c>
      <c r="D153" s="83" t="s">
        <v>403</v>
      </c>
      <c r="E153" s="88" t="s">
        <v>67</v>
      </c>
      <c r="F153" s="83" t="s">
        <v>421</v>
      </c>
      <c r="G153" s="83" t="s">
        <v>53</v>
      </c>
      <c r="H153" s="83" t="s">
        <v>1102</v>
      </c>
      <c r="I153" s="88"/>
      <c r="J153" s="83" t="s">
        <v>411</v>
      </c>
      <c r="K153" s="83" t="s">
        <v>1103</v>
      </c>
      <c r="L153" s="88" t="s">
        <v>1088</v>
      </c>
      <c r="M153" s="88" t="s">
        <v>1088</v>
      </c>
      <c r="N153" s="206" t="str">
        <f>VLOOKUP($A153,'CCRA3 Risks'!$A:$R,2,FALSE)</f>
        <v>ID3 Risks and opportunities to the UK from climate-related international human mobility</v>
      </c>
      <c r="O153" s="206" t="str">
        <f>VLOOKUP($A153,'CCRA3 Risks'!$A:$R,3,FALSE)</f>
        <v>No</v>
      </c>
      <c r="P153" s="207">
        <f>VLOOKUP($A153,'CCRA3 Risks'!$A:$R,4,FALSE)</f>
        <v>7</v>
      </c>
      <c r="Q153" s="206" t="str">
        <f>VLOOKUP($A153,'CCRA3 Risks'!$A:$R,7,FALSE)</f>
        <v>UK</v>
      </c>
      <c r="R153" s="206" t="str">
        <f>VLOOKUP($A153,'CCRA3 Risks'!$A:$R,8,FALSE)</f>
        <v>Low</v>
      </c>
      <c r="S153" s="206" t="str">
        <f>VLOOKUP($A153,'CCRA3 Risks'!$A:$R,9,FALSE)</f>
        <v>Low</v>
      </c>
      <c r="T153" s="206" t="str">
        <f>VLOOKUP($A153,'CCRA3 Risks'!$A:$R,10,FALSE)</f>
        <v>Low</v>
      </c>
      <c r="U153" s="206" t="str">
        <f>VLOOKUP($A153,'CCRA3 Risks'!$A:$R,11,FALSE)</f>
        <v>Medium</v>
      </c>
      <c r="V153" s="206" t="str">
        <f>VLOOKUP($A153,'CCRA3 Risks'!$A:$R,12,FALSE)</f>
        <v>Medium</v>
      </c>
      <c r="W153" s="206" t="str">
        <f>VLOOKUP($A153,'CCRA3 Risks'!$A:$R,13,FALSE)</f>
        <v>Partially</v>
      </c>
      <c r="X153" s="206" t="str">
        <f>VLOOKUP($A153,'CCRA3 Risks'!$A:$R,14,FALSE)</f>
        <v>Watching brief</v>
      </c>
      <c r="Y153" s="206" t="str">
        <f>VLOOKUP($A153,'CCRA3 Risks'!$A:$R,15,FALSE)</f>
        <v>Watching brief</v>
      </c>
      <c r="Z153" s="206" t="str">
        <f>VLOOKUP($A153,'CCRA3 Risks'!$A:$R,16,FALSE)</f>
        <v>N/A</v>
      </c>
      <c r="AA153" s="206" t="str">
        <f>VLOOKUP($A153,'CCRA3 Risks'!$A:$R,17,FALSE)</f>
        <v>N/A</v>
      </c>
      <c r="AB153" s="206" t="str">
        <f>VLOOKUP($A153,'CCRA3 Risks'!$A:$R,18,FALSE)</f>
        <v>Low (no key policies in the next two years)</v>
      </c>
      <c r="AC153" s="202">
        <f>VLOOKUP($A153,'CCRA3 Risks'!$A:$AG,19,FALSE)</f>
        <v>0</v>
      </c>
      <c r="AD153" s="123">
        <f>VLOOKUP($A153,'CCRA3 Risks'!$A:$AG,20,FALSE)</f>
        <v>0</v>
      </c>
      <c r="AE153" s="123">
        <f>VLOOKUP($A153,'CCRA3 Risks'!$A:$AG,21,FALSE)</f>
        <v>0</v>
      </c>
      <c r="AF153" s="123">
        <f>VLOOKUP($A153,'CCRA3 Risks'!$A:$AG,22,FALSE)</f>
        <v>0</v>
      </c>
      <c r="AG153" s="123">
        <f>VLOOKUP($A153,'CCRA3 Risks'!$A:$AG,23,FALSE)</f>
        <v>0</v>
      </c>
      <c r="AH153" s="123">
        <f>VLOOKUP($A153,'CCRA3 Risks'!$A:$AG,24,FALSE)</f>
        <v>0</v>
      </c>
      <c r="AI153" s="123">
        <f>VLOOKUP($A153,'CCRA3 Risks'!$A:$AG,25,FALSE)</f>
        <v>0</v>
      </c>
      <c r="AJ153" s="123">
        <f>VLOOKUP($A153,'CCRA3 Risks'!$A:$AG,26,FALSE)</f>
        <v>0</v>
      </c>
      <c r="AK153" s="123">
        <f>VLOOKUP($A153,'CCRA3 Risks'!$A:$AG,27,FALSE)</f>
        <v>0</v>
      </c>
      <c r="AL153" s="123">
        <f>VLOOKUP($A153,'CCRA3 Risks'!$A:$AG,28,FALSE)</f>
        <v>0</v>
      </c>
      <c r="AM153" s="123">
        <f>VLOOKUP($A153,'CCRA3 Risks'!$A:$AG,29,FALSE)</f>
        <v>0</v>
      </c>
      <c r="AN153" s="123">
        <f>VLOOKUP($A153,'CCRA3 Risks'!$A:$AG,30,FALSE)</f>
        <v>0</v>
      </c>
      <c r="AO153" s="123">
        <f>VLOOKUP($A153,'CCRA3 Risks'!$A:$AG,31,FALSE)</f>
        <v>0</v>
      </c>
      <c r="AP153" s="123">
        <f>VLOOKUP($A153,'CCRA3 Risks'!$A:$AG,32,FALSE)</f>
        <v>0</v>
      </c>
      <c r="AQ153" s="123" t="str">
        <f>VLOOKUP($A153,'CCRA3 Risks'!$A:$AG,33,FALSE)</f>
        <v>N</v>
      </c>
    </row>
    <row r="154" spans="1:43" ht="153" x14ac:dyDescent="0.25">
      <c r="A154" s="88" t="s">
        <v>310</v>
      </c>
      <c r="B154" s="88" t="s">
        <v>1104</v>
      </c>
      <c r="C154" s="83" t="s">
        <v>1105</v>
      </c>
      <c r="D154" s="83" t="s">
        <v>403</v>
      </c>
      <c r="E154" s="88" t="s">
        <v>67</v>
      </c>
      <c r="F154" s="83" t="s">
        <v>421</v>
      </c>
      <c r="G154" s="83" t="s">
        <v>53</v>
      </c>
      <c r="H154" s="83" t="s">
        <v>1106</v>
      </c>
      <c r="I154" s="88"/>
      <c r="J154" s="88" t="s">
        <v>411</v>
      </c>
      <c r="K154" s="83" t="s">
        <v>1107</v>
      </c>
      <c r="L154" s="88" t="s">
        <v>1088</v>
      </c>
      <c r="M154" s="83" t="s">
        <v>1108</v>
      </c>
      <c r="N154" s="206" t="str">
        <f>VLOOKUP($A154,'CCRA3 Risks'!$A:$R,2,FALSE)</f>
        <v>ID4 Risks to the UK from international violent conflict resulting from climate change on the UK</v>
      </c>
      <c r="O154" s="206" t="str">
        <f>VLOOKUP($A154,'CCRA3 Risks'!$A:$R,3,FALSE)</f>
        <v>No</v>
      </c>
      <c r="P154" s="207">
        <f>VLOOKUP($A154,'CCRA3 Risks'!$A:$R,4,FALSE)</f>
        <v>7</v>
      </c>
      <c r="Q154" s="206" t="str">
        <f>VLOOKUP($A154,'CCRA3 Risks'!$A:$R,7,FALSE)</f>
        <v>UK</v>
      </c>
      <c r="R154" s="206" t="str">
        <f>VLOOKUP($A154,'CCRA3 Risks'!$A:$R,8,FALSE)</f>
        <v>Low</v>
      </c>
      <c r="S154" s="206" t="str">
        <f>VLOOKUP($A154,'CCRA3 Risks'!$A:$R,9,FALSE)</f>
        <v>Medium</v>
      </c>
      <c r="T154" s="206" t="str">
        <f>VLOOKUP($A154,'CCRA3 Risks'!$A:$R,10,FALSE)</f>
        <v>Medium</v>
      </c>
      <c r="U154" s="206" t="str">
        <f>VLOOKUP($A154,'CCRA3 Risks'!$A:$R,11,FALSE)</f>
        <v>Medium</v>
      </c>
      <c r="V154" s="206" t="str">
        <f>VLOOKUP($A154,'CCRA3 Risks'!$A:$R,12,FALSE)</f>
        <v>High</v>
      </c>
      <c r="W154" s="206" t="str">
        <f>VLOOKUP($A154,'CCRA3 Risks'!$A:$R,13,FALSE)</f>
        <v>Partially</v>
      </c>
      <c r="X154" s="206" t="str">
        <f>VLOOKUP($A154,'CCRA3 Risks'!$A:$R,14,FALSE)</f>
        <v>More action needed</v>
      </c>
      <c r="Y154" s="206" t="str">
        <f>VLOOKUP($A154,'CCRA3 Risks'!$A:$R,15,FALSE)</f>
        <v>More action needed</v>
      </c>
      <c r="Z154" s="206" t="str">
        <f>VLOOKUP($A154,'CCRA3 Risks'!$A:$R,16,FALSE)</f>
        <v>N/A</v>
      </c>
      <c r="AA154" s="206" t="str">
        <f>VLOOKUP($A154,'CCRA3 Risks'!$A:$R,17,FALSE)</f>
        <v>N/A</v>
      </c>
      <c r="AB154" s="206" t="str">
        <f>VLOOKUP($A154,'CCRA3 Risks'!$A:$R,18,FALSE)</f>
        <v>Low (No key policies looking or opportunities ac the next two years)</v>
      </c>
      <c r="AC154" s="202">
        <f>VLOOKUP($A154,'CCRA3 Risks'!$A:$AG,19,FALSE)</f>
        <v>0</v>
      </c>
      <c r="AD154" s="123">
        <f>VLOOKUP($A154,'CCRA3 Risks'!$A:$AG,20,FALSE)</f>
        <v>0</v>
      </c>
      <c r="AE154" s="123">
        <f>VLOOKUP($A154,'CCRA3 Risks'!$A:$AG,21,FALSE)</f>
        <v>0</v>
      </c>
      <c r="AF154" s="123">
        <f>VLOOKUP($A154,'CCRA3 Risks'!$A:$AG,22,FALSE)</f>
        <v>0</v>
      </c>
      <c r="AG154" s="123">
        <f>VLOOKUP($A154,'CCRA3 Risks'!$A:$AG,23,FALSE)</f>
        <v>0</v>
      </c>
      <c r="AH154" s="123">
        <f>VLOOKUP($A154,'CCRA3 Risks'!$A:$AG,24,FALSE)</f>
        <v>0</v>
      </c>
      <c r="AI154" s="123">
        <f>VLOOKUP($A154,'CCRA3 Risks'!$A:$AG,25,FALSE)</f>
        <v>0</v>
      </c>
      <c r="AJ154" s="123">
        <f>VLOOKUP($A154,'CCRA3 Risks'!$A:$AG,26,FALSE)</f>
        <v>0</v>
      </c>
      <c r="AK154" s="123">
        <f>VLOOKUP($A154,'CCRA3 Risks'!$A:$AG,27,FALSE)</f>
        <v>0</v>
      </c>
      <c r="AL154" s="123">
        <f>VLOOKUP($A154,'CCRA3 Risks'!$A:$AG,28,FALSE)</f>
        <v>0</v>
      </c>
      <c r="AM154" s="123">
        <f>VLOOKUP($A154,'CCRA3 Risks'!$A:$AG,29,FALSE)</f>
        <v>0</v>
      </c>
      <c r="AN154" s="123">
        <f>VLOOKUP($A154,'CCRA3 Risks'!$A:$AG,30,FALSE)</f>
        <v>0</v>
      </c>
      <c r="AO154" s="123">
        <f>VLOOKUP($A154,'CCRA3 Risks'!$A:$AG,31,FALSE)</f>
        <v>0</v>
      </c>
      <c r="AP154" s="123">
        <f>VLOOKUP($A154,'CCRA3 Risks'!$A:$AG,32,FALSE)</f>
        <v>0</v>
      </c>
      <c r="AQ154" s="123" t="str">
        <f>VLOOKUP($A154,'CCRA3 Risks'!$A:$AG,33,FALSE)</f>
        <v>N</v>
      </c>
    </row>
    <row r="155" spans="1:43" ht="178.5" x14ac:dyDescent="0.25">
      <c r="A155" s="88" t="s">
        <v>310</v>
      </c>
      <c r="B155" s="88" t="s">
        <v>1109</v>
      </c>
      <c r="C155" s="83" t="s">
        <v>1110</v>
      </c>
      <c r="D155" s="83" t="s">
        <v>461</v>
      </c>
      <c r="E155" s="88" t="s">
        <v>67</v>
      </c>
      <c r="F155" s="83" t="s">
        <v>421</v>
      </c>
      <c r="G155" s="83" t="s">
        <v>53</v>
      </c>
      <c r="H155" s="83" t="s">
        <v>1111</v>
      </c>
      <c r="I155" s="88" t="s">
        <v>1112</v>
      </c>
      <c r="J155" s="88" t="s">
        <v>398</v>
      </c>
      <c r="K155" s="83" t="s">
        <v>1113</v>
      </c>
      <c r="L155" s="88" t="s">
        <v>1088</v>
      </c>
      <c r="M155" s="83" t="s">
        <v>1114</v>
      </c>
      <c r="N155" s="206" t="str">
        <f>VLOOKUP($A155,'CCRA3 Risks'!$A:$R,2,FALSE)</f>
        <v>ID4 Risks to the UK from international violent conflict resulting from climate change on the UK</v>
      </c>
      <c r="O155" s="206" t="str">
        <f>VLOOKUP($A155,'CCRA3 Risks'!$A:$R,3,FALSE)</f>
        <v>No</v>
      </c>
      <c r="P155" s="207">
        <f>VLOOKUP($A155,'CCRA3 Risks'!$A:$R,4,FALSE)</f>
        <v>7</v>
      </c>
      <c r="Q155" s="206" t="str">
        <f>VLOOKUP($A155,'CCRA3 Risks'!$A:$R,7,FALSE)</f>
        <v>UK</v>
      </c>
      <c r="R155" s="206" t="str">
        <f>VLOOKUP($A155,'CCRA3 Risks'!$A:$R,8,FALSE)</f>
        <v>Low</v>
      </c>
      <c r="S155" s="206" t="str">
        <f>VLOOKUP($A155,'CCRA3 Risks'!$A:$R,9,FALSE)</f>
        <v>Medium</v>
      </c>
      <c r="T155" s="206" t="str">
        <f>VLOOKUP($A155,'CCRA3 Risks'!$A:$R,10,FALSE)</f>
        <v>Medium</v>
      </c>
      <c r="U155" s="206" t="str">
        <f>VLOOKUP($A155,'CCRA3 Risks'!$A:$R,11,FALSE)</f>
        <v>Medium</v>
      </c>
      <c r="V155" s="206" t="str">
        <f>VLOOKUP($A155,'CCRA3 Risks'!$A:$R,12,FALSE)</f>
        <v>High</v>
      </c>
      <c r="W155" s="206" t="str">
        <f>VLOOKUP($A155,'CCRA3 Risks'!$A:$R,13,FALSE)</f>
        <v>Partially</v>
      </c>
      <c r="X155" s="206" t="str">
        <f>VLOOKUP($A155,'CCRA3 Risks'!$A:$R,14,FALSE)</f>
        <v>More action needed</v>
      </c>
      <c r="Y155" s="206" t="str">
        <f>VLOOKUP($A155,'CCRA3 Risks'!$A:$R,15,FALSE)</f>
        <v>More action needed</v>
      </c>
      <c r="Z155" s="206" t="str">
        <f>VLOOKUP($A155,'CCRA3 Risks'!$A:$R,16,FALSE)</f>
        <v>N/A</v>
      </c>
      <c r="AA155" s="206" t="str">
        <f>VLOOKUP($A155,'CCRA3 Risks'!$A:$R,17,FALSE)</f>
        <v>N/A</v>
      </c>
      <c r="AB155" s="206" t="str">
        <f>VLOOKUP($A155,'CCRA3 Risks'!$A:$R,18,FALSE)</f>
        <v>Low (No key policies looking or opportunities ac the next two years)</v>
      </c>
      <c r="AC155" s="202">
        <f>VLOOKUP($A155,'CCRA3 Risks'!$A:$AG,19,FALSE)</f>
        <v>0</v>
      </c>
      <c r="AD155" s="123">
        <f>VLOOKUP($A155,'CCRA3 Risks'!$A:$AG,20,FALSE)</f>
        <v>0</v>
      </c>
      <c r="AE155" s="123">
        <f>VLOOKUP($A155,'CCRA3 Risks'!$A:$AG,21,FALSE)</f>
        <v>0</v>
      </c>
      <c r="AF155" s="123">
        <f>VLOOKUP($A155,'CCRA3 Risks'!$A:$AG,22,FALSE)</f>
        <v>0</v>
      </c>
      <c r="AG155" s="123">
        <f>VLOOKUP($A155,'CCRA3 Risks'!$A:$AG,23,FALSE)</f>
        <v>0</v>
      </c>
      <c r="AH155" s="123">
        <f>VLOOKUP($A155,'CCRA3 Risks'!$A:$AG,24,FALSE)</f>
        <v>0</v>
      </c>
      <c r="AI155" s="123">
        <f>VLOOKUP($A155,'CCRA3 Risks'!$A:$AG,25,FALSE)</f>
        <v>0</v>
      </c>
      <c r="AJ155" s="123">
        <f>VLOOKUP($A155,'CCRA3 Risks'!$A:$AG,26,FALSE)</f>
        <v>0</v>
      </c>
      <c r="AK155" s="123">
        <f>VLOOKUP($A155,'CCRA3 Risks'!$A:$AG,27,FALSE)</f>
        <v>0</v>
      </c>
      <c r="AL155" s="123">
        <f>VLOOKUP($A155,'CCRA3 Risks'!$A:$AG,28,FALSE)</f>
        <v>0</v>
      </c>
      <c r="AM155" s="123">
        <f>VLOOKUP($A155,'CCRA3 Risks'!$A:$AG,29,FALSE)</f>
        <v>0</v>
      </c>
      <c r="AN155" s="123">
        <f>VLOOKUP($A155,'CCRA3 Risks'!$A:$AG,30,FALSE)</f>
        <v>0</v>
      </c>
      <c r="AO155" s="123">
        <f>VLOOKUP($A155,'CCRA3 Risks'!$A:$AG,31,FALSE)</f>
        <v>0</v>
      </c>
      <c r="AP155" s="123">
        <f>VLOOKUP($A155,'CCRA3 Risks'!$A:$AG,32,FALSE)</f>
        <v>0</v>
      </c>
      <c r="AQ155" s="123" t="str">
        <f>VLOOKUP($A155,'CCRA3 Risks'!$A:$AG,33,FALSE)</f>
        <v>N</v>
      </c>
    </row>
    <row r="156" spans="1:43" ht="229.5" x14ac:dyDescent="0.25">
      <c r="A156" s="88" t="s">
        <v>312</v>
      </c>
      <c r="B156" s="88" t="s">
        <v>1115</v>
      </c>
      <c r="C156" s="83" t="s">
        <v>1116</v>
      </c>
      <c r="D156" s="83" t="s">
        <v>461</v>
      </c>
      <c r="E156" s="88" t="s">
        <v>67</v>
      </c>
      <c r="F156" s="83" t="s">
        <v>421</v>
      </c>
      <c r="G156" s="83" t="s">
        <v>53</v>
      </c>
      <c r="H156" s="83" t="s">
        <v>1117</v>
      </c>
      <c r="I156" s="88"/>
      <c r="J156" s="88" t="s">
        <v>463</v>
      </c>
      <c r="K156" s="83" t="s">
        <v>1118</v>
      </c>
      <c r="L156" s="88" t="s">
        <v>1088</v>
      </c>
      <c r="M156" s="83" t="s">
        <v>1094</v>
      </c>
      <c r="N156" s="206" t="str">
        <f>VLOOKUP($A156,'CCRA3 Risks'!$A:$R,2,FALSE)</f>
        <v>ID5 Risks to international law and governance from climate change overseas that will impact the UK</v>
      </c>
      <c r="O156" s="206" t="str">
        <f>VLOOKUP($A156,'CCRA3 Risks'!$A:$R,3,FALSE)</f>
        <v>No</v>
      </c>
      <c r="P156" s="207">
        <f>VLOOKUP($A156,'CCRA3 Risks'!$A:$R,4,FALSE)</f>
        <v>7</v>
      </c>
      <c r="Q156" s="206" t="str">
        <f>VLOOKUP($A156,'CCRA3 Risks'!$A:$R,7,FALSE)</f>
        <v>UK</v>
      </c>
      <c r="R156" s="206" t="str">
        <f>VLOOKUP($A156,'CCRA3 Risks'!$A:$R,8,FALSE)</f>
        <v>Low</v>
      </c>
      <c r="S156" s="206" t="str">
        <f>VLOOKUP($A156,'CCRA3 Risks'!$A:$R,9,FALSE)</f>
        <v>Medium</v>
      </c>
      <c r="T156" s="206" t="str">
        <f>VLOOKUP($A156,'CCRA3 Risks'!$A:$R,10,FALSE)</f>
        <v>High</v>
      </c>
      <c r="U156" s="206" t="str">
        <f>VLOOKUP($A156,'CCRA3 Risks'!$A:$R,11,FALSE)</f>
        <v>High</v>
      </c>
      <c r="V156" s="206" t="str">
        <f>VLOOKUP($A156,'CCRA3 Risks'!$A:$R,12,FALSE)</f>
        <v>High</v>
      </c>
      <c r="W156" s="206" t="str">
        <f>VLOOKUP($A156,'CCRA3 Risks'!$A:$R,13,FALSE)</f>
        <v>Partially</v>
      </c>
      <c r="X156" s="206" t="str">
        <f>VLOOKUP($A156,'CCRA3 Risks'!$A:$R,14,FALSE)</f>
        <v>More action needed</v>
      </c>
      <c r="Y156" s="206" t="str">
        <f>VLOOKUP($A156,'CCRA3 Risks'!$A:$R,15,FALSE)</f>
        <v>More action needed</v>
      </c>
      <c r="Z156" s="206" t="str">
        <f>VLOOKUP($A156,'CCRA3 Risks'!$A:$R,16,FALSE)</f>
        <v>N/A</v>
      </c>
      <c r="AA156" s="206" t="str">
        <f>VLOOKUP($A156,'CCRA3 Risks'!$A:$R,17,FALSE)</f>
        <v>N/A</v>
      </c>
      <c r="AB156" s="206" t="str">
        <f>VLOOKUP($A156,'CCRA3 Risks'!$A:$R,18,FALSE)</f>
        <v>Low (no key policies in the next two years)</v>
      </c>
      <c r="AC156" s="202">
        <f>VLOOKUP($A156,'CCRA3 Risks'!$A:$AG,19,FALSE)</f>
        <v>0</v>
      </c>
      <c r="AD156" s="123">
        <f>VLOOKUP($A156,'CCRA3 Risks'!$A:$AG,20,FALSE)</f>
        <v>0</v>
      </c>
      <c r="AE156" s="123">
        <f>VLOOKUP($A156,'CCRA3 Risks'!$A:$AG,21,FALSE)</f>
        <v>0</v>
      </c>
      <c r="AF156" s="123">
        <f>VLOOKUP($A156,'CCRA3 Risks'!$A:$AG,22,FALSE)</f>
        <v>0</v>
      </c>
      <c r="AG156" s="123">
        <f>VLOOKUP($A156,'CCRA3 Risks'!$A:$AG,23,FALSE)</f>
        <v>0</v>
      </c>
      <c r="AH156" s="123">
        <f>VLOOKUP($A156,'CCRA3 Risks'!$A:$AG,24,FALSE)</f>
        <v>0</v>
      </c>
      <c r="AI156" s="123">
        <f>VLOOKUP($A156,'CCRA3 Risks'!$A:$AG,25,FALSE)</f>
        <v>0</v>
      </c>
      <c r="AJ156" s="123">
        <f>VLOOKUP($A156,'CCRA3 Risks'!$A:$AG,26,FALSE)</f>
        <v>0</v>
      </c>
      <c r="AK156" s="123">
        <f>VLOOKUP($A156,'CCRA3 Risks'!$A:$AG,27,FALSE)</f>
        <v>0</v>
      </c>
      <c r="AL156" s="123">
        <f>VLOOKUP($A156,'CCRA3 Risks'!$A:$AG,28,FALSE)</f>
        <v>0</v>
      </c>
      <c r="AM156" s="123">
        <f>VLOOKUP($A156,'CCRA3 Risks'!$A:$AG,29,FALSE)</f>
        <v>0</v>
      </c>
      <c r="AN156" s="123">
        <f>VLOOKUP($A156,'CCRA3 Risks'!$A:$AG,30,FALSE)</f>
        <v>0</v>
      </c>
      <c r="AO156" s="123">
        <f>VLOOKUP($A156,'CCRA3 Risks'!$A:$AG,31,FALSE)</f>
        <v>0</v>
      </c>
      <c r="AP156" s="123">
        <f>VLOOKUP($A156,'CCRA3 Risks'!$A:$AG,32,FALSE)</f>
        <v>0</v>
      </c>
      <c r="AQ156" s="123" t="str">
        <f>VLOOKUP($A156,'CCRA3 Risks'!$A:$AG,33,FALSE)</f>
        <v>N</v>
      </c>
    </row>
    <row r="157" spans="1:43" ht="51" x14ac:dyDescent="0.25">
      <c r="A157" s="88" t="s">
        <v>312</v>
      </c>
      <c r="B157" s="88" t="s">
        <v>1119</v>
      </c>
      <c r="C157" s="83" t="s">
        <v>1120</v>
      </c>
      <c r="D157" s="83" t="s">
        <v>461</v>
      </c>
      <c r="E157" s="88" t="s">
        <v>67</v>
      </c>
      <c r="F157" s="83" t="s">
        <v>472</v>
      </c>
      <c r="G157" s="83" t="s">
        <v>30</v>
      </c>
      <c r="H157" s="83" t="s">
        <v>1121</v>
      </c>
      <c r="I157" s="88"/>
      <c r="J157" s="88" t="s">
        <v>417</v>
      </c>
      <c r="K157" s="83" t="s">
        <v>1122</v>
      </c>
      <c r="L157" s="88" t="s">
        <v>1088</v>
      </c>
      <c r="M157" s="88" t="s">
        <v>1088</v>
      </c>
      <c r="N157" s="206" t="str">
        <f>VLOOKUP($A157,'CCRA3 Risks'!$A:$R,2,FALSE)</f>
        <v>ID5 Risks to international law and governance from climate change overseas that will impact the UK</v>
      </c>
      <c r="O157" s="206" t="str">
        <f>VLOOKUP($A157,'CCRA3 Risks'!$A:$R,3,FALSE)</f>
        <v>No</v>
      </c>
      <c r="P157" s="207">
        <f>VLOOKUP($A157,'CCRA3 Risks'!$A:$R,4,FALSE)</f>
        <v>7</v>
      </c>
      <c r="Q157" s="206" t="str">
        <f>VLOOKUP($A157,'CCRA3 Risks'!$A:$R,7,FALSE)</f>
        <v>UK</v>
      </c>
      <c r="R157" s="206" t="str">
        <f>VLOOKUP($A157,'CCRA3 Risks'!$A:$R,8,FALSE)</f>
        <v>Low</v>
      </c>
      <c r="S157" s="206" t="str">
        <f>VLOOKUP($A157,'CCRA3 Risks'!$A:$R,9,FALSE)</f>
        <v>Medium</v>
      </c>
      <c r="T157" s="206" t="str">
        <f>VLOOKUP($A157,'CCRA3 Risks'!$A:$R,10,FALSE)</f>
        <v>High</v>
      </c>
      <c r="U157" s="206" t="str">
        <f>VLOOKUP($A157,'CCRA3 Risks'!$A:$R,11,FALSE)</f>
        <v>High</v>
      </c>
      <c r="V157" s="206" t="str">
        <f>VLOOKUP($A157,'CCRA3 Risks'!$A:$R,12,FALSE)</f>
        <v>High</v>
      </c>
      <c r="W157" s="206" t="str">
        <f>VLOOKUP($A157,'CCRA3 Risks'!$A:$R,13,FALSE)</f>
        <v>Partially</v>
      </c>
      <c r="X157" s="206" t="str">
        <f>VLOOKUP($A157,'CCRA3 Risks'!$A:$R,14,FALSE)</f>
        <v>More action needed</v>
      </c>
      <c r="Y157" s="206" t="str">
        <f>VLOOKUP($A157,'CCRA3 Risks'!$A:$R,15,FALSE)</f>
        <v>More action needed</v>
      </c>
      <c r="Z157" s="206" t="str">
        <f>VLOOKUP($A157,'CCRA3 Risks'!$A:$R,16,FALSE)</f>
        <v>N/A</v>
      </c>
      <c r="AA157" s="206" t="str">
        <f>VLOOKUP($A157,'CCRA3 Risks'!$A:$R,17,FALSE)</f>
        <v>N/A</v>
      </c>
      <c r="AB157" s="206" t="str">
        <f>VLOOKUP($A157,'CCRA3 Risks'!$A:$R,18,FALSE)</f>
        <v>Low (no key policies in the next two years)</v>
      </c>
      <c r="AC157" s="202">
        <f>VLOOKUP($A157,'CCRA3 Risks'!$A:$AG,19,FALSE)</f>
        <v>0</v>
      </c>
      <c r="AD157" s="123">
        <f>VLOOKUP($A157,'CCRA3 Risks'!$A:$AG,20,FALSE)</f>
        <v>0</v>
      </c>
      <c r="AE157" s="123">
        <f>VLOOKUP($A157,'CCRA3 Risks'!$A:$AG,21,FALSE)</f>
        <v>0</v>
      </c>
      <c r="AF157" s="123">
        <f>VLOOKUP($A157,'CCRA3 Risks'!$A:$AG,22,FALSE)</f>
        <v>0</v>
      </c>
      <c r="AG157" s="123">
        <f>VLOOKUP($A157,'CCRA3 Risks'!$A:$AG,23,FALSE)</f>
        <v>0</v>
      </c>
      <c r="AH157" s="123">
        <f>VLOOKUP($A157,'CCRA3 Risks'!$A:$AG,24,FALSE)</f>
        <v>0</v>
      </c>
      <c r="AI157" s="123">
        <f>VLOOKUP($A157,'CCRA3 Risks'!$A:$AG,25,FALSE)</f>
        <v>0</v>
      </c>
      <c r="AJ157" s="123">
        <f>VLOOKUP($A157,'CCRA3 Risks'!$A:$AG,26,FALSE)</f>
        <v>0</v>
      </c>
      <c r="AK157" s="123">
        <f>VLOOKUP($A157,'CCRA3 Risks'!$A:$AG,27,FALSE)</f>
        <v>0</v>
      </c>
      <c r="AL157" s="123">
        <f>VLOOKUP($A157,'CCRA3 Risks'!$A:$AG,28,FALSE)</f>
        <v>0</v>
      </c>
      <c r="AM157" s="123">
        <f>VLOOKUP($A157,'CCRA3 Risks'!$A:$AG,29,FALSE)</f>
        <v>0</v>
      </c>
      <c r="AN157" s="123">
        <f>VLOOKUP($A157,'CCRA3 Risks'!$A:$AG,30,FALSE)</f>
        <v>0</v>
      </c>
      <c r="AO157" s="123">
        <f>VLOOKUP($A157,'CCRA3 Risks'!$A:$AG,31,FALSE)</f>
        <v>0</v>
      </c>
      <c r="AP157" s="123">
        <f>VLOOKUP($A157,'CCRA3 Risks'!$A:$AG,32,FALSE)</f>
        <v>0</v>
      </c>
      <c r="AQ157" s="123" t="str">
        <f>VLOOKUP($A157,'CCRA3 Risks'!$A:$AG,33,FALSE)</f>
        <v>N</v>
      </c>
    </row>
    <row r="158" spans="1:43" ht="114.75" x14ac:dyDescent="0.25">
      <c r="A158" s="88" t="s">
        <v>314</v>
      </c>
      <c r="B158" s="88" t="s">
        <v>1123</v>
      </c>
      <c r="C158" s="83" t="s">
        <v>1124</v>
      </c>
      <c r="D158" s="83" t="s">
        <v>403</v>
      </c>
      <c r="E158" s="88" t="s">
        <v>67</v>
      </c>
      <c r="F158" s="83" t="s">
        <v>421</v>
      </c>
      <c r="G158" s="83" t="s">
        <v>53</v>
      </c>
      <c r="H158" s="83" t="s">
        <v>1125</v>
      </c>
      <c r="I158" s="88"/>
      <c r="J158" s="88" t="s">
        <v>398</v>
      </c>
      <c r="K158" s="83" t="s">
        <v>1126</v>
      </c>
      <c r="L158" s="88" t="s">
        <v>1088</v>
      </c>
      <c r="M158" s="83" t="s">
        <v>400</v>
      </c>
      <c r="N158" s="206" t="str">
        <f>VLOOKUP($A158,'CCRA3 Risks'!$A:$R,2,FALSE)</f>
        <v>ID6 Opportunities from climate change (including arctic ice melt) on international trade routes</v>
      </c>
      <c r="O158" s="206" t="str">
        <f>VLOOKUP($A158,'CCRA3 Risks'!$A:$R,3,FALSE)</f>
        <v>No</v>
      </c>
      <c r="P158" s="207">
        <f>VLOOKUP($A158,'CCRA3 Risks'!$A:$R,4,FALSE)</f>
        <v>7</v>
      </c>
      <c r="Q158" s="206" t="str">
        <f>VLOOKUP($A158,'CCRA3 Risks'!$A:$R,7,FALSE)</f>
        <v>UK</v>
      </c>
      <c r="R158" s="206" t="str">
        <f>VLOOKUP($A158,'CCRA3 Risks'!$A:$R,8,FALSE)</f>
        <v>Low</v>
      </c>
      <c r="S158" s="206" t="str">
        <f>VLOOKUP($A158,'CCRA3 Risks'!$A:$R,9,FALSE)</f>
        <v>High</v>
      </c>
      <c r="T158" s="206" t="str">
        <f>VLOOKUP($A158,'CCRA3 Risks'!$A:$R,10,FALSE)</f>
        <v>High</v>
      </c>
      <c r="U158" s="206" t="str">
        <f>VLOOKUP($A158,'CCRA3 Risks'!$A:$R,11,FALSE)</f>
        <v>High</v>
      </c>
      <c r="V158" s="206" t="str">
        <f>VLOOKUP($A158,'CCRA3 Risks'!$A:$R,12,FALSE)</f>
        <v>High</v>
      </c>
      <c r="W158" s="206" t="str">
        <f>VLOOKUP($A158,'CCRA3 Risks'!$A:$R,13,FALSE)</f>
        <v>Yes</v>
      </c>
      <c r="X158" s="206" t="str">
        <f>VLOOKUP($A158,'CCRA3 Risks'!$A:$R,14,FALSE)</f>
        <v>Watching brief</v>
      </c>
      <c r="Y158" s="206" t="str">
        <f>VLOOKUP($A158,'CCRA3 Risks'!$A:$R,15,FALSE)</f>
        <v>Watching brief</v>
      </c>
      <c r="Z158" s="206" t="str">
        <f>VLOOKUP($A158,'CCRA3 Risks'!$A:$R,16,FALSE)</f>
        <v>N/A</v>
      </c>
      <c r="AA158" s="206" t="str">
        <f>VLOOKUP($A158,'CCRA3 Risks'!$A:$R,17,FALSE)</f>
        <v>N/A</v>
      </c>
      <c r="AB158" s="206" t="str">
        <f>VLOOKUP($A158,'CCRA3 Risks'!$A:$R,18,FALSE)</f>
        <v>Low (no key policies in the next two years)</v>
      </c>
      <c r="AC158" s="202">
        <f>VLOOKUP($A158,'CCRA3 Risks'!$A:$AG,19,FALSE)</f>
        <v>0</v>
      </c>
      <c r="AD158" s="123">
        <f>VLOOKUP($A158,'CCRA3 Risks'!$A:$AG,20,FALSE)</f>
        <v>0</v>
      </c>
      <c r="AE158" s="123" t="str">
        <f>VLOOKUP($A158,'CCRA3 Risks'!$A:$AG,21,FALSE)</f>
        <v>Y</v>
      </c>
      <c r="AF158" s="123">
        <f>VLOOKUP($A158,'CCRA3 Risks'!$A:$AG,22,FALSE)</f>
        <v>0</v>
      </c>
      <c r="AG158" s="123">
        <f>VLOOKUP($A158,'CCRA3 Risks'!$A:$AG,23,FALSE)</f>
        <v>0</v>
      </c>
      <c r="AH158" s="123">
        <f>VLOOKUP($A158,'CCRA3 Risks'!$A:$AG,24,FALSE)</f>
        <v>0</v>
      </c>
      <c r="AI158" s="123">
        <f>VLOOKUP($A158,'CCRA3 Risks'!$A:$AG,25,FALSE)</f>
        <v>0</v>
      </c>
      <c r="AJ158" s="123">
        <f>VLOOKUP($A158,'CCRA3 Risks'!$A:$AG,26,FALSE)</f>
        <v>0</v>
      </c>
      <c r="AK158" s="123">
        <f>VLOOKUP($A158,'CCRA3 Risks'!$A:$AG,27,FALSE)</f>
        <v>0</v>
      </c>
      <c r="AL158" s="123">
        <f>VLOOKUP($A158,'CCRA3 Risks'!$A:$AG,28,FALSE)</f>
        <v>0</v>
      </c>
      <c r="AM158" s="123">
        <f>VLOOKUP($A158,'CCRA3 Risks'!$A:$AG,29,FALSE)</f>
        <v>0</v>
      </c>
      <c r="AN158" s="123">
        <f>VLOOKUP($A158,'CCRA3 Risks'!$A:$AG,30,FALSE)</f>
        <v>0</v>
      </c>
      <c r="AO158" s="123">
        <f>VLOOKUP($A158,'CCRA3 Risks'!$A:$AG,31,FALSE)</f>
        <v>0</v>
      </c>
      <c r="AP158" s="123">
        <f>VLOOKUP($A158,'CCRA3 Risks'!$A:$AG,32,FALSE)</f>
        <v>0</v>
      </c>
      <c r="AQ158" s="123">
        <f>VLOOKUP($A158,'CCRA3 Risks'!$A:$AG,33,FALSE)</f>
        <v>0</v>
      </c>
    </row>
    <row r="159" spans="1:43" ht="293.25" x14ac:dyDescent="0.25">
      <c r="A159" s="88" t="s">
        <v>316</v>
      </c>
      <c r="B159" s="88" t="s">
        <v>1127</v>
      </c>
      <c r="C159" s="83" t="s">
        <v>1128</v>
      </c>
      <c r="D159" s="83" t="s">
        <v>403</v>
      </c>
      <c r="E159" s="88" t="s">
        <v>67</v>
      </c>
      <c r="F159" s="83" t="s">
        <v>421</v>
      </c>
      <c r="G159" s="83" t="s">
        <v>53</v>
      </c>
      <c r="H159" s="83" t="s">
        <v>1129</v>
      </c>
      <c r="I159" s="88"/>
      <c r="J159" s="88" t="s">
        <v>463</v>
      </c>
      <c r="K159" s="83" t="s">
        <v>1130</v>
      </c>
      <c r="L159" s="88" t="s">
        <v>400</v>
      </c>
      <c r="M159" s="88" t="s">
        <v>400</v>
      </c>
      <c r="N159" s="206" t="str">
        <f>VLOOKUP($A159,'CCRA3 Risks'!$A:$R,2,FALSE)</f>
        <v>ID7 Risks from climate change on international trade routes</v>
      </c>
      <c r="O159" s="206" t="str">
        <f>VLOOKUP($A159,'CCRA3 Risks'!$A:$R,3,FALSE)</f>
        <v>Yes</v>
      </c>
      <c r="P159" s="207">
        <f>VLOOKUP($A159,'CCRA3 Risks'!$A:$R,4,FALSE)</f>
        <v>7</v>
      </c>
      <c r="Q159" s="206" t="str">
        <f>VLOOKUP($A159,'CCRA3 Risks'!$A:$R,7,FALSE)</f>
        <v>UK</v>
      </c>
      <c r="R159" s="206" t="str">
        <f>VLOOKUP($A159,'CCRA3 Risks'!$A:$R,8,FALSE)</f>
        <v>Medium</v>
      </c>
      <c r="S159" s="206" t="str">
        <f>VLOOKUP($A159,'CCRA3 Risks'!$A:$R,9,FALSE)</f>
        <v>Medium</v>
      </c>
      <c r="T159" s="206" t="str">
        <f>VLOOKUP($A159,'CCRA3 Risks'!$A:$R,10,FALSE)</f>
        <v>High</v>
      </c>
      <c r="U159" s="206" t="str">
        <f>VLOOKUP($A159,'CCRA3 Risks'!$A:$R,11,FALSE)</f>
        <v>Medium</v>
      </c>
      <c r="V159" s="206" t="str">
        <f>VLOOKUP($A159,'CCRA3 Risks'!$A:$R,12,FALSE)</f>
        <v>High</v>
      </c>
      <c r="W159" s="206" t="str">
        <f>VLOOKUP($A159,'CCRA3 Risks'!$A:$R,13,FALSE)</f>
        <v>Partially</v>
      </c>
      <c r="X159" s="206" t="str">
        <f>VLOOKUP($A159,'CCRA3 Risks'!$A:$R,14,FALSE)</f>
        <v>More action needed</v>
      </c>
      <c r="Y159" s="206" t="str">
        <f>VLOOKUP($A159,'CCRA3 Risks'!$A:$R,15,FALSE)</f>
        <v>More action needed</v>
      </c>
      <c r="Z159" s="206" t="str">
        <f>VLOOKUP($A159,'CCRA3 Risks'!$A:$R,16,FALSE)</f>
        <v>N/A</v>
      </c>
      <c r="AA159" s="206" t="str">
        <f>VLOOKUP($A159,'CCRA3 Risks'!$A:$R,17,FALSE)</f>
        <v>N/A</v>
      </c>
      <c r="AB159" s="206" t="str">
        <f>VLOOKUP($A159,'CCRA3 Risks'!$A:$R,18,FALSE)</f>
        <v>Medium (TCFD reporting)</v>
      </c>
      <c r="AC159" s="202">
        <f>VLOOKUP($A159,'CCRA3 Risks'!$A:$AG,19,FALSE)</f>
        <v>0</v>
      </c>
      <c r="AD159" s="123">
        <f>VLOOKUP($A159,'CCRA3 Risks'!$A:$AG,20,FALSE)</f>
        <v>0</v>
      </c>
      <c r="AE159" s="123" t="str">
        <f>VLOOKUP($A159,'CCRA3 Risks'!$A:$AG,21,FALSE)</f>
        <v>Y</v>
      </c>
      <c r="AF159" s="123">
        <f>VLOOKUP($A159,'CCRA3 Risks'!$A:$AG,22,FALSE)</f>
        <v>0</v>
      </c>
      <c r="AG159" s="123">
        <f>VLOOKUP($A159,'CCRA3 Risks'!$A:$AG,23,FALSE)</f>
        <v>0</v>
      </c>
      <c r="AH159" s="123">
        <f>VLOOKUP($A159,'CCRA3 Risks'!$A:$AG,24,FALSE)</f>
        <v>0</v>
      </c>
      <c r="AI159" s="123">
        <f>VLOOKUP($A159,'CCRA3 Risks'!$A:$AG,25,FALSE)</f>
        <v>0</v>
      </c>
      <c r="AJ159" s="123">
        <f>VLOOKUP($A159,'CCRA3 Risks'!$A:$AG,26,FALSE)</f>
        <v>0</v>
      </c>
      <c r="AK159" s="123">
        <f>VLOOKUP($A159,'CCRA3 Risks'!$A:$AG,27,FALSE)</f>
        <v>0</v>
      </c>
      <c r="AL159" s="123">
        <f>VLOOKUP($A159,'CCRA3 Risks'!$A:$AG,28,FALSE)</f>
        <v>0</v>
      </c>
      <c r="AM159" s="123">
        <f>VLOOKUP($A159,'CCRA3 Risks'!$A:$AG,29,FALSE)</f>
        <v>0</v>
      </c>
      <c r="AN159" s="123">
        <f>VLOOKUP($A159,'CCRA3 Risks'!$A:$AG,30,FALSE)</f>
        <v>0</v>
      </c>
      <c r="AO159" s="123">
        <f>VLOOKUP($A159,'CCRA3 Risks'!$A:$AG,31,FALSE)</f>
        <v>0</v>
      </c>
      <c r="AP159" s="123">
        <f>VLOOKUP($A159,'CCRA3 Risks'!$A:$AG,32,FALSE)</f>
        <v>0</v>
      </c>
      <c r="AQ159" s="123">
        <f>VLOOKUP($A159,'CCRA3 Risks'!$A:$AG,33,FALSE)</f>
        <v>0</v>
      </c>
    </row>
    <row r="160" spans="1:43" ht="178.5" x14ac:dyDescent="0.25">
      <c r="A160" s="88" t="s">
        <v>318</v>
      </c>
      <c r="B160" s="88" t="s">
        <v>1131</v>
      </c>
      <c r="C160" s="83" t="s">
        <v>1132</v>
      </c>
      <c r="D160" s="83" t="s">
        <v>461</v>
      </c>
      <c r="E160" s="88" t="s">
        <v>67</v>
      </c>
      <c r="F160" s="83" t="s">
        <v>421</v>
      </c>
      <c r="G160" s="83" t="s">
        <v>53</v>
      </c>
      <c r="H160" s="83" t="s">
        <v>1133</v>
      </c>
      <c r="I160" s="88"/>
      <c r="J160" s="88" t="s">
        <v>398</v>
      </c>
      <c r="K160" s="83" t="s">
        <v>1134</v>
      </c>
      <c r="L160" s="88" t="s">
        <v>508</v>
      </c>
      <c r="M160" s="88" t="s">
        <v>508</v>
      </c>
      <c r="N160" s="206" t="str">
        <f>VLOOKUP($A160,'CCRA3 Risks'!$A:$R,2,FALSE)</f>
        <v>ID8 Risk to the UK finance sector from climate change overseas</v>
      </c>
      <c r="O160" s="206" t="str">
        <f>VLOOKUP($A160,'CCRA3 Risks'!$A:$R,3,FALSE)</f>
        <v>Yes</v>
      </c>
      <c r="P160" s="207">
        <f>VLOOKUP($A160,'CCRA3 Risks'!$A:$R,4,FALSE)</f>
        <v>7</v>
      </c>
      <c r="Q160" s="206" t="str">
        <f>VLOOKUP($A160,'CCRA3 Risks'!$A:$R,7,FALSE)</f>
        <v>UK</v>
      </c>
      <c r="R160" s="206" t="str">
        <f>VLOOKUP($A160,'CCRA3 Risks'!$A:$R,8,FALSE)</f>
        <v>Low</v>
      </c>
      <c r="S160" s="206" t="str">
        <f>VLOOKUP($A160,'CCRA3 Risks'!$A:$R,9,FALSE)</f>
        <v>Medium</v>
      </c>
      <c r="T160" s="206" t="str">
        <f>VLOOKUP($A160,'CCRA3 Risks'!$A:$R,10,FALSE)</f>
        <v>Medium</v>
      </c>
      <c r="U160" s="206" t="str">
        <f>VLOOKUP($A160,'CCRA3 Risks'!$A:$R,11,FALSE)</f>
        <v>Medium</v>
      </c>
      <c r="V160" s="206" t="str">
        <f>VLOOKUP($A160,'CCRA3 Risks'!$A:$R,12,FALSE)</f>
        <v>High</v>
      </c>
      <c r="W160" s="206" t="str">
        <f>VLOOKUP($A160,'CCRA3 Risks'!$A:$R,13,FALSE)</f>
        <v>Partially</v>
      </c>
      <c r="X160" s="206" t="str">
        <f>VLOOKUP($A160,'CCRA3 Risks'!$A:$R,14,FALSE)</f>
        <v>Sustain current action</v>
      </c>
      <c r="Y160" s="206" t="str">
        <f>VLOOKUP($A160,'CCRA3 Risks'!$A:$R,15,FALSE)</f>
        <v>Sustain current action</v>
      </c>
      <c r="Z160" s="206" t="str">
        <f>VLOOKUP($A160,'CCRA3 Risks'!$A:$R,16,FALSE)</f>
        <v>N/A</v>
      </c>
      <c r="AA160" s="206" t="str">
        <f>VLOOKUP($A160,'CCRA3 Risks'!$A:$R,17,FALSE)</f>
        <v>N/A</v>
      </c>
      <c r="AB160" s="206" t="str">
        <f>VLOOKUP($A160,'CCRA3 Risks'!$A:$R,18,FALSE)</f>
        <v>Medium (TCFD reporting)</v>
      </c>
      <c r="AC160" s="202">
        <f>VLOOKUP($A160,'CCRA3 Risks'!$A:$AG,19,FALSE)</f>
        <v>0</v>
      </c>
      <c r="AD160" s="123">
        <f>VLOOKUP($A160,'CCRA3 Risks'!$A:$AG,20,FALSE)</f>
        <v>0</v>
      </c>
      <c r="AE160" s="123">
        <f>VLOOKUP($A160,'CCRA3 Risks'!$A:$AG,21,FALSE)</f>
        <v>0</v>
      </c>
      <c r="AF160" s="123">
        <f>VLOOKUP($A160,'CCRA3 Risks'!$A:$AG,22,FALSE)</f>
        <v>0</v>
      </c>
      <c r="AG160" s="123">
        <f>VLOOKUP($A160,'CCRA3 Risks'!$A:$AG,23,FALSE)</f>
        <v>0</v>
      </c>
      <c r="AH160" s="123">
        <f>VLOOKUP($A160,'CCRA3 Risks'!$A:$AG,24,FALSE)</f>
        <v>0</v>
      </c>
      <c r="AI160" s="123">
        <f>VLOOKUP($A160,'CCRA3 Risks'!$A:$AG,25,FALSE)</f>
        <v>0</v>
      </c>
      <c r="AJ160" s="123">
        <f>VLOOKUP($A160,'CCRA3 Risks'!$A:$AG,26,FALSE)</f>
        <v>0</v>
      </c>
      <c r="AK160" s="123">
        <f>VLOOKUP($A160,'CCRA3 Risks'!$A:$AG,27,FALSE)</f>
        <v>0</v>
      </c>
      <c r="AL160" s="123">
        <f>VLOOKUP($A160,'CCRA3 Risks'!$A:$AG,28,FALSE)</f>
        <v>0</v>
      </c>
      <c r="AM160" s="123">
        <f>VLOOKUP($A160,'CCRA3 Risks'!$A:$AG,29,FALSE)</f>
        <v>0</v>
      </c>
      <c r="AN160" s="123">
        <f>VLOOKUP($A160,'CCRA3 Risks'!$A:$AG,30,FALSE)</f>
        <v>0</v>
      </c>
      <c r="AO160" s="123" t="str">
        <f>VLOOKUP($A160,'CCRA3 Risks'!$A:$AG,31,FALSE)</f>
        <v>Y</v>
      </c>
      <c r="AP160" s="123">
        <f>VLOOKUP($A160,'CCRA3 Risks'!$A:$AG,32,FALSE)</f>
        <v>0</v>
      </c>
      <c r="AQ160" s="123">
        <f>VLOOKUP($A160,'CCRA3 Risks'!$A:$AG,33,FALSE)</f>
        <v>0</v>
      </c>
    </row>
    <row r="161" spans="1:43" ht="140.25" x14ac:dyDescent="0.25">
      <c r="A161" s="88" t="s">
        <v>321</v>
      </c>
      <c r="B161" s="88" t="s">
        <v>1135</v>
      </c>
      <c r="C161" s="83" t="s">
        <v>1136</v>
      </c>
      <c r="D161" s="83" t="s">
        <v>461</v>
      </c>
      <c r="E161" s="88" t="s">
        <v>67</v>
      </c>
      <c r="F161" s="83" t="s">
        <v>421</v>
      </c>
      <c r="G161" s="83" t="s">
        <v>53</v>
      </c>
      <c r="H161" s="83" t="s">
        <v>1137</v>
      </c>
      <c r="I161" s="88"/>
      <c r="J161" s="88" t="s">
        <v>463</v>
      </c>
      <c r="K161" s="83" t="s">
        <v>1138</v>
      </c>
      <c r="L161" s="88" t="s">
        <v>629</v>
      </c>
      <c r="M161" s="83" t="s">
        <v>1139</v>
      </c>
      <c r="N161" s="206" t="str">
        <f>VLOOKUP($A161,'CCRA3 Risks'!$A:$R,2,FALSE)</f>
        <v>ID9 Risk to UK public health from climate change overseas</v>
      </c>
      <c r="O161" s="206" t="str">
        <f>VLOOKUP($A161,'CCRA3 Risks'!$A:$R,3,FALSE)</f>
        <v>No</v>
      </c>
      <c r="P161" s="207">
        <f>VLOOKUP($A161,'CCRA3 Risks'!$A:$R,4,FALSE)</f>
        <v>7</v>
      </c>
      <c r="Q161" s="206" t="str">
        <f>VLOOKUP($A161,'CCRA3 Risks'!$A:$R,7,FALSE)</f>
        <v>UK</v>
      </c>
      <c r="R161" s="206" t="str">
        <f>VLOOKUP($A161,'CCRA3 Risks'!$A:$R,8,FALSE)</f>
        <v>High</v>
      </c>
      <c r="S161" s="206" t="str">
        <f>VLOOKUP($A161,'CCRA3 Risks'!$A:$R,9,FALSE)</f>
        <v>High</v>
      </c>
      <c r="T161" s="206" t="str">
        <f>VLOOKUP($A161,'CCRA3 Risks'!$A:$R,10,FALSE)</f>
        <v>High</v>
      </c>
      <c r="U161" s="206" t="str">
        <f>VLOOKUP($A161,'CCRA3 Risks'!$A:$R,11,FALSE)</f>
        <v>High</v>
      </c>
      <c r="V161" s="206" t="str">
        <f>VLOOKUP($A161,'CCRA3 Risks'!$A:$R,12,FALSE)</f>
        <v>High</v>
      </c>
      <c r="W161" s="206" t="str">
        <f>VLOOKUP($A161,'CCRA3 Risks'!$A:$R,13,FALSE)</f>
        <v>Partially</v>
      </c>
      <c r="X161" s="206" t="str">
        <f>VLOOKUP($A161,'CCRA3 Risks'!$A:$R,14,FALSE)</f>
        <v>More action needed</v>
      </c>
      <c r="Y161" s="206" t="str">
        <f>VLOOKUP($A161,'CCRA3 Risks'!$A:$R,15,FALSE)</f>
        <v>More action needed</v>
      </c>
      <c r="Z161" s="206" t="str">
        <f>VLOOKUP($A161,'CCRA3 Risks'!$A:$R,16,FALSE)</f>
        <v>N/A</v>
      </c>
      <c r="AA161" s="206" t="str">
        <f>VLOOKUP($A161,'CCRA3 Risks'!$A:$R,17,FALSE)</f>
        <v>N/A</v>
      </c>
      <c r="AB161" s="206" t="str">
        <f>VLOOKUP($A161,'CCRA3 Risks'!$A:$R,18,FALSE)</f>
        <v>Medium (reviews of disease planning may emerge post-Covid, but uncertain)</v>
      </c>
      <c r="AC161" s="202">
        <f>VLOOKUP($A161,'CCRA3 Risks'!$A:$AG,19,FALSE)</f>
        <v>0</v>
      </c>
      <c r="AD161" s="123">
        <f>VLOOKUP($A161,'CCRA3 Risks'!$A:$AG,20,FALSE)</f>
        <v>0</v>
      </c>
      <c r="AE161" s="123">
        <f>VLOOKUP($A161,'CCRA3 Risks'!$A:$AG,21,FALSE)</f>
        <v>0</v>
      </c>
      <c r="AF161" s="123">
        <f>VLOOKUP($A161,'CCRA3 Risks'!$A:$AG,22,FALSE)</f>
        <v>0</v>
      </c>
      <c r="AG161" s="123">
        <f>VLOOKUP($A161,'CCRA3 Risks'!$A:$AG,23,FALSE)</f>
        <v>0</v>
      </c>
      <c r="AH161" s="123">
        <f>VLOOKUP($A161,'CCRA3 Risks'!$A:$AG,24,FALSE)</f>
        <v>0</v>
      </c>
      <c r="AI161" s="123">
        <f>VLOOKUP($A161,'CCRA3 Risks'!$A:$AG,25,FALSE)</f>
        <v>0</v>
      </c>
      <c r="AJ161" s="123">
        <f>VLOOKUP($A161,'CCRA3 Risks'!$A:$AG,26,FALSE)</f>
        <v>0</v>
      </c>
      <c r="AK161" s="123">
        <f>VLOOKUP($A161,'CCRA3 Risks'!$A:$AG,27,FALSE)</f>
        <v>0</v>
      </c>
      <c r="AL161" s="123">
        <f>VLOOKUP($A161,'CCRA3 Risks'!$A:$AG,28,FALSE)</f>
        <v>0</v>
      </c>
      <c r="AM161" s="123">
        <f>VLOOKUP($A161,'CCRA3 Risks'!$A:$AG,29,FALSE)</f>
        <v>0</v>
      </c>
      <c r="AN161" s="123">
        <f>VLOOKUP($A161,'CCRA3 Risks'!$A:$AG,30,FALSE)</f>
        <v>0</v>
      </c>
      <c r="AO161" s="123">
        <f>VLOOKUP($A161,'CCRA3 Risks'!$A:$AG,31,FALSE)</f>
        <v>0</v>
      </c>
      <c r="AP161" s="123">
        <f>VLOOKUP($A161,'CCRA3 Risks'!$A:$AG,32,FALSE)</f>
        <v>0</v>
      </c>
      <c r="AQ161" s="123" t="str">
        <f>VLOOKUP($A161,'CCRA3 Risks'!$A:$AG,33,FALSE)</f>
        <v>N</v>
      </c>
    </row>
    <row r="162" spans="1:43" ht="80.45" customHeight="1" x14ac:dyDescent="0.25">
      <c r="A162" s="88" t="s">
        <v>321</v>
      </c>
      <c r="B162" s="88" t="s">
        <v>1140</v>
      </c>
      <c r="C162" s="83" t="s">
        <v>1141</v>
      </c>
      <c r="D162" s="83" t="s">
        <v>461</v>
      </c>
      <c r="E162" s="88" t="s">
        <v>67</v>
      </c>
      <c r="F162" s="83" t="s">
        <v>421</v>
      </c>
      <c r="G162" s="83" t="s">
        <v>53</v>
      </c>
      <c r="H162" s="83" t="s">
        <v>1142</v>
      </c>
      <c r="I162" s="88"/>
      <c r="J162" s="88" t="s">
        <v>463</v>
      </c>
      <c r="K162" s="83" t="s">
        <v>1143</v>
      </c>
      <c r="L162" s="88" t="s">
        <v>629</v>
      </c>
      <c r="M162" s="83" t="s">
        <v>1144</v>
      </c>
      <c r="N162" s="206" t="str">
        <f>VLOOKUP($A162,'CCRA3 Risks'!$A:$R,2,FALSE)</f>
        <v>ID9 Risk to UK public health from climate change overseas</v>
      </c>
      <c r="O162" s="206" t="str">
        <f>VLOOKUP($A162,'CCRA3 Risks'!$A:$R,3,FALSE)</f>
        <v>No</v>
      </c>
      <c r="P162" s="207">
        <f>VLOOKUP($A162,'CCRA3 Risks'!$A:$R,4,FALSE)</f>
        <v>7</v>
      </c>
      <c r="Q162" s="206" t="str">
        <f>VLOOKUP($A162,'CCRA3 Risks'!$A:$R,7,FALSE)</f>
        <v>UK</v>
      </c>
      <c r="R162" s="206" t="str">
        <f>VLOOKUP($A162,'CCRA3 Risks'!$A:$R,8,FALSE)</f>
        <v>High</v>
      </c>
      <c r="S162" s="206" t="str">
        <f>VLOOKUP($A162,'CCRA3 Risks'!$A:$R,9,FALSE)</f>
        <v>High</v>
      </c>
      <c r="T162" s="206" t="str">
        <f>VLOOKUP($A162,'CCRA3 Risks'!$A:$R,10,FALSE)</f>
        <v>High</v>
      </c>
      <c r="U162" s="206" t="str">
        <f>VLOOKUP($A162,'CCRA3 Risks'!$A:$R,11,FALSE)</f>
        <v>High</v>
      </c>
      <c r="V162" s="206" t="str">
        <f>VLOOKUP($A162,'CCRA3 Risks'!$A:$R,12,FALSE)</f>
        <v>High</v>
      </c>
      <c r="W162" s="206" t="str">
        <f>VLOOKUP($A162,'CCRA3 Risks'!$A:$R,13,FALSE)</f>
        <v>Partially</v>
      </c>
      <c r="X162" s="206" t="str">
        <f>VLOOKUP($A162,'CCRA3 Risks'!$A:$R,14,FALSE)</f>
        <v>More action needed</v>
      </c>
      <c r="Y162" s="206" t="str">
        <f>VLOOKUP($A162,'CCRA3 Risks'!$A:$R,15,FALSE)</f>
        <v>More action needed</v>
      </c>
      <c r="Z162" s="206" t="str">
        <f>VLOOKUP($A162,'CCRA3 Risks'!$A:$R,16,FALSE)</f>
        <v>N/A</v>
      </c>
      <c r="AA162" s="206" t="str">
        <f>VLOOKUP($A162,'CCRA3 Risks'!$A:$R,17,FALSE)</f>
        <v>N/A</v>
      </c>
      <c r="AB162" s="206" t="str">
        <f>VLOOKUP($A162,'CCRA3 Risks'!$A:$R,18,FALSE)</f>
        <v>Medium (reviews of disease planning may emerge post-Covid, but uncertain)</v>
      </c>
      <c r="AC162" s="202">
        <f>VLOOKUP($A162,'CCRA3 Risks'!$A:$AG,19,FALSE)</f>
        <v>0</v>
      </c>
      <c r="AD162" s="123">
        <f>VLOOKUP($A162,'CCRA3 Risks'!$A:$AG,20,FALSE)</f>
        <v>0</v>
      </c>
      <c r="AE162" s="123">
        <f>VLOOKUP($A162,'CCRA3 Risks'!$A:$AG,21,FALSE)</f>
        <v>0</v>
      </c>
      <c r="AF162" s="123">
        <f>VLOOKUP($A162,'CCRA3 Risks'!$A:$AG,22,FALSE)</f>
        <v>0</v>
      </c>
      <c r="AG162" s="123">
        <f>VLOOKUP($A162,'CCRA3 Risks'!$A:$AG,23,FALSE)</f>
        <v>0</v>
      </c>
      <c r="AH162" s="123">
        <f>VLOOKUP($A162,'CCRA3 Risks'!$A:$AG,24,FALSE)</f>
        <v>0</v>
      </c>
      <c r="AI162" s="123">
        <f>VLOOKUP($A162,'CCRA3 Risks'!$A:$AG,25,FALSE)</f>
        <v>0</v>
      </c>
      <c r="AJ162" s="123">
        <f>VLOOKUP($A162,'CCRA3 Risks'!$A:$AG,26,FALSE)</f>
        <v>0</v>
      </c>
      <c r="AK162" s="123">
        <f>VLOOKUP($A162,'CCRA3 Risks'!$A:$AG,27,FALSE)</f>
        <v>0</v>
      </c>
      <c r="AL162" s="123">
        <f>VLOOKUP($A162,'CCRA3 Risks'!$A:$AG,28,FALSE)</f>
        <v>0</v>
      </c>
      <c r="AM162" s="123">
        <f>VLOOKUP($A162,'CCRA3 Risks'!$A:$AG,29,FALSE)</f>
        <v>0</v>
      </c>
      <c r="AN162" s="123">
        <f>VLOOKUP($A162,'CCRA3 Risks'!$A:$AG,30,FALSE)</f>
        <v>0</v>
      </c>
      <c r="AO162" s="123">
        <f>VLOOKUP($A162,'CCRA3 Risks'!$A:$AG,31,FALSE)</f>
        <v>0</v>
      </c>
      <c r="AP162" s="123">
        <f>VLOOKUP($A162,'CCRA3 Risks'!$A:$AG,32,FALSE)</f>
        <v>0</v>
      </c>
      <c r="AQ162" s="123" t="str">
        <f>VLOOKUP($A162,'CCRA3 Risks'!$A:$AG,33,FALSE)</f>
        <v>N</v>
      </c>
    </row>
    <row r="163" spans="1:43" ht="63.75" x14ac:dyDescent="0.25">
      <c r="A163" s="88" t="s">
        <v>321</v>
      </c>
      <c r="B163" s="88" t="s">
        <v>1145</v>
      </c>
      <c r="C163" s="83" t="s">
        <v>1146</v>
      </c>
      <c r="D163" s="83" t="s">
        <v>461</v>
      </c>
      <c r="E163" s="88" t="s">
        <v>67</v>
      </c>
      <c r="F163" s="83" t="s">
        <v>421</v>
      </c>
      <c r="G163" s="83" t="s">
        <v>53</v>
      </c>
      <c r="H163" s="83" t="s">
        <v>1147</v>
      </c>
      <c r="I163" s="88"/>
      <c r="J163" s="88" t="s">
        <v>405</v>
      </c>
      <c r="K163" s="83" t="s">
        <v>1148</v>
      </c>
      <c r="L163" s="88" t="s">
        <v>629</v>
      </c>
      <c r="M163" s="83" t="s">
        <v>1144</v>
      </c>
      <c r="N163" s="206" t="str">
        <f>VLOOKUP($A163,'CCRA3 Risks'!$A:$R,2,FALSE)</f>
        <v>ID9 Risk to UK public health from climate change overseas</v>
      </c>
      <c r="O163" s="206" t="str">
        <f>VLOOKUP($A163,'CCRA3 Risks'!$A:$R,3,FALSE)</f>
        <v>No</v>
      </c>
      <c r="P163" s="207">
        <f>VLOOKUP($A163,'CCRA3 Risks'!$A:$R,4,FALSE)</f>
        <v>7</v>
      </c>
      <c r="Q163" s="206" t="str">
        <f>VLOOKUP($A163,'CCRA3 Risks'!$A:$R,7,FALSE)</f>
        <v>UK</v>
      </c>
      <c r="R163" s="206" t="str">
        <f>VLOOKUP($A163,'CCRA3 Risks'!$A:$R,8,FALSE)</f>
        <v>High</v>
      </c>
      <c r="S163" s="206" t="str">
        <f>VLOOKUP($A163,'CCRA3 Risks'!$A:$R,9,FALSE)</f>
        <v>High</v>
      </c>
      <c r="T163" s="206" t="str">
        <f>VLOOKUP($A163,'CCRA3 Risks'!$A:$R,10,FALSE)</f>
        <v>High</v>
      </c>
      <c r="U163" s="206" t="str">
        <f>VLOOKUP($A163,'CCRA3 Risks'!$A:$R,11,FALSE)</f>
        <v>High</v>
      </c>
      <c r="V163" s="206" t="str">
        <f>VLOOKUP($A163,'CCRA3 Risks'!$A:$R,12,FALSE)</f>
        <v>High</v>
      </c>
      <c r="W163" s="206" t="str">
        <f>VLOOKUP($A163,'CCRA3 Risks'!$A:$R,13,FALSE)</f>
        <v>Partially</v>
      </c>
      <c r="X163" s="206" t="str">
        <f>VLOOKUP($A163,'CCRA3 Risks'!$A:$R,14,FALSE)</f>
        <v>More action needed</v>
      </c>
      <c r="Y163" s="206" t="str">
        <f>VLOOKUP($A163,'CCRA3 Risks'!$A:$R,15,FALSE)</f>
        <v>More action needed</v>
      </c>
      <c r="Z163" s="206" t="str">
        <f>VLOOKUP($A163,'CCRA3 Risks'!$A:$R,16,FALSE)</f>
        <v>N/A</v>
      </c>
      <c r="AA163" s="206" t="str">
        <f>VLOOKUP($A163,'CCRA3 Risks'!$A:$R,17,FALSE)</f>
        <v>N/A</v>
      </c>
      <c r="AB163" s="206" t="str">
        <f>VLOOKUP($A163,'CCRA3 Risks'!$A:$R,18,FALSE)</f>
        <v>Medium (reviews of disease planning may emerge post-Covid, but uncertain)</v>
      </c>
      <c r="AC163" s="202">
        <f>VLOOKUP($A163,'CCRA3 Risks'!$A:$AG,19,FALSE)</f>
        <v>0</v>
      </c>
      <c r="AD163" s="123">
        <f>VLOOKUP($A163,'CCRA3 Risks'!$A:$AG,20,FALSE)</f>
        <v>0</v>
      </c>
      <c r="AE163" s="123">
        <f>VLOOKUP($A163,'CCRA3 Risks'!$A:$AG,21,FALSE)</f>
        <v>0</v>
      </c>
      <c r="AF163" s="123">
        <f>VLOOKUP($A163,'CCRA3 Risks'!$A:$AG,22,FALSE)</f>
        <v>0</v>
      </c>
      <c r="AG163" s="123">
        <f>VLOOKUP($A163,'CCRA3 Risks'!$A:$AG,23,FALSE)</f>
        <v>0</v>
      </c>
      <c r="AH163" s="123">
        <f>VLOOKUP($A163,'CCRA3 Risks'!$A:$AG,24,FALSE)</f>
        <v>0</v>
      </c>
      <c r="AI163" s="123">
        <f>VLOOKUP($A163,'CCRA3 Risks'!$A:$AG,25,FALSE)</f>
        <v>0</v>
      </c>
      <c r="AJ163" s="123">
        <f>VLOOKUP($A163,'CCRA3 Risks'!$A:$AG,26,FALSE)</f>
        <v>0</v>
      </c>
      <c r="AK163" s="123">
        <f>VLOOKUP($A163,'CCRA3 Risks'!$A:$AG,27,FALSE)</f>
        <v>0</v>
      </c>
      <c r="AL163" s="123">
        <f>VLOOKUP($A163,'CCRA3 Risks'!$A:$AG,28,FALSE)</f>
        <v>0</v>
      </c>
      <c r="AM163" s="123">
        <f>VLOOKUP($A163,'CCRA3 Risks'!$A:$AG,29,FALSE)</f>
        <v>0</v>
      </c>
      <c r="AN163" s="123">
        <f>VLOOKUP($A163,'CCRA3 Risks'!$A:$AG,30,FALSE)</f>
        <v>0</v>
      </c>
      <c r="AO163" s="123">
        <f>VLOOKUP($A163,'CCRA3 Risks'!$A:$AG,31,FALSE)</f>
        <v>0</v>
      </c>
      <c r="AP163" s="123">
        <f>VLOOKUP($A163,'CCRA3 Risks'!$A:$AG,32,FALSE)</f>
        <v>0</v>
      </c>
      <c r="AQ163" s="123" t="str">
        <f>VLOOKUP($A163,'CCRA3 Risks'!$A:$AG,33,FALSE)</f>
        <v>N</v>
      </c>
    </row>
    <row r="164" spans="1:43" ht="191.25" x14ac:dyDescent="0.25">
      <c r="A164" s="88" t="s">
        <v>321</v>
      </c>
      <c r="B164" s="88" t="s">
        <v>1149</v>
      </c>
      <c r="C164" s="83" t="s">
        <v>1150</v>
      </c>
      <c r="D164" s="83" t="s">
        <v>461</v>
      </c>
      <c r="E164" s="88" t="s">
        <v>67</v>
      </c>
      <c r="F164" s="83" t="s">
        <v>421</v>
      </c>
      <c r="G164" s="83" t="s">
        <v>53</v>
      </c>
      <c r="H164" s="83" t="s">
        <v>1151</v>
      </c>
      <c r="I164" s="88"/>
      <c r="J164" s="88" t="s">
        <v>398</v>
      </c>
      <c r="K164" s="83" t="s">
        <v>1152</v>
      </c>
      <c r="L164" s="88" t="s">
        <v>629</v>
      </c>
      <c r="M164" s="83" t="s">
        <v>1153</v>
      </c>
      <c r="N164" s="206" t="str">
        <f>VLOOKUP($A164,'CCRA3 Risks'!$A:$R,2,FALSE)</f>
        <v>ID9 Risk to UK public health from climate change overseas</v>
      </c>
      <c r="O164" s="206" t="str">
        <f>VLOOKUP($A164,'CCRA3 Risks'!$A:$R,3,FALSE)</f>
        <v>No</v>
      </c>
      <c r="P164" s="207">
        <f>VLOOKUP($A164,'CCRA3 Risks'!$A:$R,4,FALSE)</f>
        <v>7</v>
      </c>
      <c r="Q164" s="206" t="str">
        <f>VLOOKUP($A164,'CCRA3 Risks'!$A:$R,7,FALSE)</f>
        <v>UK</v>
      </c>
      <c r="R164" s="206" t="str">
        <f>VLOOKUP($A164,'CCRA3 Risks'!$A:$R,8,FALSE)</f>
        <v>High</v>
      </c>
      <c r="S164" s="206" t="str">
        <f>VLOOKUP($A164,'CCRA3 Risks'!$A:$R,9,FALSE)</f>
        <v>High</v>
      </c>
      <c r="T164" s="206" t="str">
        <f>VLOOKUP($A164,'CCRA3 Risks'!$A:$R,10,FALSE)</f>
        <v>High</v>
      </c>
      <c r="U164" s="206" t="str">
        <f>VLOOKUP($A164,'CCRA3 Risks'!$A:$R,11,FALSE)</f>
        <v>High</v>
      </c>
      <c r="V164" s="206" t="str">
        <f>VLOOKUP($A164,'CCRA3 Risks'!$A:$R,12,FALSE)</f>
        <v>High</v>
      </c>
      <c r="W164" s="206" t="str">
        <f>VLOOKUP($A164,'CCRA3 Risks'!$A:$R,13,FALSE)</f>
        <v>Partially</v>
      </c>
      <c r="X164" s="206" t="str">
        <f>VLOOKUP($A164,'CCRA3 Risks'!$A:$R,14,FALSE)</f>
        <v>More action needed</v>
      </c>
      <c r="Y164" s="206" t="str">
        <f>VLOOKUP($A164,'CCRA3 Risks'!$A:$R,15,FALSE)</f>
        <v>More action needed</v>
      </c>
      <c r="Z164" s="206" t="str">
        <f>VLOOKUP($A164,'CCRA3 Risks'!$A:$R,16,FALSE)</f>
        <v>N/A</v>
      </c>
      <c r="AA164" s="206" t="str">
        <f>VLOOKUP($A164,'CCRA3 Risks'!$A:$R,17,FALSE)</f>
        <v>N/A</v>
      </c>
      <c r="AB164" s="206" t="str">
        <f>VLOOKUP($A164,'CCRA3 Risks'!$A:$R,18,FALSE)</f>
        <v>Medium (reviews of disease planning may emerge post-Covid, but uncertain)</v>
      </c>
      <c r="AC164" s="202">
        <f>VLOOKUP($A164,'CCRA3 Risks'!$A:$AG,19,FALSE)</f>
        <v>0</v>
      </c>
      <c r="AD164" s="123">
        <f>VLOOKUP($A164,'CCRA3 Risks'!$A:$AG,20,FALSE)</f>
        <v>0</v>
      </c>
      <c r="AE164" s="123">
        <f>VLOOKUP($A164,'CCRA3 Risks'!$A:$AG,21,FALSE)</f>
        <v>0</v>
      </c>
      <c r="AF164" s="123">
        <f>VLOOKUP($A164,'CCRA3 Risks'!$A:$AG,22,FALSE)</f>
        <v>0</v>
      </c>
      <c r="AG164" s="123">
        <f>VLOOKUP($A164,'CCRA3 Risks'!$A:$AG,23,FALSE)</f>
        <v>0</v>
      </c>
      <c r="AH164" s="123">
        <f>VLOOKUP($A164,'CCRA3 Risks'!$A:$AG,24,FALSE)</f>
        <v>0</v>
      </c>
      <c r="AI164" s="123">
        <f>VLOOKUP($A164,'CCRA3 Risks'!$A:$AG,25,FALSE)</f>
        <v>0</v>
      </c>
      <c r="AJ164" s="123">
        <f>VLOOKUP($A164,'CCRA3 Risks'!$A:$AG,26,FALSE)</f>
        <v>0</v>
      </c>
      <c r="AK164" s="123">
        <f>VLOOKUP($A164,'CCRA3 Risks'!$A:$AG,27,FALSE)</f>
        <v>0</v>
      </c>
      <c r="AL164" s="123">
        <f>VLOOKUP($A164,'CCRA3 Risks'!$A:$AG,28,FALSE)</f>
        <v>0</v>
      </c>
      <c r="AM164" s="123">
        <f>VLOOKUP($A164,'CCRA3 Risks'!$A:$AG,29,FALSE)</f>
        <v>0</v>
      </c>
      <c r="AN164" s="123">
        <f>VLOOKUP($A164,'CCRA3 Risks'!$A:$AG,30,FALSE)</f>
        <v>0</v>
      </c>
      <c r="AO164" s="123">
        <f>VLOOKUP($A164,'CCRA3 Risks'!$A:$AG,31,FALSE)</f>
        <v>0</v>
      </c>
      <c r="AP164" s="123">
        <f>VLOOKUP($A164,'CCRA3 Risks'!$A:$AG,32,FALSE)</f>
        <v>0</v>
      </c>
      <c r="AQ164" s="123" t="str">
        <f>VLOOKUP($A164,'CCRA3 Risks'!$A:$AG,33,FALSE)</f>
        <v>N</v>
      </c>
    </row>
    <row r="165" spans="1:43" ht="51" x14ac:dyDescent="0.25">
      <c r="A165" s="88" t="s">
        <v>321</v>
      </c>
      <c r="B165" s="88" t="s">
        <v>1154</v>
      </c>
      <c r="C165" s="83" t="s">
        <v>1155</v>
      </c>
      <c r="D165" s="83" t="s">
        <v>461</v>
      </c>
      <c r="E165" s="88" t="s">
        <v>67</v>
      </c>
      <c r="F165" s="83" t="s">
        <v>421</v>
      </c>
      <c r="G165" s="83" t="s">
        <v>53</v>
      </c>
      <c r="H165" s="83" t="s">
        <v>1156</v>
      </c>
      <c r="I165" s="88"/>
      <c r="J165" s="88" t="s">
        <v>398</v>
      </c>
      <c r="K165" s="83" t="s">
        <v>1157</v>
      </c>
      <c r="L165" s="88" t="s">
        <v>629</v>
      </c>
      <c r="M165" s="83" t="s">
        <v>1144</v>
      </c>
      <c r="N165" s="206" t="str">
        <f>VLOOKUP($A165,'CCRA3 Risks'!$A:$R,2,FALSE)</f>
        <v>ID9 Risk to UK public health from climate change overseas</v>
      </c>
      <c r="O165" s="206" t="str">
        <f>VLOOKUP($A165,'CCRA3 Risks'!$A:$R,3,FALSE)</f>
        <v>No</v>
      </c>
      <c r="P165" s="207">
        <f>VLOOKUP($A165,'CCRA3 Risks'!$A:$R,4,FALSE)</f>
        <v>7</v>
      </c>
      <c r="Q165" s="206" t="str">
        <f>VLOOKUP($A165,'CCRA3 Risks'!$A:$R,7,FALSE)</f>
        <v>UK</v>
      </c>
      <c r="R165" s="206" t="str">
        <f>VLOOKUP($A165,'CCRA3 Risks'!$A:$R,8,FALSE)</f>
        <v>High</v>
      </c>
      <c r="S165" s="206" t="str">
        <f>VLOOKUP($A165,'CCRA3 Risks'!$A:$R,9,FALSE)</f>
        <v>High</v>
      </c>
      <c r="T165" s="206" t="str">
        <f>VLOOKUP($A165,'CCRA3 Risks'!$A:$R,10,FALSE)</f>
        <v>High</v>
      </c>
      <c r="U165" s="206" t="str">
        <f>VLOOKUP($A165,'CCRA3 Risks'!$A:$R,11,FALSE)</f>
        <v>High</v>
      </c>
      <c r="V165" s="206" t="str">
        <f>VLOOKUP($A165,'CCRA3 Risks'!$A:$R,12,FALSE)</f>
        <v>High</v>
      </c>
      <c r="W165" s="206" t="str">
        <f>VLOOKUP($A165,'CCRA3 Risks'!$A:$R,13,FALSE)</f>
        <v>Partially</v>
      </c>
      <c r="X165" s="206" t="str">
        <f>VLOOKUP($A165,'CCRA3 Risks'!$A:$R,14,FALSE)</f>
        <v>More action needed</v>
      </c>
      <c r="Y165" s="206" t="str">
        <f>VLOOKUP($A165,'CCRA3 Risks'!$A:$R,15,FALSE)</f>
        <v>More action needed</v>
      </c>
      <c r="Z165" s="206" t="str">
        <f>VLOOKUP($A165,'CCRA3 Risks'!$A:$R,16,FALSE)</f>
        <v>N/A</v>
      </c>
      <c r="AA165" s="206" t="str">
        <f>VLOOKUP($A165,'CCRA3 Risks'!$A:$R,17,FALSE)</f>
        <v>N/A</v>
      </c>
      <c r="AB165" s="206" t="str">
        <f>VLOOKUP($A165,'CCRA3 Risks'!$A:$R,18,FALSE)</f>
        <v>Medium (reviews of disease planning may emerge post-Covid, but uncertain)</v>
      </c>
      <c r="AC165" s="202">
        <f>VLOOKUP($A165,'CCRA3 Risks'!$A:$AG,19,FALSE)</f>
        <v>0</v>
      </c>
      <c r="AD165" s="123">
        <f>VLOOKUP($A165,'CCRA3 Risks'!$A:$AG,20,FALSE)</f>
        <v>0</v>
      </c>
      <c r="AE165" s="123">
        <f>VLOOKUP($A165,'CCRA3 Risks'!$A:$AG,21,FALSE)</f>
        <v>0</v>
      </c>
      <c r="AF165" s="123">
        <f>VLOOKUP($A165,'CCRA3 Risks'!$A:$AG,22,FALSE)</f>
        <v>0</v>
      </c>
      <c r="AG165" s="123">
        <f>VLOOKUP($A165,'CCRA3 Risks'!$A:$AG,23,FALSE)</f>
        <v>0</v>
      </c>
      <c r="AH165" s="123">
        <f>VLOOKUP($A165,'CCRA3 Risks'!$A:$AG,24,FALSE)</f>
        <v>0</v>
      </c>
      <c r="AI165" s="123">
        <f>VLOOKUP($A165,'CCRA3 Risks'!$A:$AG,25,FALSE)</f>
        <v>0</v>
      </c>
      <c r="AJ165" s="123">
        <f>VLOOKUP($A165,'CCRA3 Risks'!$A:$AG,26,FALSE)</f>
        <v>0</v>
      </c>
      <c r="AK165" s="123">
        <f>VLOOKUP($A165,'CCRA3 Risks'!$A:$AG,27,FALSE)</f>
        <v>0</v>
      </c>
      <c r="AL165" s="123">
        <f>VLOOKUP($A165,'CCRA3 Risks'!$A:$AG,28,FALSE)</f>
        <v>0</v>
      </c>
      <c r="AM165" s="123">
        <f>VLOOKUP($A165,'CCRA3 Risks'!$A:$AG,29,FALSE)</f>
        <v>0</v>
      </c>
      <c r="AN165" s="123">
        <f>VLOOKUP($A165,'CCRA3 Risks'!$A:$AG,30,FALSE)</f>
        <v>0</v>
      </c>
      <c r="AO165" s="123">
        <f>VLOOKUP($A165,'CCRA3 Risks'!$A:$AG,31,FALSE)</f>
        <v>0</v>
      </c>
      <c r="AP165" s="123">
        <f>VLOOKUP($A165,'CCRA3 Risks'!$A:$AG,32,FALSE)</f>
        <v>0</v>
      </c>
      <c r="AQ165" s="123" t="str">
        <f>VLOOKUP($A165,'CCRA3 Risks'!$A:$AG,33,FALSE)</f>
        <v>N</v>
      </c>
    </row>
    <row r="166" spans="1:43" ht="191.25" x14ac:dyDescent="0.25">
      <c r="A166" s="88" t="s">
        <v>321</v>
      </c>
      <c r="B166" s="88" t="s">
        <v>1158</v>
      </c>
      <c r="C166" s="83" t="s">
        <v>1159</v>
      </c>
      <c r="D166" s="83" t="s">
        <v>461</v>
      </c>
      <c r="E166" s="88" t="s">
        <v>67</v>
      </c>
      <c r="F166" s="83" t="s">
        <v>33</v>
      </c>
      <c r="G166" s="83" t="s">
        <v>30</v>
      </c>
      <c r="H166" s="83" t="s">
        <v>1160</v>
      </c>
      <c r="I166" s="88"/>
      <c r="J166" s="88" t="s">
        <v>463</v>
      </c>
      <c r="K166" s="83" t="s">
        <v>1161</v>
      </c>
      <c r="L166" s="88" t="s">
        <v>629</v>
      </c>
      <c r="M166" s="83" t="s">
        <v>1162</v>
      </c>
      <c r="N166" s="206" t="str">
        <f>VLOOKUP($A166,'CCRA3 Risks'!$A:$R,2,FALSE)</f>
        <v>ID9 Risk to UK public health from climate change overseas</v>
      </c>
      <c r="O166" s="206" t="str">
        <f>VLOOKUP($A166,'CCRA3 Risks'!$A:$R,3,FALSE)</f>
        <v>No</v>
      </c>
      <c r="P166" s="207">
        <f>VLOOKUP($A166,'CCRA3 Risks'!$A:$R,4,FALSE)</f>
        <v>7</v>
      </c>
      <c r="Q166" s="206" t="str">
        <f>VLOOKUP($A166,'CCRA3 Risks'!$A:$R,7,FALSE)</f>
        <v>UK</v>
      </c>
      <c r="R166" s="206" t="str">
        <f>VLOOKUP($A166,'CCRA3 Risks'!$A:$R,8,FALSE)</f>
        <v>High</v>
      </c>
      <c r="S166" s="206" t="str">
        <f>VLOOKUP($A166,'CCRA3 Risks'!$A:$R,9,FALSE)</f>
        <v>High</v>
      </c>
      <c r="T166" s="206" t="str">
        <f>VLOOKUP($A166,'CCRA3 Risks'!$A:$R,10,FALSE)</f>
        <v>High</v>
      </c>
      <c r="U166" s="206" t="str">
        <f>VLOOKUP($A166,'CCRA3 Risks'!$A:$R,11,FALSE)</f>
        <v>High</v>
      </c>
      <c r="V166" s="206" t="str">
        <f>VLOOKUP($A166,'CCRA3 Risks'!$A:$R,12,FALSE)</f>
        <v>High</v>
      </c>
      <c r="W166" s="206" t="str">
        <f>VLOOKUP($A166,'CCRA3 Risks'!$A:$R,13,FALSE)</f>
        <v>Partially</v>
      </c>
      <c r="X166" s="206" t="str">
        <f>VLOOKUP($A166,'CCRA3 Risks'!$A:$R,14,FALSE)</f>
        <v>More action needed</v>
      </c>
      <c r="Y166" s="206" t="str">
        <f>VLOOKUP($A166,'CCRA3 Risks'!$A:$R,15,FALSE)</f>
        <v>More action needed</v>
      </c>
      <c r="Z166" s="206" t="str">
        <f>VLOOKUP($A166,'CCRA3 Risks'!$A:$R,16,FALSE)</f>
        <v>N/A</v>
      </c>
      <c r="AA166" s="206" t="str">
        <f>VLOOKUP($A166,'CCRA3 Risks'!$A:$R,17,FALSE)</f>
        <v>N/A</v>
      </c>
      <c r="AB166" s="206" t="str">
        <f>VLOOKUP($A166,'CCRA3 Risks'!$A:$R,18,FALSE)</f>
        <v>Medium (reviews of disease planning may emerge post-Covid, but uncertain)</v>
      </c>
      <c r="AC166" s="202">
        <f>VLOOKUP($A166,'CCRA3 Risks'!$A:$AG,19,FALSE)</f>
        <v>0</v>
      </c>
      <c r="AD166" s="123">
        <f>VLOOKUP($A166,'CCRA3 Risks'!$A:$AG,20,FALSE)</f>
        <v>0</v>
      </c>
      <c r="AE166" s="123">
        <f>VLOOKUP($A166,'CCRA3 Risks'!$A:$AG,21,FALSE)</f>
        <v>0</v>
      </c>
      <c r="AF166" s="123">
        <f>VLOOKUP($A166,'CCRA3 Risks'!$A:$AG,22,FALSE)</f>
        <v>0</v>
      </c>
      <c r="AG166" s="123">
        <f>VLOOKUP($A166,'CCRA3 Risks'!$A:$AG,23,FALSE)</f>
        <v>0</v>
      </c>
      <c r="AH166" s="123">
        <f>VLOOKUP($A166,'CCRA3 Risks'!$A:$AG,24,FALSE)</f>
        <v>0</v>
      </c>
      <c r="AI166" s="123">
        <f>VLOOKUP($A166,'CCRA3 Risks'!$A:$AG,25,FALSE)</f>
        <v>0</v>
      </c>
      <c r="AJ166" s="123">
        <f>VLOOKUP($A166,'CCRA3 Risks'!$A:$AG,26,FALSE)</f>
        <v>0</v>
      </c>
      <c r="AK166" s="123">
        <f>VLOOKUP($A166,'CCRA3 Risks'!$A:$AG,27,FALSE)</f>
        <v>0</v>
      </c>
      <c r="AL166" s="123">
        <f>VLOOKUP($A166,'CCRA3 Risks'!$A:$AG,28,FALSE)</f>
        <v>0</v>
      </c>
      <c r="AM166" s="123">
        <f>VLOOKUP($A166,'CCRA3 Risks'!$A:$AG,29,FALSE)</f>
        <v>0</v>
      </c>
      <c r="AN166" s="123">
        <f>VLOOKUP($A166,'CCRA3 Risks'!$A:$AG,30,FALSE)</f>
        <v>0</v>
      </c>
      <c r="AO166" s="123">
        <f>VLOOKUP($A166,'CCRA3 Risks'!$A:$AG,31,FALSE)</f>
        <v>0</v>
      </c>
      <c r="AP166" s="123">
        <f>VLOOKUP($A166,'CCRA3 Risks'!$A:$AG,32,FALSE)</f>
        <v>0</v>
      </c>
      <c r="AQ166" s="123" t="str">
        <f>VLOOKUP($A166,'CCRA3 Risks'!$A:$AG,33,FALSE)</f>
        <v>N</v>
      </c>
    </row>
    <row r="167" spans="1:43" ht="114.75" x14ac:dyDescent="0.25">
      <c r="A167" s="88" t="s">
        <v>323</v>
      </c>
      <c r="B167" s="88" t="s">
        <v>1163</v>
      </c>
      <c r="C167" s="83" t="s">
        <v>1164</v>
      </c>
      <c r="D167" s="83" t="s">
        <v>461</v>
      </c>
      <c r="E167" s="88" t="s">
        <v>67</v>
      </c>
      <c r="F167" s="83" t="s">
        <v>33</v>
      </c>
      <c r="G167" s="83" t="s">
        <v>20</v>
      </c>
      <c r="H167" s="83" t="s">
        <v>1165</v>
      </c>
      <c r="I167" s="88"/>
      <c r="J167" s="88" t="s">
        <v>411</v>
      </c>
      <c r="K167" s="83" t="s">
        <v>1166</v>
      </c>
      <c r="L167" s="88" t="s">
        <v>1088</v>
      </c>
      <c r="M167" s="83" t="s">
        <v>1167</v>
      </c>
      <c r="N167" s="206" t="str">
        <f>VLOOKUP($A167,'CCRA3 Risks'!$A:$R,2,FALSE)</f>
        <v>ID10 Risk multiplication from the interactions and cascades of named risks across systems and geographies</v>
      </c>
      <c r="O167" s="206" t="str">
        <f>VLOOKUP($A167,'CCRA3 Risks'!$A:$R,3,FALSE)</f>
        <v>Yes</v>
      </c>
      <c r="P167" s="207">
        <f>VLOOKUP($A167,'CCRA3 Risks'!$A:$R,4,FALSE)</f>
        <v>7</v>
      </c>
      <c r="Q167" s="206" t="str">
        <f>VLOOKUP($A167,'CCRA3 Risks'!$A:$R,7,FALSE)</f>
        <v>UK</v>
      </c>
      <c r="R167" s="206" t="str">
        <f>VLOOKUP($A167,'CCRA3 Risks'!$A:$R,8,FALSE)</f>
        <v>High</v>
      </c>
      <c r="S167" s="206" t="str">
        <f>VLOOKUP($A167,'CCRA3 Risks'!$A:$R,9,FALSE)</f>
        <v>High</v>
      </c>
      <c r="T167" s="206" t="str">
        <f>VLOOKUP($A167,'CCRA3 Risks'!$A:$R,10,FALSE)</f>
        <v>High</v>
      </c>
      <c r="U167" s="206" t="str">
        <f>VLOOKUP($A167,'CCRA3 Risks'!$A:$R,11,FALSE)</f>
        <v>High</v>
      </c>
      <c r="V167" s="206" t="str">
        <f>VLOOKUP($A167,'CCRA3 Risks'!$A:$R,12,FALSE)</f>
        <v>High</v>
      </c>
      <c r="W167" s="206" t="str">
        <f>VLOOKUP($A167,'CCRA3 Risks'!$A:$R,13,FALSE)</f>
        <v>No</v>
      </c>
      <c r="X167" s="206" t="str">
        <f>VLOOKUP($A167,'CCRA3 Risks'!$A:$R,14,FALSE)</f>
        <v>More action needed</v>
      </c>
      <c r="Y167" s="206" t="str">
        <f>VLOOKUP($A167,'CCRA3 Risks'!$A:$R,15,FALSE)</f>
        <v>More action needed</v>
      </c>
      <c r="Z167" s="206" t="str">
        <f>VLOOKUP($A167,'CCRA3 Risks'!$A:$R,16,FALSE)</f>
        <v>N/A</v>
      </c>
      <c r="AA167" s="206" t="str">
        <f>VLOOKUP($A167,'CCRA3 Risks'!$A:$R,17,FALSE)</f>
        <v>N/A</v>
      </c>
      <c r="AB167" s="206" t="str">
        <f>VLOOKUP($A167,'CCRA3 Risks'!$A:$R,18,FALSE)</f>
        <v>High (review of national risk assessments)</v>
      </c>
      <c r="AC167" s="202">
        <f>VLOOKUP($A167,'CCRA3 Risks'!$A:$AG,19,FALSE)</f>
        <v>0</v>
      </c>
      <c r="AD167" s="123">
        <f>VLOOKUP($A167,'CCRA3 Risks'!$A:$AG,20,FALSE)</f>
        <v>0</v>
      </c>
      <c r="AE167" s="123">
        <f>VLOOKUP($A167,'CCRA3 Risks'!$A:$AG,21,FALSE)</f>
        <v>0</v>
      </c>
      <c r="AF167" s="123">
        <f>VLOOKUP($A167,'CCRA3 Risks'!$A:$AG,22,FALSE)</f>
        <v>0</v>
      </c>
      <c r="AG167" s="123">
        <f>VLOOKUP($A167,'CCRA3 Risks'!$A:$AG,23,FALSE)</f>
        <v>0</v>
      </c>
      <c r="AH167" s="123">
        <f>VLOOKUP($A167,'CCRA3 Risks'!$A:$AG,24,FALSE)</f>
        <v>0</v>
      </c>
      <c r="AI167" s="123">
        <f>VLOOKUP($A167,'CCRA3 Risks'!$A:$AG,25,FALSE)</f>
        <v>0</v>
      </c>
      <c r="AJ167" s="123">
        <f>VLOOKUP($A167,'CCRA3 Risks'!$A:$AG,26,FALSE)</f>
        <v>0</v>
      </c>
      <c r="AK167" s="123">
        <f>VLOOKUP($A167,'CCRA3 Risks'!$A:$AG,27,FALSE)</f>
        <v>0</v>
      </c>
      <c r="AL167" s="123">
        <f>VLOOKUP($A167,'CCRA3 Risks'!$A:$AG,28,FALSE)</f>
        <v>0</v>
      </c>
      <c r="AM167" s="123">
        <f>VLOOKUP($A167,'CCRA3 Risks'!$A:$AG,29,FALSE)</f>
        <v>0</v>
      </c>
      <c r="AN167" s="123">
        <f>VLOOKUP($A167,'CCRA3 Risks'!$A:$AG,30,FALSE)</f>
        <v>0</v>
      </c>
      <c r="AO167" s="123">
        <f>VLOOKUP($A167,'CCRA3 Risks'!$A:$AG,31,FALSE)</f>
        <v>0</v>
      </c>
      <c r="AP167" s="123" t="str">
        <f>VLOOKUP($A167,'CCRA3 Risks'!$A:$AG,32,FALSE)</f>
        <v>Y</v>
      </c>
      <c r="AQ167" s="123">
        <f>VLOOKUP($A167,'CCRA3 Risks'!$A:$AG,33,FALSE)</f>
        <v>0</v>
      </c>
    </row>
    <row r="168" spans="1:43" ht="127.5" x14ac:dyDescent="0.25">
      <c r="A168" s="88" t="s">
        <v>325</v>
      </c>
      <c r="B168" s="88" t="s">
        <v>1168</v>
      </c>
      <c r="C168" s="83" t="s">
        <v>1169</v>
      </c>
      <c r="D168" s="83" t="s">
        <v>461</v>
      </c>
      <c r="E168" s="83" t="s">
        <v>67</v>
      </c>
      <c r="F168" s="83" t="s">
        <v>421</v>
      </c>
      <c r="G168" s="83" t="s">
        <v>53</v>
      </c>
      <c r="H168" s="83" t="s">
        <v>1170</v>
      </c>
      <c r="I168" s="83"/>
      <c r="J168" s="88" t="s">
        <v>398</v>
      </c>
      <c r="K168" s="83" t="s">
        <v>1171</v>
      </c>
      <c r="L168" s="88" t="s">
        <v>480</v>
      </c>
      <c r="M168" s="88" t="s">
        <v>480</v>
      </c>
      <c r="N168" s="206" t="str">
        <f>VLOOKUP($A168,'CCRA3 Risks'!$A:$R,2,FALSE)</f>
        <v>N1 Risks to terrestrial species and habitats from changing climatic conditions and extreme events, including temperature change, water scarcity, wildfire, flooding, wind, and altered hydrology (including water scarcity, flooding and saline intrusion)</v>
      </c>
      <c r="O168" s="206" t="str">
        <f>VLOOKUP($A168,'CCRA3 Risks'!$A:$R,3,FALSE)</f>
        <v>Yes</v>
      </c>
      <c r="P168" s="207">
        <f>VLOOKUP($A168,'CCRA3 Risks'!$A:$R,4,FALSE)</f>
        <v>3</v>
      </c>
      <c r="Q168" s="206" t="str">
        <f>VLOOKUP($A168,'CCRA3 Risks'!$A:$R,7,FALSE)</f>
        <v>England</v>
      </c>
      <c r="R168" s="206" t="str">
        <f>VLOOKUP($A168,'CCRA3 Risks'!$A:$R,8,FALSE)</f>
        <v>High</v>
      </c>
      <c r="S168" s="206" t="str">
        <f>VLOOKUP($A168,'CCRA3 Risks'!$A:$R,9,FALSE)</f>
        <v>High</v>
      </c>
      <c r="T168" s="206" t="str">
        <f>VLOOKUP($A168,'CCRA3 Risks'!$A:$R,10,FALSE)</f>
        <v>High</v>
      </c>
      <c r="U168" s="206" t="str">
        <f>VLOOKUP($A168,'CCRA3 Risks'!$A:$R,11,FALSE)</f>
        <v>High</v>
      </c>
      <c r="V168" s="206" t="str">
        <f>VLOOKUP($A168,'CCRA3 Risks'!$A:$R,12,FALSE)</f>
        <v>High</v>
      </c>
      <c r="W168" s="206" t="str">
        <f>VLOOKUP($A168,'CCRA3 Risks'!$A:$R,13,FALSE)</f>
        <v>Partially</v>
      </c>
      <c r="X168" s="206" t="str">
        <f>VLOOKUP($A168,'CCRA3 Risks'!$A:$R,14,FALSE)</f>
        <v>More action needed</v>
      </c>
      <c r="Y168" s="206" t="str">
        <f>VLOOKUP($A168,'CCRA3 Risks'!$A:$R,15,FALSE)</f>
        <v>More action needed</v>
      </c>
      <c r="Z168" s="206" t="str">
        <f>VLOOKUP($A168,'CCRA3 Risks'!$A:$R,16,FALSE)</f>
        <v>Low (3)</v>
      </c>
      <c r="AA168" s="206" t="str">
        <f>VLOOKUP($A168,'CCRA3 Risks'!$A:$R,17,FALSE)</f>
        <v>Medium (Amber)</v>
      </c>
      <c r="AB168" s="206" t="str">
        <f>VLOOKUP($A168,'CCRA3 Risks'!$A:$R,18,FALSE)</f>
        <v>High (Environment and nature recovery policy reform)</v>
      </c>
      <c r="AC168" s="202" t="str">
        <f>VLOOKUP($A168,'CCRA3 Risks'!$A:$AG,19,FALSE)</f>
        <v>Y</v>
      </c>
      <c r="AD168" s="123">
        <f>VLOOKUP($A168,'CCRA3 Risks'!$A:$AG,20,FALSE)</f>
        <v>0</v>
      </c>
      <c r="AE168" s="123">
        <f>VLOOKUP($A168,'CCRA3 Risks'!$A:$AG,21,FALSE)</f>
        <v>0</v>
      </c>
      <c r="AF168" s="123">
        <f>VLOOKUP($A168,'CCRA3 Risks'!$A:$AG,22,FALSE)</f>
        <v>0</v>
      </c>
      <c r="AG168" s="123">
        <f>VLOOKUP($A168,'CCRA3 Risks'!$A:$AG,23,FALSE)</f>
        <v>0</v>
      </c>
      <c r="AH168" s="123">
        <f>VLOOKUP($A168,'CCRA3 Risks'!$A:$AG,24,FALSE)</f>
        <v>0</v>
      </c>
      <c r="AI168" s="123">
        <f>VLOOKUP($A168,'CCRA3 Risks'!$A:$AG,25,FALSE)</f>
        <v>0</v>
      </c>
      <c r="AJ168" s="123">
        <f>VLOOKUP($A168,'CCRA3 Risks'!$A:$AG,26,FALSE)</f>
        <v>0</v>
      </c>
      <c r="AK168" s="123">
        <f>VLOOKUP($A168,'CCRA3 Risks'!$A:$AG,27,FALSE)</f>
        <v>0</v>
      </c>
      <c r="AL168" s="123">
        <f>VLOOKUP($A168,'CCRA3 Risks'!$A:$AG,28,FALSE)</f>
        <v>0</v>
      </c>
      <c r="AM168" s="123">
        <f>VLOOKUP($A168,'CCRA3 Risks'!$A:$AG,29,FALSE)</f>
        <v>0</v>
      </c>
      <c r="AN168" s="123">
        <f>VLOOKUP($A168,'CCRA3 Risks'!$A:$AG,30,FALSE)</f>
        <v>0</v>
      </c>
      <c r="AO168" s="123">
        <f>VLOOKUP($A168,'CCRA3 Risks'!$A:$AG,31,FALSE)</f>
        <v>0</v>
      </c>
      <c r="AP168" s="123">
        <f>VLOOKUP($A168,'CCRA3 Risks'!$A:$AG,32,FALSE)</f>
        <v>0</v>
      </c>
      <c r="AQ168" s="123">
        <f>VLOOKUP($A168,'CCRA3 Risks'!$A:$AG,33,FALSE)</f>
        <v>0</v>
      </c>
    </row>
    <row r="169" spans="1:43" ht="165.75" x14ac:dyDescent="0.25">
      <c r="A169" s="88" t="s">
        <v>325</v>
      </c>
      <c r="B169" s="88" t="s">
        <v>1172</v>
      </c>
      <c r="C169" s="83" t="s">
        <v>1173</v>
      </c>
      <c r="D169" s="83" t="s">
        <v>395</v>
      </c>
      <c r="E169" s="83" t="s">
        <v>67</v>
      </c>
      <c r="F169" s="83" t="s">
        <v>421</v>
      </c>
      <c r="G169" s="83" t="s">
        <v>53</v>
      </c>
      <c r="H169" s="83" t="s">
        <v>1174</v>
      </c>
      <c r="I169" s="83"/>
      <c r="J169" s="88" t="s">
        <v>398</v>
      </c>
      <c r="K169" s="83" t="s">
        <v>1175</v>
      </c>
      <c r="L169" s="88" t="s">
        <v>480</v>
      </c>
      <c r="M169" s="83" t="s">
        <v>1176</v>
      </c>
      <c r="N169" s="206" t="str">
        <f>VLOOKUP($A169,'CCRA3 Risks'!$A:$R,2,FALSE)</f>
        <v>N1 Risks to terrestrial species and habitats from changing climatic conditions and extreme events, including temperature change, water scarcity, wildfire, flooding, wind, and altered hydrology (including water scarcity, flooding and saline intrusion)</v>
      </c>
      <c r="O169" s="206" t="str">
        <f>VLOOKUP($A169,'CCRA3 Risks'!$A:$R,3,FALSE)</f>
        <v>Yes</v>
      </c>
      <c r="P169" s="207">
        <f>VLOOKUP($A169,'CCRA3 Risks'!$A:$R,4,FALSE)</f>
        <v>3</v>
      </c>
      <c r="Q169" s="206" t="str">
        <f>VLOOKUP($A169,'CCRA3 Risks'!$A:$R,7,FALSE)</f>
        <v>England</v>
      </c>
      <c r="R169" s="206" t="str">
        <f>VLOOKUP($A169,'CCRA3 Risks'!$A:$R,8,FALSE)</f>
        <v>High</v>
      </c>
      <c r="S169" s="206" t="str">
        <f>VLOOKUP($A169,'CCRA3 Risks'!$A:$R,9,FALSE)</f>
        <v>High</v>
      </c>
      <c r="T169" s="206" t="str">
        <f>VLOOKUP($A169,'CCRA3 Risks'!$A:$R,10,FALSE)</f>
        <v>High</v>
      </c>
      <c r="U169" s="206" t="str">
        <f>VLOOKUP($A169,'CCRA3 Risks'!$A:$R,11,FALSE)</f>
        <v>High</v>
      </c>
      <c r="V169" s="206" t="str">
        <f>VLOOKUP($A169,'CCRA3 Risks'!$A:$R,12,FALSE)</f>
        <v>High</v>
      </c>
      <c r="W169" s="206" t="str">
        <f>VLOOKUP($A169,'CCRA3 Risks'!$A:$R,13,FALSE)</f>
        <v>Partially</v>
      </c>
      <c r="X169" s="206" t="str">
        <f>VLOOKUP($A169,'CCRA3 Risks'!$A:$R,14,FALSE)</f>
        <v>More action needed</v>
      </c>
      <c r="Y169" s="206" t="str">
        <f>VLOOKUP($A169,'CCRA3 Risks'!$A:$R,15,FALSE)</f>
        <v>More action needed</v>
      </c>
      <c r="Z169" s="206" t="str">
        <f>VLOOKUP($A169,'CCRA3 Risks'!$A:$R,16,FALSE)</f>
        <v>Low (3)</v>
      </c>
      <c r="AA169" s="206" t="str">
        <f>VLOOKUP($A169,'CCRA3 Risks'!$A:$R,17,FALSE)</f>
        <v>Medium (Amber)</v>
      </c>
      <c r="AB169" s="206" t="str">
        <f>VLOOKUP($A169,'CCRA3 Risks'!$A:$R,18,FALSE)</f>
        <v>High (Environment and nature recovery policy reform)</v>
      </c>
      <c r="AC169" s="202" t="str">
        <f>VLOOKUP($A169,'CCRA3 Risks'!$A:$AG,19,FALSE)</f>
        <v>Y</v>
      </c>
      <c r="AD169" s="123">
        <f>VLOOKUP($A169,'CCRA3 Risks'!$A:$AG,20,FALSE)</f>
        <v>0</v>
      </c>
      <c r="AE169" s="123">
        <f>VLOOKUP($A169,'CCRA3 Risks'!$A:$AG,21,FALSE)</f>
        <v>0</v>
      </c>
      <c r="AF169" s="123">
        <f>VLOOKUP($A169,'CCRA3 Risks'!$A:$AG,22,FALSE)</f>
        <v>0</v>
      </c>
      <c r="AG169" s="123">
        <f>VLOOKUP($A169,'CCRA3 Risks'!$A:$AG,23,FALSE)</f>
        <v>0</v>
      </c>
      <c r="AH169" s="123">
        <f>VLOOKUP($A169,'CCRA3 Risks'!$A:$AG,24,FALSE)</f>
        <v>0</v>
      </c>
      <c r="AI169" s="123">
        <f>VLOOKUP($A169,'CCRA3 Risks'!$A:$AG,25,FALSE)</f>
        <v>0</v>
      </c>
      <c r="AJ169" s="123">
        <f>VLOOKUP($A169,'CCRA3 Risks'!$A:$AG,26,FALSE)</f>
        <v>0</v>
      </c>
      <c r="AK169" s="123">
        <f>VLOOKUP($A169,'CCRA3 Risks'!$A:$AG,27,FALSE)</f>
        <v>0</v>
      </c>
      <c r="AL169" s="123">
        <f>VLOOKUP($A169,'CCRA3 Risks'!$A:$AG,28,FALSE)</f>
        <v>0</v>
      </c>
      <c r="AM169" s="123">
        <f>VLOOKUP($A169,'CCRA3 Risks'!$A:$AG,29,FALSE)</f>
        <v>0</v>
      </c>
      <c r="AN169" s="123">
        <f>VLOOKUP($A169,'CCRA3 Risks'!$A:$AG,30,FALSE)</f>
        <v>0</v>
      </c>
      <c r="AO169" s="123">
        <f>VLOOKUP($A169,'CCRA3 Risks'!$A:$AG,31,FALSE)</f>
        <v>0</v>
      </c>
      <c r="AP169" s="123">
        <f>VLOOKUP($A169,'CCRA3 Risks'!$A:$AG,32,FALSE)</f>
        <v>0</v>
      </c>
      <c r="AQ169" s="123">
        <f>VLOOKUP($A169,'CCRA3 Risks'!$A:$AG,33,FALSE)</f>
        <v>0</v>
      </c>
    </row>
    <row r="170" spans="1:43" ht="216.75" x14ac:dyDescent="0.25">
      <c r="A170" s="88" t="s">
        <v>325</v>
      </c>
      <c r="B170" s="88" t="s">
        <v>1177</v>
      </c>
      <c r="C170" s="83" t="s">
        <v>1178</v>
      </c>
      <c r="D170" s="83" t="s">
        <v>461</v>
      </c>
      <c r="E170" s="83" t="s">
        <v>67</v>
      </c>
      <c r="F170" s="83" t="s">
        <v>421</v>
      </c>
      <c r="G170" s="83" t="s">
        <v>53</v>
      </c>
      <c r="H170" s="83" t="s">
        <v>1179</v>
      </c>
      <c r="I170" s="83"/>
      <c r="J170" s="88" t="s">
        <v>398</v>
      </c>
      <c r="K170" s="83" t="s">
        <v>1180</v>
      </c>
      <c r="L170" s="88" t="s">
        <v>480</v>
      </c>
      <c r="M170" s="83" t="s">
        <v>1181</v>
      </c>
      <c r="N170" s="206" t="str">
        <f>VLOOKUP($A170,'CCRA3 Risks'!$A:$R,2,FALSE)</f>
        <v>N1 Risks to terrestrial species and habitats from changing climatic conditions and extreme events, including temperature change, water scarcity, wildfire, flooding, wind, and altered hydrology (including water scarcity, flooding and saline intrusion)</v>
      </c>
      <c r="O170" s="206" t="str">
        <f>VLOOKUP($A170,'CCRA3 Risks'!$A:$R,3,FALSE)</f>
        <v>Yes</v>
      </c>
      <c r="P170" s="207">
        <f>VLOOKUP($A170,'CCRA3 Risks'!$A:$R,4,FALSE)</f>
        <v>3</v>
      </c>
      <c r="Q170" s="206" t="str">
        <f>VLOOKUP($A170,'CCRA3 Risks'!$A:$R,7,FALSE)</f>
        <v>England</v>
      </c>
      <c r="R170" s="206" t="str">
        <f>VLOOKUP($A170,'CCRA3 Risks'!$A:$R,8,FALSE)</f>
        <v>High</v>
      </c>
      <c r="S170" s="206" t="str">
        <f>VLOOKUP($A170,'CCRA3 Risks'!$A:$R,9,FALSE)</f>
        <v>High</v>
      </c>
      <c r="T170" s="206" t="str">
        <f>VLOOKUP($A170,'CCRA3 Risks'!$A:$R,10,FALSE)</f>
        <v>High</v>
      </c>
      <c r="U170" s="206" t="str">
        <f>VLOOKUP($A170,'CCRA3 Risks'!$A:$R,11,FALSE)</f>
        <v>High</v>
      </c>
      <c r="V170" s="206" t="str">
        <f>VLOOKUP($A170,'CCRA3 Risks'!$A:$R,12,FALSE)</f>
        <v>High</v>
      </c>
      <c r="W170" s="206" t="str">
        <f>VLOOKUP($A170,'CCRA3 Risks'!$A:$R,13,FALSE)</f>
        <v>Partially</v>
      </c>
      <c r="X170" s="206" t="str">
        <f>VLOOKUP($A170,'CCRA3 Risks'!$A:$R,14,FALSE)</f>
        <v>More action needed</v>
      </c>
      <c r="Y170" s="206" t="str">
        <f>VLOOKUP($A170,'CCRA3 Risks'!$A:$R,15,FALSE)</f>
        <v>More action needed</v>
      </c>
      <c r="Z170" s="206" t="str">
        <f>VLOOKUP($A170,'CCRA3 Risks'!$A:$R,16,FALSE)</f>
        <v>Low (3)</v>
      </c>
      <c r="AA170" s="206" t="str">
        <f>VLOOKUP($A170,'CCRA3 Risks'!$A:$R,17,FALSE)</f>
        <v>Medium (Amber)</v>
      </c>
      <c r="AB170" s="206" t="str">
        <f>VLOOKUP($A170,'CCRA3 Risks'!$A:$R,18,FALSE)</f>
        <v>High (Environment and nature recovery policy reform)</v>
      </c>
      <c r="AC170" s="202" t="str">
        <f>VLOOKUP($A170,'CCRA3 Risks'!$A:$AG,19,FALSE)</f>
        <v>Y</v>
      </c>
      <c r="AD170" s="123">
        <f>VLOOKUP($A170,'CCRA3 Risks'!$A:$AG,20,FALSE)</f>
        <v>0</v>
      </c>
      <c r="AE170" s="123">
        <f>VLOOKUP($A170,'CCRA3 Risks'!$A:$AG,21,FALSE)</f>
        <v>0</v>
      </c>
      <c r="AF170" s="123">
        <f>VLOOKUP($A170,'CCRA3 Risks'!$A:$AG,22,FALSE)</f>
        <v>0</v>
      </c>
      <c r="AG170" s="123">
        <f>VLOOKUP($A170,'CCRA3 Risks'!$A:$AG,23,FALSE)</f>
        <v>0</v>
      </c>
      <c r="AH170" s="123">
        <f>VLOOKUP($A170,'CCRA3 Risks'!$A:$AG,24,FALSE)</f>
        <v>0</v>
      </c>
      <c r="AI170" s="123">
        <f>VLOOKUP($A170,'CCRA3 Risks'!$A:$AG,25,FALSE)</f>
        <v>0</v>
      </c>
      <c r="AJ170" s="123">
        <f>VLOOKUP($A170,'CCRA3 Risks'!$A:$AG,26,FALSE)</f>
        <v>0</v>
      </c>
      <c r="AK170" s="123">
        <f>VLOOKUP($A170,'CCRA3 Risks'!$A:$AG,27,FALSE)</f>
        <v>0</v>
      </c>
      <c r="AL170" s="123">
        <f>VLOOKUP($A170,'CCRA3 Risks'!$A:$AG,28,FALSE)</f>
        <v>0</v>
      </c>
      <c r="AM170" s="123">
        <f>VLOOKUP($A170,'CCRA3 Risks'!$A:$AG,29,FALSE)</f>
        <v>0</v>
      </c>
      <c r="AN170" s="123">
        <f>VLOOKUP($A170,'CCRA3 Risks'!$A:$AG,30,FALSE)</f>
        <v>0</v>
      </c>
      <c r="AO170" s="123">
        <f>VLOOKUP($A170,'CCRA3 Risks'!$A:$AG,31,FALSE)</f>
        <v>0</v>
      </c>
      <c r="AP170" s="123">
        <f>VLOOKUP($A170,'CCRA3 Risks'!$A:$AG,32,FALSE)</f>
        <v>0</v>
      </c>
      <c r="AQ170" s="123">
        <f>VLOOKUP($A170,'CCRA3 Risks'!$A:$AG,33,FALSE)</f>
        <v>0</v>
      </c>
    </row>
    <row r="171" spans="1:43" ht="300.60000000000002" customHeight="1" x14ac:dyDescent="0.25">
      <c r="A171" s="88" t="s">
        <v>328</v>
      </c>
      <c r="B171" s="88" t="s">
        <v>1182</v>
      </c>
      <c r="C171" s="83" t="s">
        <v>1183</v>
      </c>
      <c r="D171" s="83" t="s">
        <v>461</v>
      </c>
      <c r="E171" s="88" t="s">
        <v>67</v>
      </c>
      <c r="F171" s="83" t="s">
        <v>472</v>
      </c>
      <c r="G171" s="83" t="s">
        <v>53</v>
      </c>
      <c r="H171" s="83" t="s">
        <v>1184</v>
      </c>
      <c r="I171" s="88"/>
      <c r="J171" s="88" t="s">
        <v>405</v>
      </c>
      <c r="K171" s="83" t="s">
        <v>1185</v>
      </c>
      <c r="L171" s="88" t="s">
        <v>480</v>
      </c>
      <c r="M171" s="83" t="s">
        <v>1186</v>
      </c>
      <c r="N171" s="206" t="str">
        <f>VLOOKUP($A171,'CCRA3 Risks'!$A:$R,2,FALSE)</f>
        <v>N2 Risks to terrestrial species and habitats from pests, pathogens and invasive species</v>
      </c>
      <c r="O171" s="206" t="str">
        <f>VLOOKUP($A171,'CCRA3 Risks'!$A:$R,3,FALSE)</f>
        <v>Yes</v>
      </c>
      <c r="P171" s="207">
        <f>VLOOKUP($A171,'CCRA3 Risks'!$A:$R,4,FALSE)</f>
        <v>3</v>
      </c>
      <c r="Q171" s="206" t="str">
        <f>VLOOKUP($A171,'CCRA3 Risks'!$A:$R,7,FALSE)</f>
        <v>England</v>
      </c>
      <c r="R171" s="206" t="str">
        <f>VLOOKUP($A171,'CCRA3 Risks'!$A:$R,8,FALSE)</f>
        <v>Medium</v>
      </c>
      <c r="S171" s="206" t="str">
        <f>VLOOKUP($A171,'CCRA3 Risks'!$A:$R,9,FALSE)</f>
        <v>High</v>
      </c>
      <c r="T171" s="206" t="str">
        <f>VLOOKUP($A171,'CCRA3 Risks'!$A:$R,10,FALSE)</f>
        <v>High</v>
      </c>
      <c r="U171" s="206" t="str">
        <f>VLOOKUP($A171,'CCRA3 Risks'!$A:$R,11,FALSE)</f>
        <v>High</v>
      </c>
      <c r="V171" s="206" t="str">
        <f>VLOOKUP($A171,'CCRA3 Risks'!$A:$R,12,FALSE)</f>
        <v>High</v>
      </c>
      <c r="W171" s="206" t="str">
        <f>VLOOKUP($A171,'CCRA3 Risks'!$A:$R,13,FALSE)</f>
        <v>Partially</v>
      </c>
      <c r="X171" s="206" t="str">
        <f>VLOOKUP($A171,'CCRA3 Risks'!$A:$R,14,FALSE)</f>
        <v>More action needed</v>
      </c>
      <c r="Y171" s="206" t="str">
        <f>VLOOKUP($A171,'CCRA3 Risks'!$A:$R,15,FALSE)</f>
        <v>More action needed</v>
      </c>
      <c r="Z171" s="206" t="str">
        <f>VLOOKUP($A171,'CCRA3 Risks'!$A:$R,16,FALSE)</f>
        <v>Low (3)</v>
      </c>
      <c r="AA171" s="206" t="str">
        <f>VLOOKUP($A171,'CCRA3 Risks'!$A:$R,17,FALSE)</f>
        <v>Medium (Amber)</v>
      </c>
      <c r="AB171" s="206" t="str">
        <f>VLOOKUP($A171,'CCRA3 Risks'!$A:$R,18,FALSE)</f>
        <v>High (Environment and nature recovery policy reform)</v>
      </c>
      <c r="AC171" s="202" t="str">
        <f>VLOOKUP($A171,'CCRA3 Risks'!$A:$AG,19,FALSE)</f>
        <v>Y</v>
      </c>
      <c r="AD171" s="123">
        <f>VLOOKUP($A171,'CCRA3 Risks'!$A:$AG,20,FALSE)</f>
        <v>0</v>
      </c>
      <c r="AE171" s="123">
        <f>VLOOKUP($A171,'CCRA3 Risks'!$A:$AG,21,FALSE)</f>
        <v>0</v>
      </c>
      <c r="AF171" s="123">
        <f>VLOOKUP($A171,'CCRA3 Risks'!$A:$AG,22,FALSE)</f>
        <v>0</v>
      </c>
      <c r="AG171" s="123">
        <f>VLOOKUP($A171,'CCRA3 Risks'!$A:$AG,23,FALSE)</f>
        <v>0</v>
      </c>
      <c r="AH171" s="123">
        <f>VLOOKUP($A171,'CCRA3 Risks'!$A:$AG,24,FALSE)</f>
        <v>0</v>
      </c>
      <c r="AI171" s="123">
        <f>VLOOKUP($A171,'CCRA3 Risks'!$A:$AG,25,FALSE)</f>
        <v>0</v>
      </c>
      <c r="AJ171" s="123">
        <f>VLOOKUP($A171,'CCRA3 Risks'!$A:$AG,26,FALSE)</f>
        <v>0</v>
      </c>
      <c r="AK171" s="123">
        <f>VLOOKUP($A171,'CCRA3 Risks'!$A:$AG,27,FALSE)</f>
        <v>0</v>
      </c>
      <c r="AL171" s="123">
        <f>VLOOKUP($A171,'CCRA3 Risks'!$A:$AG,28,FALSE)</f>
        <v>0</v>
      </c>
      <c r="AM171" s="123">
        <f>VLOOKUP($A171,'CCRA3 Risks'!$A:$AG,29,FALSE)</f>
        <v>0</v>
      </c>
      <c r="AN171" s="123">
        <f>VLOOKUP($A171,'CCRA3 Risks'!$A:$AG,30,FALSE)</f>
        <v>0</v>
      </c>
      <c r="AO171" s="123">
        <f>VLOOKUP($A171,'CCRA3 Risks'!$A:$AG,31,FALSE)</f>
        <v>0</v>
      </c>
      <c r="AP171" s="123">
        <f>VLOOKUP($A171,'CCRA3 Risks'!$A:$AG,32,FALSE)</f>
        <v>0</v>
      </c>
      <c r="AQ171" s="123">
        <f>VLOOKUP($A171,'CCRA3 Risks'!$A:$AG,33,FALSE)</f>
        <v>0</v>
      </c>
    </row>
    <row r="172" spans="1:43" ht="201.6" customHeight="1" x14ac:dyDescent="0.25">
      <c r="A172" s="88" t="s">
        <v>328</v>
      </c>
      <c r="B172" s="88" t="s">
        <v>1187</v>
      </c>
      <c r="C172" s="83" t="s">
        <v>1188</v>
      </c>
      <c r="D172" s="83" t="s">
        <v>461</v>
      </c>
      <c r="E172" s="88" t="s">
        <v>67</v>
      </c>
      <c r="F172" s="83" t="s">
        <v>421</v>
      </c>
      <c r="G172" s="83" t="s">
        <v>53</v>
      </c>
      <c r="H172" s="83" t="s">
        <v>1189</v>
      </c>
      <c r="I172" s="88"/>
      <c r="J172" s="88" t="s">
        <v>398</v>
      </c>
      <c r="K172" s="83" t="s">
        <v>1190</v>
      </c>
      <c r="L172" s="88" t="s">
        <v>480</v>
      </c>
      <c r="M172" s="88" t="s">
        <v>480</v>
      </c>
      <c r="N172" s="206" t="str">
        <f>VLOOKUP($A172,'CCRA3 Risks'!$A:$R,2,FALSE)</f>
        <v>N2 Risks to terrestrial species and habitats from pests, pathogens and invasive species</v>
      </c>
      <c r="O172" s="206" t="str">
        <f>VLOOKUP($A172,'CCRA3 Risks'!$A:$R,3,FALSE)</f>
        <v>Yes</v>
      </c>
      <c r="P172" s="207">
        <f>VLOOKUP($A172,'CCRA3 Risks'!$A:$R,4,FALSE)</f>
        <v>3</v>
      </c>
      <c r="Q172" s="206" t="str">
        <f>VLOOKUP($A172,'CCRA3 Risks'!$A:$R,7,FALSE)</f>
        <v>England</v>
      </c>
      <c r="R172" s="206" t="str">
        <f>VLOOKUP($A172,'CCRA3 Risks'!$A:$R,8,FALSE)</f>
        <v>Medium</v>
      </c>
      <c r="S172" s="206" t="str">
        <f>VLOOKUP($A172,'CCRA3 Risks'!$A:$R,9,FALSE)</f>
        <v>High</v>
      </c>
      <c r="T172" s="206" t="str">
        <f>VLOOKUP($A172,'CCRA3 Risks'!$A:$R,10,FALSE)</f>
        <v>High</v>
      </c>
      <c r="U172" s="206" t="str">
        <f>VLOOKUP($A172,'CCRA3 Risks'!$A:$R,11,FALSE)</f>
        <v>High</v>
      </c>
      <c r="V172" s="206" t="str">
        <f>VLOOKUP($A172,'CCRA3 Risks'!$A:$R,12,FALSE)</f>
        <v>High</v>
      </c>
      <c r="W172" s="206" t="str">
        <f>VLOOKUP($A172,'CCRA3 Risks'!$A:$R,13,FALSE)</f>
        <v>Partially</v>
      </c>
      <c r="X172" s="206" t="str">
        <f>VLOOKUP($A172,'CCRA3 Risks'!$A:$R,14,FALSE)</f>
        <v>More action needed</v>
      </c>
      <c r="Y172" s="206" t="str">
        <f>VLOOKUP($A172,'CCRA3 Risks'!$A:$R,15,FALSE)</f>
        <v>More action needed</v>
      </c>
      <c r="Z172" s="206" t="str">
        <f>VLOOKUP($A172,'CCRA3 Risks'!$A:$R,16,FALSE)</f>
        <v>Low (3)</v>
      </c>
      <c r="AA172" s="206" t="str">
        <f>VLOOKUP($A172,'CCRA3 Risks'!$A:$R,17,FALSE)</f>
        <v>Medium (Amber)</v>
      </c>
      <c r="AB172" s="206" t="str">
        <f>VLOOKUP($A172,'CCRA3 Risks'!$A:$R,18,FALSE)</f>
        <v>High (Environment and nature recovery policy reform)</v>
      </c>
      <c r="AC172" s="202" t="str">
        <f>VLOOKUP($A172,'CCRA3 Risks'!$A:$AG,19,FALSE)</f>
        <v>Y</v>
      </c>
      <c r="AD172" s="123">
        <f>VLOOKUP($A172,'CCRA3 Risks'!$A:$AG,20,FALSE)</f>
        <v>0</v>
      </c>
      <c r="AE172" s="123">
        <f>VLOOKUP($A172,'CCRA3 Risks'!$A:$AG,21,FALSE)</f>
        <v>0</v>
      </c>
      <c r="AF172" s="123">
        <f>VLOOKUP($A172,'CCRA3 Risks'!$A:$AG,22,FALSE)</f>
        <v>0</v>
      </c>
      <c r="AG172" s="123">
        <f>VLOOKUP($A172,'CCRA3 Risks'!$A:$AG,23,FALSE)</f>
        <v>0</v>
      </c>
      <c r="AH172" s="123">
        <f>VLOOKUP($A172,'CCRA3 Risks'!$A:$AG,24,FALSE)</f>
        <v>0</v>
      </c>
      <c r="AI172" s="123">
        <f>VLOOKUP($A172,'CCRA3 Risks'!$A:$AG,25,FALSE)</f>
        <v>0</v>
      </c>
      <c r="AJ172" s="123">
        <f>VLOOKUP($A172,'CCRA3 Risks'!$A:$AG,26,FALSE)</f>
        <v>0</v>
      </c>
      <c r="AK172" s="123">
        <f>VLOOKUP($A172,'CCRA3 Risks'!$A:$AG,27,FALSE)</f>
        <v>0</v>
      </c>
      <c r="AL172" s="123">
        <f>VLOOKUP($A172,'CCRA3 Risks'!$A:$AG,28,FALSE)</f>
        <v>0</v>
      </c>
      <c r="AM172" s="123">
        <f>VLOOKUP($A172,'CCRA3 Risks'!$A:$AG,29,FALSE)</f>
        <v>0</v>
      </c>
      <c r="AN172" s="123">
        <f>VLOOKUP($A172,'CCRA3 Risks'!$A:$AG,30,FALSE)</f>
        <v>0</v>
      </c>
      <c r="AO172" s="123">
        <f>VLOOKUP($A172,'CCRA3 Risks'!$A:$AG,31,FALSE)</f>
        <v>0</v>
      </c>
      <c r="AP172" s="123">
        <f>VLOOKUP($A172,'CCRA3 Risks'!$A:$AG,32,FALSE)</f>
        <v>0</v>
      </c>
      <c r="AQ172" s="123">
        <f>VLOOKUP($A172,'CCRA3 Risks'!$A:$AG,33,FALSE)</f>
        <v>0</v>
      </c>
    </row>
    <row r="173" spans="1:43" ht="63.75" x14ac:dyDescent="0.25">
      <c r="A173" s="88" t="s">
        <v>328</v>
      </c>
      <c r="B173" s="88" t="s">
        <v>1191</v>
      </c>
      <c r="C173" s="83" t="s">
        <v>1192</v>
      </c>
      <c r="D173" s="83" t="s">
        <v>461</v>
      </c>
      <c r="E173" s="88" t="s">
        <v>67</v>
      </c>
      <c r="F173" s="83" t="s">
        <v>33</v>
      </c>
      <c r="G173" s="83" t="s">
        <v>20</v>
      </c>
      <c r="H173" s="83" t="s">
        <v>1193</v>
      </c>
      <c r="I173" s="88"/>
      <c r="J173" s="88" t="s">
        <v>411</v>
      </c>
      <c r="K173" s="83" t="s">
        <v>1194</v>
      </c>
      <c r="L173" s="88" t="s">
        <v>480</v>
      </c>
      <c r="M173" s="88" t="s">
        <v>480</v>
      </c>
      <c r="N173" s="206" t="str">
        <f>VLOOKUP($A173,'CCRA3 Risks'!$A:$R,2,FALSE)</f>
        <v>N2 Risks to terrestrial species and habitats from pests, pathogens and invasive species</v>
      </c>
      <c r="O173" s="206" t="str">
        <f>VLOOKUP($A173,'CCRA3 Risks'!$A:$R,3,FALSE)</f>
        <v>Yes</v>
      </c>
      <c r="P173" s="207">
        <f>VLOOKUP($A173,'CCRA3 Risks'!$A:$R,4,FALSE)</f>
        <v>3</v>
      </c>
      <c r="Q173" s="206" t="str">
        <f>VLOOKUP($A173,'CCRA3 Risks'!$A:$R,7,FALSE)</f>
        <v>England</v>
      </c>
      <c r="R173" s="206" t="str">
        <f>VLOOKUP($A173,'CCRA3 Risks'!$A:$R,8,FALSE)</f>
        <v>Medium</v>
      </c>
      <c r="S173" s="206" t="str">
        <f>VLOOKUP($A173,'CCRA3 Risks'!$A:$R,9,FALSE)</f>
        <v>High</v>
      </c>
      <c r="T173" s="206" t="str">
        <f>VLOOKUP($A173,'CCRA3 Risks'!$A:$R,10,FALSE)</f>
        <v>High</v>
      </c>
      <c r="U173" s="206" t="str">
        <f>VLOOKUP($A173,'CCRA3 Risks'!$A:$R,11,FALSE)</f>
        <v>High</v>
      </c>
      <c r="V173" s="206" t="str">
        <f>VLOOKUP($A173,'CCRA3 Risks'!$A:$R,12,FALSE)</f>
        <v>High</v>
      </c>
      <c r="W173" s="206" t="str">
        <f>VLOOKUP($A173,'CCRA3 Risks'!$A:$R,13,FALSE)</f>
        <v>Partially</v>
      </c>
      <c r="X173" s="206" t="str">
        <f>VLOOKUP($A173,'CCRA3 Risks'!$A:$R,14,FALSE)</f>
        <v>More action needed</v>
      </c>
      <c r="Y173" s="206" t="str">
        <f>VLOOKUP($A173,'CCRA3 Risks'!$A:$R,15,FALSE)</f>
        <v>More action needed</v>
      </c>
      <c r="Z173" s="206" t="str">
        <f>VLOOKUP($A173,'CCRA3 Risks'!$A:$R,16,FALSE)</f>
        <v>Low (3)</v>
      </c>
      <c r="AA173" s="206" t="str">
        <f>VLOOKUP($A173,'CCRA3 Risks'!$A:$R,17,FALSE)</f>
        <v>Medium (Amber)</v>
      </c>
      <c r="AB173" s="206" t="str">
        <f>VLOOKUP($A173,'CCRA3 Risks'!$A:$R,18,FALSE)</f>
        <v>High (Environment and nature recovery policy reform)</v>
      </c>
      <c r="AC173" s="202" t="str">
        <f>VLOOKUP($A173,'CCRA3 Risks'!$A:$AG,19,FALSE)</f>
        <v>Y</v>
      </c>
      <c r="AD173" s="123">
        <f>VLOOKUP($A173,'CCRA3 Risks'!$A:$AG,20,FALSE)</f>
        <v>0</v>
      </c>
      <c r="AE173" s="123">
        <f>VLOOKUP($A173,'CCRA3 Risks'!$A:$AG,21,FALSE)</f>
        <v>0</v>
      </c>
      <c r="AF173" s="123">
        <f>VLOOKUP($A173,'CCRA3 Risks'!$A:$AG,22,FALSE)</f>
        <v>0</v>
      </c>
      <c r="AG173" s="123">
        <f>VLOOKUP($A173,'CCRA3 Risks'!$A:$AG,23,FALSE)</f>
        <v>0</v>
      </c>
      <c r="AH173" s="123">
        <f>VLOOKUP($A173,'CCRA3 Risks'!$A:$AG,24,FALSE)</f>
        <v>0</v>
      </c>
      <c r="AI173" s="123">
        <f>VLOOKUP($A173,'CCRA3 Risks'!$A:$AG,25,FALSE)</f>
        <v>0</v>
      </c>
      <c r="AJ173" s="123">
        <f>VLOOKUP($A173,'CCRA3 Risks'!$A:$AG,26,FALSE)</f>
        <v>0</v>
      </c>
      <c r="AK173" s="123">
        <f>VLOOKUP($A173,'CCRA3 Risks'!$A:$AG,27,FALSE)</f>
        <v>0</v>
      </c>
      <c r="AL173" s="123">
        <f>VLOOKUP($A173,'CCRA3 Risks'!$A:$AG,28,FALSE)</f>
        <v>0</v>
      </c>
      <c r="AM173" s="123">
        <f>VLOOKUP($A173,'CCRA3 Risks'!$A:$AG,29,FALSE)</f>
        <v>0</v>
      </c>
      <c r="AN173" s="123">
        <f>VLOOKUP($A173,'CCRA3 Risks'!$A:$AG,30,FALSE)</f>
        <v>0</v>
      </c>
      <c r="AO173" s="123">
        <f>VLOOKUP($A173,'CCRA3 Risks'!$A:$AG,31,FALSE)</f>
        <v>0</v>
      </c>
      <c r="AP173" s="123">
        <f>VLOOKUP($A173,'CCRA3 Risks'!$A:$AG,32,FALSE)</f>
        <v>0</v>
      </c>
      <c r="AQ173" s="123">
        <f>VLOOKUP($A173,'CCRA3 Risks'!$A:$AG,33,FALSE)</f>
        <v>0</v>
      </c>
    </row>
    <row r="174" spans="1:43" ht="51" x14ac:dyDescent="0.25">
      <c r="A174" s="88" t="s">
        <v>328</v>
      </c>
      <c r="B174" s="88" t="s">
        <v>1195</v>
      </c>
      <c r="C174" s="83" t="s">
        <v>1196</v>
      </c>
      <c r="D174" s="83" t="s">
        <v>461</v>
      </c>
      <c r="E174" s="88" t="s">
        <v>67</v>
      </c>
      <c r="F174" s="83" t="s">
        <v>33</v>
      </c>
      <c r="G174" s="83" t="s">
        <v>20</v>
      </c>
      <c r="H174" s="83" t="s">
        <v>1197</v>
      </c>
      <c r="I174" s="88"/>
      <c r="J174" s="88" t="s">
        <v>417</v>
      </c>
      <c r="K174" s="83" t="s">
        <v>1198</v>
      </c>
      <c r="L174" s="88" t="s">
        <v>480</v>
      </c>
      <c r="M174" s="88" t="s">
        <v>480</v>
      </c>
      <c r="N174" s="206" t="str">
        <f>VLOOKUP($A174,'CCRA3 Risks'!$A:$R,2,FALSE)</f>
        <v>N2 Risks to terrestrial species and habitats from pests, pathogens and invasive species</v>
      </c>
      <c r="O174" s="206" t="str">
        <f>VLOOKUP($A174,'CCRA3 Risks'!$A:$R,3,FALSE)</f>
        <v>Yes</v>
      </c>
      <c r="P174" s="207">
        <f>VLOOKUP($A174,'CCRA3 Risks'!$A:$R,4,FALSE)</f>
        <v>3</v>
      </c>
      <c r="Q174" s="206" t="str">
        <f>VLOOKUP($A174,'CCRA3 Risks'!$A:$R,7,FALSE)</f>
        <v>England</v>
      </c>
      <c r="R174" s="206" t="str">
        <f>VLOOKUP($A174,'CCRA3 Risks'!$A:$R,8,FALSE)</f>
        <v>Medium</v>
      </c>
      <c r="S174" s="206" t="str">
        <f>VLOOKUP($A174,'CCRA3 Risks'!$A:$R,9,FALSE)</f>
        <v>High</v>
      </c>
      <c r="T174" s="206" t="str">
        <f>VLOOKUP($A174,'CCRA3 Risks'!$A:$R,10,FALSE)</f>
        <v>High</v>
      </c>
      <c r="U174" s="206" t="str">
        <f>VLOOKUP($A174,'CCRA3 Risks'!$A:$R,11,FALSE)</f>
        <v>High</v>
      </c>
      <c r="V174" s="206" t="str">
        <f>VLOOKUP($A174,'CCRA3 Risks'!$A:$R,12,FALSE)</f>
        <v>High</v>
      </c>
      <c r="W174" s="206" t="str">
        <f>VLOOKUP($A174,'CCRA3 Risks'!$A:$R,13,FALSE)</f>
        <v>Partially</v>
      </c>
      <c r="X174" s="206" t="str">
        <f>VLOOKUP($A174,'CCRA3 Risks'!$A:$R,14,FALSE)</f>
        <v>More action needed</v>
      </c>
      <c r="Y174" s="206" t="str">
        <f>VLOOKUP($A174,'CCRA3 Risks'!$A:$R,15,FALSE)</f>
        <v>More action needed</v>
      </c>
      <c r="Z174" s="206" t="str">
        <f>VLOOKUP($A174,'CCRA3 Risks'!$A:$R,16,FALSE)</f>
        <v>Low (3)</v>
      </c>
      <c r="AA174" s="206" t="str">
        <f>VLOOKUP($A174,'CCRA3 Risks'!$A:$R,17,FALSE)</f>
        <v>Medium (Amber)</v>
      </c>
      <c r="AB174" s="206" t="str">
        <f>VLOOKUP($A174,'CCRA3 Risks'!$A:$R,18,FALSE)</f>
        <v>High (Environment and nature recovery policy reform)</v>
      </c>
      <c r="AC174" s="202" t="str">
        <f>VLOOKUP($A174,'CCRA3 Risks'!$A:$AG,19,FALSE)</f>
        <v>Y</v>
      </c>
      <c r="AD174" s="123">
        <f>VLOOKUP($A174,'CCRA3 Risks'!$A:$AG,20,FALSE)</f>
        <v>0</v>
      </c>
      <c r="AE174" s="123">
        <f>VLOOKUP($A174,'CCRA3 Risks'!$A:$AG,21,FALSE)</f>
        <v>0</v>
      </c>
      <c r="AF174" s="123">
        <f>VLOOKUP($A174,'CCRA3 Risks'!$A:$AG,22,FALSE)</f>
        <v>0</v>
      </c>
      <c r="AG174" s="123">
        <f>VLOOKUP($A174,'CCRA3 Risks'!$A:$AG,23,FALSE)</f>
        <v>0</v>
      </c>
      <c r="AH174" s="123">
        <f>VLOOKUP($A174,'CCRA3 Risks'!$A:$AG,24,FALSE)</f>
        <v>0</v>
      </c>
      <c r="AI174" s="123">
        <f>VLOOKUP($A174,'CCRA3 Risks'!$A:$AG,25,FALSE)</f>
        <v>0</v>
      </c>
      <c r="AJ174" s="123">
        <f>VLOOKUP($A174,'CCRA3 Risks'!$A:$AG,26,FALSE)</f>
        <v>0</v>
      </c>
      <c r="AK174" s="123">
        <f>VLOOKUP($A174,'CCRA3 Risks'!$A:$AG,27,FALSE)</f>
        <v>0</v>
      </c>
      <c r="AL174" s="123">
        <f>VLOOKUP($A174,'CCRA3 Risks'!$A:$AG,28,FALSE)</f>
        <v>0</v>
      </c>
      <c r="AM174" s="123">
        <f>VLOOKUP($A174,'CCRA3 Risks'!$A:$AG,29,FALSE)</f>
        <v>0</v>
      </c>
      <c r="AN174" s="123">
        <f>VLOOKUP($A174,'CCRA3 Risks'!$A:$AG,30,FALSE)</f>
        <v>0</v>
      </c>
      <c r="AO174" s="123">
        <f>VLOOKUP($A174,'CCRA3 Risks'!$A:$AG,31,FALSE)</f>
        <v>0</v>
      </c>
      <c r="AP174" s="123">
        <f>VLOOKUP($A174,'CCRA3 Risks'!$A:$AG,32,FALSE)</f>
        <v>0</v>
      </c>
      <c r="AQ174" s="123">
        <f>VLOOKUP($A174,'CCRA3 Risks'!$A:$AG,33,FALSE)</f>
        <v>0</v>
      </c>
    </row>
    <row r="175" spans="1:43" ht="51" x14ac:dyDescent="0.25">
      <c r="A175" s="88" t="s">
        <v>328</v>
      </c>
      <c r="B175" s="88" t="s">
        <v>1199</v>
      </c>
      <c r="C175" s="83" t="s">
        <v>1200</v>
      </c>
      <c r="D175" s="83" t="s">
        <v>403</v>
      </c>
      <c r="E175" s="88" t="s">
        <v>67</v>
      </c>
      <c r="F175" s="83" t="s">
        <v>396</v>
      </c>
      <c r="G175" s="83" t="s">
        <v>53</v>
      </c>
      <c r="H175" s="83" t="s">
        <v>1201</v>
      </c>
      <c r="I175" s="88"/>
      <c r="J175" s="88" t="s">
        <v>417</v>
      </c>
      <c r="K175" s="83" t="s">
        <v>1202</v>
      </c>
      <c r="L175" s="88" t="s">
        <v>480</v>
      </c>
      <c r="M175" s="88" t="s">
        <v>35</v>
      </c>
      <c r="N175" s="206" t="str">
        <f>VLOOKUP($A175,'CCRA3 Risks'!$A:$R,2,FALSE)</f>
        <v>N2 Risks to terrestrial species and habitats from pests, pathogens and invasive species</v>
      </c>
      <c r="O175" s="206" t="str">
        <f>VLOOKUP($A175,'CCRA3 Risks'!$A:$R,3,FALSE)</f>
        <v>Yes</v>
      </c>
      <c r="P175" s="207">
        <f>VLOOKUP($A175,'CCRA3 Risks'!$A:$R,4,FALSE)</f>
        <v>3</v>
      </c>
      <c r="Q175" s="206" t="str">
        <f>VLOOKUP($A175,'CCRA3 Risks'!$A:$R,7,FALSE)</f>
        <v>England</v>
      </c>
      <c r="R175" s="206" t="str">
        <f>VLOOKUP($A175,'CCRA3 Risks'!$A:$R,8,FALSE)</f>
        <v>Medium</v>
      </c>
      <c r="S175" s="206" t="str">
        <f>VLOOKUP($A175,'CCRA3 Risks'!$A:$R,9,FALSE)</f>
        <v>High</v>
      </c>
      <c r="T175" s="206" t="str">
        <f>VLOOKUP($A175,'CCRA3 Risks'!$A:$R,10,FALSE)</f>
        <v>High</v>
      </c>
      <c r="U175" s="206" t="str">
        <f>VLOOKUP($A175,'CCRA3 Risks'!$A:$R,11,FALSE)</f>
        <v>High</v>
      </c>
      <c r="V175" s="206" t="str">
        <f>VLOOKUP($A175,'CCRA3 Risks'!$A:$R,12,FALSE)</f>
        <v>High</v>
      </c>
      <c r="W175" s="206" t="str">
        <f>VLOOKUP($A175,'CCRA3 Risks'!$A:$R,13,FALSE)</f>
        <v>Partially</v>
      </c>
      <c r="X175" s="206" t="str">
        <f>VLOOKUP($A175,'CCRA3 Risks'!$A:$R,14,FALSE)</f>
        <v>More action needed</v>
      </c>
      <c r="Y175" s="206" t="str">
        <f>VLOOKUP($A175,'CCRA3 Risks'!$A:$R,15,FALSE)</f>
        <v>More action needed</v>
      </c>
      <c r="Z175" s="206" t="str">
        <f>VLOOKUP($A175,'CCRA3 Risks'!$A:$R,16,FALSE)</f>
        <v>Low (3)</v>
      </c>
      <c r="AA175" s="206" t="str">
        <f>VLOOKUP($A175,'CCRA3 Risks'!$A:$R,17,FALSE)</f>
        <v>Medium (Amber)</v>
      </c>
      <c r="AB175" s="206" t="str">
        <f>VLOOKUP($A175,'CCRA3 Risks'!$A:$R,18,FALSE)</f>
        <v>High (Environment and nature recovery policy reform)</v>
      </c>
      <c r="AC175" s="202" t="str">
        <f>VLOOKUP($A175,'CCRA3 Risks'!$A:$AG,19,FALSE)</f>
        <v>Y</v>
      </c>
      <c r="AD175" s="123">
        <f>VLOOKUP($A175,'CCRA3 Risks'!$A:$AG,20,FALSE)</f>
        <v>0</v>
      </c>
      <c r="AE175" s="123">
        <f>VLOOKUP($A175,'CCRA3 Risks'!$A:$AG,21,FALSE)</f>
        <v>0</v>
      </c>
      <c r="AF175" s="123">
        <f>VLOOKUP($A175,'CCRA3 Risks'!$A:$AG,22,FALSE)</f>
        <v>0</v>
      </c>
      <c r="AG175" s="123">
        <f>VLOOKUP($A175,'CCRA3 Risks'!$A:$AG,23,FALSE)</f>
        <v>0</v>
      </c>
      <c r="AH175" s="123">
        <f>VLOOKUP($A175,'CCRA3 Risks'!$A:$AG,24,FALSE)</f>
        <v>0</v>
      </c>
      <c r="AI175" s="123">
        <f>VLOOKUP($A175,'CCRA3 Risks'!$A:$AG,25,FALSE)</f>
        <v>0</v>
      </c>
      <c r="AJ175" s="123">
        <f>VLOOKUP($A175,'CCRA3 Risks'!$A:$AG,26,FALSE)</f>
        <v>0</v>
      </c>
      <c r="AK175" s="123">
        <f>VLOOKUP($A175,'CCRA3 Risks'!$A:$AG,27,FALSE)</f>
        <v>0</v>
      </c>
      <c r="AL175" s="123">
        <f>VLOOKUP($A175,'CCRA3 Risks'!$A:$AG,28,FALSE)</f>
        <v>0</v>
      </c>
      <c r="AM175" s="123">
        <f>VLOOKUP($A175,'CCRA3 Risks'!$A:$AG,29,FALSE)</f>
        <v>0</v>
      </c>
      <c r="AN175" s="123">
        <f>VLOOKUP($A175,'CCRA3 Risks'!$A:$AG,30,FALSE)</f>
        <v>0</v>
      </c>
      <c r="AO175" s="123">
        <f>VLOOKUP($A175,'CCRA3 Risks'!$A:$AG,31,FALSE)</f>
        <v>0</v>
      </c>
      <c r="AP175" s="123">
        <f>VLOOKUP($A175,'CCRA3 Risks'!$A:$AG,32,FALSE)</f>
        <v>0</v>
      </c>
      <c r="AQ175" s="123">
        <f>VLOOKUP($A175,'CCRA3 Risks'!$A:$AG,33,FALSE)</f>
        <v>0</v>
      </c>
    </row>
    <row r="176" spans="1:43" ht="204" x14ac:dyDescent="0.25">
      <c r="A176" s="88" t="s">
        <v>331</v>
      </c>
      <c r="B176" s="88" t="s">
        <v>1203</v>
      </c>
      <c r="C176" s="83" t="s">
        <v>1204</v>
      </c>
      <c r="D176" s="83" t="s">
        <v>403</v>
      </c>
      <c r="E176" s="88" t="s">
        <v>67</v>
      </c>
      <c r="F176" s="83" t="s">
        <v>421</v>
      </c>
      <c r="G176" s="83" t="s">
        <v>53</v>
      </c>
      <c r="H176" s="83" t="s">
        <v>1205</v>
      </c>
      <c r="I176" s="88"/>
      <c r="J176" s="88" t="s">
        <v>398</v>
      </c>
      <c r="K176" s="83" t="s">
        <v>1206</v>
      </c>
      <c r="L176" s="88" t="s">
        <v>480</v>
      </c>
      <c r="M176" s="88" t="s">
        <v>35</v>
      </c>
      <c r="N176" s="206" t="str">
        <f>VLOOKUP($A176,'CCRA3 Risks'!$A:$R,2,FALSE)</f>
        <v>N3 Opportunities from new species colonisations in terrestrial habitats</v>
      </c>
      <c r="O176" s="206" t="str">
        <f>VLOOKUP($A176,'CCRA3 Risks'!$A:$R,3,FALSE)</f>
        <v>No</v>
      </c>
      <c r="P176" s="207">
        <f>VLOOKUP($A176,'CCRA3 Risks'!$A:$R,4,FALSE)</f>
        <v>3</v>
      </c>
      <c r="Q176" s="206" t="str">
        <f>VLOOKUP($A176,'CCRA3 Risks'!$A:$R,7,FALSE)</f>
        <v>England</v>
      </c>
      <c r="R176" s="206" t="str">
        <f>VLOOKUP($A176,'CCRA3 Risks'!$A:$R,8,FALSE)</f>
        <v>Medium</v>
      </c>
      <c r="S176" s="206" t="str">
        <f>VLOOKUP($A176,'CCRA3 Risks'!$A:$R,9,FALSE)</f>
        <v>Medium</v>
      </c>
      <c r="T176" s="206" t="str">
        <f>VLOOKUP($A176,'CCRA3 Risks'!$A:$R,10,FALSE)</f>
        <v>Medium</v>
      </c>
      <c r="U176" s="206" t="str">
        <f>VLOOKUP($A176,'CCRA3 Risks'!$A:$R,11,FALSE)</f>
        <v>Medium</v>
      </c>
      <c r="V176" s="206" t="str">
        <f>VLOOKUP($A176,'CCRA3 Risks'!$A:$R,12,FALSE)</f>
        <v>High</v>
      </c>
      <c r="W176" s="206" t="str">
        <f>VLOOKUP($A176,'CCRA3 Risks'!$A:$R,13,FALSE)</f>
        <v>No</v>
      </c>
      <c r="X176" s="206" t="str">
        <f>VLOOKUP($A176,'CCRA3 Risks'!$A:$R,14,FALSE)</f>
        <v>Further investigation</v>
      </c>
      <c r="Y176" s="206" t="str">
        <f>VLOOKUP($A176,'CCRA3 Risks'!$A:$R,15,FALSE)</f>
        <v>Further Investigation</v>
      </c>
      <c r="Z176" s="206" t="str">
        <f>VLOOKUP($A176,'CCRA3 Risks'!$A:$R,16,FALSE)</f>
        <v>Low (3)</v>
      </c>
      <c r="AA176" s="206" t="str">
        <f>VLOOKUP($A176,'CCRA3 Risks'!$A:$R,17,FALSE)</f>
        <v>N/A</v>
      </c>
      <c r="AB176" s="206" t="str">
        <f>VLOOKUP($A176,'CCRA3 Risks'!$A:$R,18,FALSE)</f>
        <v>Low (No key policies looking at opportunities in the next 2 years)</v>
      </c>
      <c r="AC176" s="202" t="str">
        <f>VLOOKUP($A176,'CCRA3 Risks'!$A:$AG,19,FALSE)</f>
        <v>Y</v>
      </c>
      <c r="AD176" s="123">
        <f>VLOOKUP($A176,'CCRA3 Risks'!$A:$AG,20,FALSE)</f>
        <v>0</v>
      </c>
      <c r="AE176" s="123">
        <f>VLOOKUP($A176,'CCRA3 Risks'!$A:$AG,21,FALSE)</f>
        <v>0</v>
      </c>
      <c r="AF176" s="123">
        <f>VLOOKUP($A176,'CCRA3 Risks'!$A:$AG,22,FALSE)</f>
        <v>0</v>
      </c>
      <c r="AG176" s="123">
        <f>VLOOKUP($A176,'CCRA3 Risks'!$A:$AG,23,FALSE)</f>
        <v>0</v>
      </c>
      <c r="AH176" s="123">
        <f>VLOOKUP($A176,'CCRA3 Risks'!$A:$AG,24,FALSE)</f>
        <v>0</v>
      </c>
      <c r="AI176" s="123">
        <f>VLOOKUP($A176,'CCRA3 Risks'!$A:$AG,25,FALSE)</f>
        <v>0</v>
      </c>
      <c r="AJ176" s="123">
        <f>VLOOKUP($A176,'CCRA3 Risks'!$A:$AG,26,FALSE)</f>
        <v>0</v>
      </c>
      <c r="AK176" s="123">
        <f>VLOOKUP($A176,'CCRA3 Risks'!$A:$AG,27,FALSE)</f>
        <v>0</v>
      </c>
      <c r="AL176" s="123">
        <f>VLOOKUP($A176,'CCRA3 Risks'!$A:$AG,28,FALSE)</f>
        <v>0</v>
      </c>
      <c r="AM176" s="123">
        <f>VLOOKUP($A176,'CCRA3 Risks'!$A:$AG,29,FALSE)</f>
        <v>0</v>
      </c>
      <c r="AN176" s="123">
        <f>VLOOKUP($A176,'CCRA3 Risks'!$A:$AG,30,FALSE)</f>
        <v>0</v>
      </c>
      <c r="AO176" s="123">
        <f>VLOOKUP($A176,'CCRA3 Risks'!$A:$AG,31,FALSE)</f>
        <v>0</v>
      </c>
      <c r="AP176" s="123">
        <f>VLOOKUP($A176,'CCRA3 Risks'!$A:$AG,32,FALSE)</f>
        <v>0</v>
      </c>
      <c r="AQ176" s="123">
        <f>VLOOKUP($A176,'CCRA3 Risks'!$A:$AG,33,FALSE)</f>
        <v>0</v>
      </c>
    </row>
    <row r="177" spans="1:43" ht="225.95" customHeight="1" x14ac:dyDescent="0.25">
      <c r="A177" s="88" t="s">
        <v>331</v>
      </c>
      <c r="B177" s="88" t="s">
        <v>1207</v>
      </c>
      <c r="C177" s="83" t="s">
        <v>1208</v>
      </c>
      <c r="D177" s="83" t="s">
        <v>461</v>
      </c>
      <c r="E177" s="88" t="s">
        <v>67</v>
      </c>
      <c r="F177" s="83" t="s">
        <v>396</v>
      </c>
      <c r="G177" s="83" t="s">
        <v>20</v>
      </c>
      <c r="H177" s="83" t="s">
        <v>1209</v>
      </c>
      <c r="I177" s="88"/>
      <c r="J177" s="88" t="s">
        <v>398</v>
      </c>
      <c r="K177" s="83" t="s">
        <v>1210</v>
      </c>
      <c r="L177" s="88" t="s">
        <v>480</v>
      </c>
      <c r="M177" s="88" t="s">
        <v>480</v>
      </c>
      <c r="N177" s="206" t="str">
        <f>VLOOKUP($A177,'CCRA3 Risks'!$A:$R,2,FALSE)</f>
        <v>N3 Opportunities from new species colonisations in terrestrial habitats</v>
      </c>
      <c r="O177" s="206" t="str">
        <f>VLOOKUP($A177,'CCRA3 Risks'!$A:$R,3,FALSE)</f>
        <v>No</v>
      </c>
      <c r="P177" s="207">
        <f>VLOOKUP($A177,'CCRA3 Risks'!$A:$R,4,FALSE)</f>
        <v>3</v>
      </c>
      <c r="Q177" s="206" t="str">
        <f>VLOOKUP($A177,'CCRA3 Risks'!$A:$R,7,FALSE)</f>
        <v>England</v>
      </c>
      <c r="R177" s="206" t="str">
        <f>VLOOKUP($A177,'CCRA3 Risks'!$A:$R,8,FALSE)</f>
        <v>Medium</v>
      </c>
      <c r="S177" s="206" t="str">
        <f>VLOOKUP($A177,'CCRA3 Risks'!$A:$R,9,FALSE)</f>
        <v>Medium</v>
      </c>
      <c r="T177" s="206" t="str">
        <f>VLOOKUP($A177,'CCRA3 Risks'!$A:$R,10,FALSE)</f>
        <v>Medium</v>
      </c>
      <c r="U177" s="206" t="str">
        <f>VLOOKUP($A177,'CCRA3 Risks'!$A:$R,11,FALSE)</f>
        <v>Medium</v>
      </c>
      <c r="V177" s="206" t="str">
        <f>VLOOKUP($A177,'CCRA3 Risks'!$A:$R,12,FALSE)</f>
        <v>High</v>
      </c>
      <c r="W177" s="206" t="str">
        <f>VLOOKUP($A177,'CCRA3 Risks'!$A:$R,13,FALSE)</f>
        <v>No</v>
      </c>
      <c r="X177" s="206" t="str">
        <f>VLOOKUP($A177,'CCRA3 Risks'!$A:$R,14,FALSE)</f>
        <v>Further investigation</v>
      </c>
      <c r="Y177" s="206" t="str">
        <f>VLOOKUP($A177,'CCRA3 Risks'!$A:$R,15,FALSE)</f>
        <v>Further Investigation</v>
      </c>
      <c r="Z177" s="206" t="str">
        <f>VLOOKUP($A177,'CCRA3 Risks'!$A:$R,16,FALSE)</f>
        <v>Low (3)</v>
      </c>
      <c r="AA177" s="206" t="str">
        <f>VLOOKUP($A177,'CCRA3 Risks'!$A:$R,17,FALSE)</f>
        <v>N/A</v>
      </c>
      <c r="AB177" s="206" t="str">
        <f>VLOOKUP($A177,'CCRA3 Risks'!$A:$R,18,FALSE)</f>
        <v>Low (No key policies looking at opportunities in the next 2 years)</v>
      </c>
      <c r="AC177" s="202" t="str">
        <f>VLOOKUP($A177,'CCRA3 Risks'!$A:$AG,19,FALSE)</f>
        <v>Y</v>
      </c>
      <c r="AD177" s="123">
        <f>VLOOKUP($A177,'CCRA3 Risks'!$A:$AG,20,FALSE)</f>
        <v>0</v>
      </c>
      <c r="AE177" s="123">
        <f>VLOOKUP($A177,'CCRA3 Risks'!$A:$AG,21,FALSE)</f>
        <v>0</v>
      </c>
      <c r="AF177" s="123">
        <f>VLOOKUP($A177,'CCRA3 Risks'!$A:$AG,22,FALSE)</f>
        <v>0</v>
      </c>
      <c r="AG177" s="123">
        <f>VLOOKUP($A177,'CCRA3 Risks'!$A:$AG,23,FALSE)</f>
        <v>0</v>
      </c>
      <c r="AH177" s="123">
        <f>VLOOKUP($A177,'CCRA3 Risks'!$A:$AG,24,FALSE)</f>
        <v>0</v>
      </c>
      <c r="AI177" s="123">
        <f>VLOOKUP($A177,'CCRA3 Risks'!$A:$AG,25,FALSE)</f>
        <v>0</v>
      </c>
      <c r="AJ177" s="123">
        <f>VLOOKUP($A177,'CCRA3 Risks'!$A:$AG,26,FALSE)</f>
        <v>0</v>
      </c>
      <c r="AK177" s="123">
        <f>VLOOKUP($A177,'CCRA3 Risks'!$A:$AG,27,FALSE)</f>
        <v>0</v>
      </c>
      <c r="AL177" s="123">
        <f>VLOOKUP($A177,'CCRA3 Risks'!$A:$AG,28,FALSE)</f>
        <v>0</v>
      </c>
      <c r="AM177" s="123">
        <f>VLOOKUP($A177,'CCRA3 Risks'!$A:$AG,29,FALSE)</f>
        <v>0</v>
      </c>
      <c r="AN177" s="123">
        <f>VLOOKUP($A177,'CCRA3 Risks'!$A:$AG,30,FALSE)</f>
        <v>0</v>
      </c>
      <c r="AO177" s="123">
        <f>VLOOKUP($A177,'CCRA3 Risks'!$A:$AG,31,FALSE)</f>
        <v>0</v>
      </c>
      <c r="AP177" s="123">
        <f>VLOOKUP($A177,'CCRA3 Risks'!$A:$AG,32,FALSE)</f>
        <v>0</v>
      </c>
      <c r="AQ177" s="123">
        <f>VLOOKUP($A177,'CCRA3 Risks'!$A:$AG,33,FALSE)</f>
        <v>0</v>
      </c>
    </row>
    <row r="178" spans="1:43" ht="250.5" customHeight="1" x14ac:dyDescent="0.25">
      <c r="A178" s="88" t="s">
        <v>334</v>
      </c>
      <c r="B178" s="88" t="s">
        <v>1211</v>
      </c>
      <c r="C178" s="83" t="s">
        <v>1212</v>
      </c>
      <c r="D178" s="83" t="s">
        <v>403</v>
      </c>
      <c r="E178" s="88" t="s">
        <v>67</v>
      </c>
      <c r="F178" s="83" t="s">
        <v>396</v>
      </c>
      <c r="G178" s="83" t="s">
        <v>53</v>
      </c>
      <c r="H178" s="83" t="s">
        <v>1213</v>
      </c>
      <c r="I178" s="88"/>
      <c r="J178" s="88" t="s">
        <v>463</v>
      </c>
      <c r="K178" s="83" t="s">
        <v>1214</v>
      </c>
      <c r="L178" s="88" t="s">
        <v>480</v>
      </c>
      <c r="M178" s="88" t="s">
        <v>480</v>
      </c>
      <c r="N178" s="206" t="str">
        <f>VLOOKUP($A178,'CCRA3 Risks'!$A:$R,2,FALSE)</f>
        <v xml:space="preserve">N4 Risk to soils from changing climatic conditions, including seasonal aridity and wetness. </v>
      </c>
      <c r="O178" s="206" t="str">
        <f>VLOOKUP($A178,'CCRA3 Risks'!$A:$R,3,FALSE)</f>
        <v>Yes</v>
      </c>
      <c r="P178" s="207">
        <f>VLOOKUP($A178,'CCRA3 Risks'!$A:$R,4,FALSE)</f>
        <v>3</v>
      </c>
      <c r="Q178" s="206" t="str">
        <f>VLOOKUP($A178,'CCRA3 Risks'!$A:$R,7,FALSE)</f>
        <v>England</v>
      </c>
      <c r="R178" s="206" t="str">
        <f>VLOOKUP($A178,'CCRA3 Risks'!$A:$R,8,FALSE)</f>
        <v>Medium</v>
      </c>
      <c r="S178" s="206" t="str">
        <f>VLOOKUP($A178,'CCRA3 Risks'!$A:$R,9,FALSE)</f>
        <v>High</v>
      </c>
      <c r="T178" s="206" t="str">
        <f>VLOOKUP($A178,'CCRA3 Risks'!$A:$R,10,FALSE)</f>
        <v>High</v>
      </c>
      <c r="U178" s="206" t="str">
        <f>VLOOKUP($A178,'CCRA3 Risks'!$A:$R,11,FALSE)</f>
        <v>High</v>
      </c>
      <c r="V178" s="206" t="str">
        <f>VLOOKUP($A178,'CCRA3 Risks'!$A:$R,12,FALSE)</f>
        <v>High</v>
      </c>
      <c r="W178" s="206" t="str">
        <f>VLOOKUP($A178,'CCRA3 Risks'!$A:$R,13,FALSE)</f>
        <v>Very partially</v>
      </c>
      <c r="X178" s="206" t="str">
        <f>VLOOKUP($A178,'CCRA3 Risks'!$A:$R,14,FALSE)</f>
        <v>More action needed</v>
      </c>
      <c r="Y178" s="206" t="str">
        <f>VLOOKUP($A178,'CCRA3 Risks'!$A:$R,15,FALSE)</f>
        <v>More action needed</v>
      </c>
      <c r="Z178" s="206" t="str">
        <f>VLOOKUP($A178,'CCRA3 Risks'!$A:$R,16,FALSE)</f>
        <v>N/A</v>
      </c>
      <c r="AA178" s="206" t="str">
        <f>VLOOKUP($A178,'CCRA3 Risks'!$A:$R,17,FALSE)</f>
        <v>Low (Red)</v>
      </c>
      <c r="AB178" s="206" t="str">
        <f>VLOOKUP($A178,'CCRA3 Risks'!$A:$R,18,FALSE)</f>
        <v>High (New land management and rural support schemes)</v>
      </c>
      <c r="AC178" s="202" t="str">
        <f>VLOOKUP($A178,'CCRA3 Risks'!$A:$AG,19,FALSE)</f>
        <v>Y</v>
      </c>
      <c r="AD178" s="123" t="str">
        <f>VLOOKUP($A178,'CCRA3 Risks'!$A:$AG,20,FALSE)</f>
        <v>Y</v>
      </c>
      <c r="AE178" s="123" t="str">
        <f>VLOOKUP($A178,'CCRA3 Risks'!$A:$AG,21,FALSE)</f>
        <v>Y</v>
      </c>
      <c r="AF178" s="123">
        <f>VLOOKUP($A178,'CCRA3 Risks'!$A:$AG,22,FALSE)</f>
        <v>0</v>
      </c>
      <c r="AG178" s="123">
        <f>VLOOKUP($A178,'CCRA3 Risks'!$A:$AG,23,FALSE)</f>
        <v>0</v>
      </c>
      <c r="AH178" s="123">
        <f>VLOOKUP($A178,'CCRA3 Risks'!$A:$AG,24,FALSE)</f>
        <v>0</v>
      </c>
      <c r="AI178" s="123">
        <f>VLOOKUP($A178,'CCRA3 Risks'!$A:$AG,25,FALSE)</f>
        <v>0</v>
      </c>
      <c r="AJ178" s="123">
        <f>VLOOKUP($A178,'CCRA3 Risks'!$A:$AG,26,FALSE)</f>
        <v>0</v>
      </c>
      <c r="AK178" s="123">
        <f>VLOOKUP($A178,'CCRA3 Risks'!$A:$AG,27,FALSE)</f>
        <v>0</v>
      </c>
      <c r="AL178" s="123">
        <f>VLOOKUP($A178,'CCRA3 Risks'!$A:$AG,28,FALSE)</f>
        <v>0</v>
      </c>
      <c r="AM178" s="123">
        <f>VLOOKUP($A178,'CCRA3 Risks'!$A:$AG,29,FALSE)</f>
        <v>0</v>
      </c>
      <c r="AN178" s="123">
        <f>VLOOKUP($A178,'CCRA3 Risks'!$A:$AG,30,FALSE)</f>
        <v>0</v>
      </c>
      <c r="AO178" s="123">
        <f>VLOOKUP($A178,'CCRA3 Risks'!$A:$AG,31,FALSE)</f>
        <v>0</v>
      </c>
      <c r="AP178" s="123">
        <f>VLOOKUP($A178,'CCRA3 Risks'!$A:$AG,32,FALSE)</f>
        <v>0</v>
      </c>
      <c r="AQ178" s="123">
        <f>VLOOKUP($A178,'CCRA3 Risks'!$A:$AG,33,FALSE)</f>
        <v>0</v>
      </c>
    </row>
    <row r="179" spans="1:43" ht="127.5" x14ac:dyDescent="0.25">
      <c r="A179" s="88" t="s">
        <v>334</v>
      </c>
      <c r="B179" s="88" t="s">
        <v>1215</v>
      </c>
      <c r="C179" s="83" t="s">
        <v>1216</v>
      </c>
      <c r="D179" s="83" t="s">
        <v>461</v>
      </c>
      <c r="E179" s="88" t="s">
        <v>67</v>
      </c>
      <c r="F179" s="83" t="s">
        <v>396</v>
      </c>
      <c r="G179" s="83" t="s">
        <v>53</v>
      </c>
      <c r="H179" s="83" t="s">
        <v>1217</v>
      </c>
      <c r="I179" s="88" t="s">
        <v>1218</v>
      </c>
      <c r="J179" s="88" t="s">
        <v>398</v>
      </c>
      <c r="K179" s="83" t="s">
        <v>1219</v>
      </c>
      <c r="L179" s="88" t="s">
        <v>480</v>
      </c>
      <c r="M179" s="88" t="s">
        <v>480</v>
      </c>
      <c r="N179" s="206" t="str">
        <f>VLOOKUP($A179,'CCRA3 Risks'!$A:$R,2,FALSE)</f>
        <v xml:space="preserve">N4 Risk to soils from changing climatic conditions, including seasonal aridity and wetness. </v>
      </c>
      <c r="O179" s="206" t="str">
        <f>VLOOKUP($A179,'CCRA3 Risks'!$A:$R,3,FALSE)</f>
        <v>Yes</v>
      </c>
      <c r="P179" s="207">
        <f>VLOOKUP($A179,'CCRA3 Risks'!$A:$R,4,FALSE)</f>
        <v>3</v>
      </c>
      <c r="Q179" s="206" t="str">
        <f>VLOOKUP($A179,'CCRA3 Risks'!$A:$R,7,FALSE)</f>
        <v>England</v>
      </c>
      <c r="R179" s="206" t="str">
        <f>VLOOKUP($A179,'CCRA3 Risks'!$A:$R,8,FALSE)</f>
        <v>Medium</v>
      </c>
      <c r="S179" s="206" t="str">
        <f>VLOOKUP($A179,'CCRA3 Risks'!$A:$R,9,FALSE)</f>
        <v>High</v>
      </c>
      <c r="T179" s="206" t="str">
        <f>VLOOKUP($A179,'CCRA3 Risks'!$A:$R,10,FALSE)</f>
        <v>High</v>
      </c>
      <c r="U179" s="206" t="str">
        <f>VLOOKUP($A179,'CCRA3 Risks'!$A:$R,11,FALSE)</f>
        <v>High</v>
      </c>
      <c r="V179" s="206" t="str">
        <f>VLOOKUP($A179,'CCRA3 Risks'!$A:$R,12,FALSE)</f>
        <v>High</v>
      </c>
      <c r="W179" s="206" t="str">
        <f>VLOOKUP($A179,'CCRA3 Risks'!$A:$R,13,FALSE)</f>
        <v>Very partially</v>
      </c>
      <c r="X179" s="206" t="str">
        <f>VLOOKUP($A179,'CCRA3 Risks'!$A:$R,14,FALSE)</f>
        <v>More action needed</v>
      </c>
      <c r="Y179" s="206" t="str">
        <f>VLOOKUP($A179,'CCRA3 Risks'!$A:$R,15,FALSE)</f>
        <v>More action needed</v>
      </c>
      <c r="Z179" s="206" t="str">
        <f>VLOOKUP($A179,'CCRA3 Risks'!$A:$R,16,FALSE)</f>
        <v>N/A</v>
      </c>
      <c r="AA179" s="206" t="str">
        <f>VLOOKUP($A179,'CCRA3 Risks'!$A:$R,17,FALSE)</f>
        <v>Low (Red)</v>
      </c>
      <c r="AB179" s="206" t="str">
        <f>VLOOKUP($A179,'CCRA3 Risks'!$A:$R,18,FALSE)</f>
        <v>High (New land management and rural support schemes)</v>
      </c>
      <c r="AC179" s="202" t="str">
        <f>VLOOKUP($A179,'CCRA3 Risks'!$A:$AG,19,FALSE)</f>
        <v>Y</v>
      </c>
      <c r="AD179" s="123" t="str">
        <f>VLOOKUP($A179,'CCRA3 Risks'!$A:$AG,20,FALSE)</f>
        <v>Y</v>
      </c>
      <c r="AE179" s="123" t="str">
        <f>VLOOKUP($A179,'CCRA3 Risks'!$A:$AG,21,FALSE)</f>
        <v>Y</v>
      </c>
      <c r="AF179" s="123">
        <f>VLOOKUP($A179,'CCRA3 Risks'!$A:$AG,22,FALSE)</f>
        <v>0</v>
      </c>
      <c r="AG179" s="123">
        <f>VLOOKUP($A179,'CCRA3 Risks'!$A:$AG,23,FALSE)</f>
        <v>0</v>
      </c>
      <c r="AH179" s="123">
        <f>VLOOKUP($A179,'CCRA3 Risks'!$A:$AG,24,FALSE)</f>
        <v>0</v>
      </c>
      <c r="AI179" s="123">
        <f>VLOOKUP($A179,'CCRA3 Risks'!$A:$AG,25,FALSE)</f>
        <v>0</v>
      </c>
      <c r="AJ179" s="123">
        <f>VLOOKUP($A179,'CCRA3 Risks'!$A:$AG,26,FALSE)</f>
        <v>0</v>
      </c>
      <c r="AK179" s="123">
        <f>VLOOKUP($A179,'CCRA3 Risks'!$A:$AG,27,FALSE)</f>
        <v>0</v>
      </c>
      <c r="AL179" s="123">
        <f>VLOOKUP($A179,'CCRA3 Risks'!$A:$AG,28,FALSE)</f>
        <v>0</v>
      </c>
      <c r="AM179" s="123">
        <f>VLOOKUP($A179,'CCRA3 Risks'!$A:$AG,29,FALSE)</f>
        <v>0</v>
      </c>
      <c r="AN179" s="123">
        <f>VLOOKUP($A179,'CCRA3 Risks'!$A:$AG,30,FALSE)</f>
        <v>0</v>
      </c>
      <c r="AO179" s="123">
        <f>VLOOKUP($A179,'CCRA3 Risks'!$A:$AG,31,FALSE)</f>
        <v>0</v>
      </c>
      <c r="AP179" s="123">
        <f>VLOOKUP($A179,'CCRA3 Risks'!$A:$AG,32,FALSE)</f>
        <v>0</v>
      </c>
      <c r="AQ179" s="123">
        <f>VLOOKUP($A179,'CCRA3 Risks'!$A:$AG,33,FALSE)</f>
        <v>0</v>
      </c>
    </row>
    <row r="180" spans="1:43" ht="63.75" x14ac:dyDescent="0.25">
      <c r="A180" s="88" t="s">
        <v>334</v>
      </c>
      <c r="B180" s="88" t="s">
        <v>1220</v>
      </c>
      <c r="C180" s="83" t="s">
        <v>1221</v>
      </c>
      <c r="D180" s="83" t="s">
        <v>461</v>
      </c>
      <c r="E180" s="88" t="s">
        <v>67</v>
      </c>
      <c r="F180" s="83" t="s">
        <v>396</v>
      </c>
      <c r="G180" s="83" t="s">
        <v>53</v>
      </c>
      <c r="H180" s="83" t="s">
        <v>1222</v>
      </c>
      <c r="I180" s="88" t="s">
        <v>1218</v>
      </c>
      <c r="J180" s="88" t="s">
        <v>463</v>
      </c>
      <c r="K180" s="83" t="s">
        <v>1223</v>
      </c>
      <c r="L180" s="88" t="s">
        <v>480</v>
      </c>
      <c r="M180" s="88" t="s">
        <v>480</v>
      </c>
      <c r="N180" s="206" t="str">
        <f>VLOOKUP($A180,'CCRA3 Risks'!$A:$R,2,FALSE)</f>
        <v xml:space="preserve">N4 Risk to soils from changing climatic conditions, including seasonal aridity and wetness. </v>
      </c>
      <c r="O180" s="206" t="str">
        <f>VLOOKUP($A180,'CCRA3 Risks'!$A:$R,3,FALSE)</f>
        <v>Yes</v>
      </c>
      <c r="P180" s="207">
        <f>VLOOKUP($A180,'CCRA3 Risks'!$A:$R,4,FALSE)</f>
        <v>3</v>
      </c>
      <c r="Q180" s="206" t="str">
        <f>VLOOKUP($A180,'CCRA3 Risks'!$A:$R,7,FALSE)</f>
        <v>England</v>
      </c>
      <c r="R180" s="206" t="str">
        <f>VLOOKUP($A180,'CCRA3 Risks'!$A:$R,8,FALSE)</f>
        <v>Medium</v>
      </c>
      <c r="S180" s="206" t="str">
        <f>VLOOKUP($A180,'CCRA3 Risks'!$A:$R,9,FALSE)</f>
        <v>High</v>
      </c>
      <c r="T180" s="206" t="str">
        <f>VLOOKUP($A180,'CCRA3 Risks'!$A:$R,10,FALSE)</f>
        <v>High</v>
      </c>
      <c r="U180" s="206" t="str">
        <f>VLOOKUP($A180,'CCRA3 Risks'!$A:$R,11,FALSE)</f>
        <v>High</v>
      </c>
      <c r="V180" s="206" t="str">
        <f>VLOOKUP($A180,'CCRA3 Risks'!$A:$R,12,FALSE)</f>
        <v>High</v>
      </c>
      <c r="W180" s="206" t="str">
        <f>VLOOKUP($A180,'CCRA3 Risks'!$A:$R,13,FALSE)</f>
        <v>Very partially</v>
      </c>
      <c r="X180" s="206" t="str">
        <f>VLOOKUP($A180,'CCRA3 Risks'!$A:$R,14,FALSE)</f>
        <v>More action needed</v>
      </c>
      <c r="Y180" s="206" t="str">
        <f>VLOOKUP($A180,'CCRA3 Risks'!$A:$R,15,FALSE)</f>
        <v>More action needed</v>
      </c>
      <c r="Z180" s="206" t="str">
        <f>VLOOKUP($A180,'CCRA3 Risks'!$A:$R,16,FALSE)</f>
        <v>N/A</v>
      </c>
      <c r="AA180" s="206" t="str">
        <f>VLOOKUP($A180,'CCRA3 Risks'!$A:$R,17,FALSE)</f>
        <v>Low (Red)</v>
      </c>
      <c r="AB180" s="206" t="str">
        <f>VLOOKUP($A180,'CCRA3 Risks'!$A:$R,18,FALSE)</f>
        <v>High (New land management and rural support schemes)</v>
      </c>
      <c r="AC180" s="202" t="str">
        <f>VLOOKUP($A180,'CCRA3 Risks'!$A:$AG,19,FALSE)</f>
        <v>Y</v>
      </c>
      <c r="AD180" s="123" t="str">
        <f>VLOOKUP($A180,'CCRA3 Risks'!$A:$AG,20,FALSE)</f>
        <v>Y</v>
      </c>
      <c r="AE180" s="123" t="str">
        <f>VLOOKUP($A180,'CCRA3 Risks'!$A:$AG,21,FALSE)</f>
        <v>Y</v>
      </c>
      <c r="AF180" s="123">
        <f>VLOOKUP($A180,'CCRA3 Risks'!$A:$AG,22,FALSE)</f>
        <v>0</v>
      </c>
      <c r="AG180" s="123">
        <f>VLOOKUP($A180,'CCRA3 Risks'!$A:$AG,23,FALSE)</f>
        <v>0</v>
      </c>
      <c r="AH180" s="123">
        <f>VLOOKUP($A180,'CCRA3 Risks'!$A:$AG,24,FALSE)</f>
        <v>0</v>
      </c>
      <c r="AI180" s="123">
        <f>VLOOKUP($A180,'CCRA3 Risks'!$A:$AG,25,FALSE)</f>
        <v>0</v>
      </c>
      <c r="AJ180" s="123">
        <f>VLOOKUP($A180,'CCRA3 Risks'!$A:$AG,26,FALSE)</f>
        <v>0</v>
      </c>
      <c r="AK180" s="123">
        <f>VLOOKUP($A180,'CCRA3 Risks'!$A:$AG,27,FALSE)</f>
        <v>0</v>
      </c>
      <c r="AL180" s="123">
        <f>VLOOKUP($A180,'CCRA3 Risks'!$A:$AG,28,FALSE)</f>
        <v>0</v>
      </c>
      <c r="AM180" s="123">
        <f>VLOOKUP($A180,'CCRA3 Risks'!$A:$AG,29,FALSE)</f>
        <v>0</v>
      </c>
      <c r="AN180" s="123">
        <f>VLOOKUP($A180,'CCRA3 Risks'!$A:$AG,30,FALSE)</f>
        <v>0</v>
      </c>
      <c r="AO180" s="123">
        <f>VLOOKUP($A180,'CCRA3 Risks'!$A:$AG,31,FALSE)</f>
        <v>0</v>
      </c>
      <c r="AP180" s="123">
        <f>VLOOKUP($A180,'CCRA3 Risks'!$A:$AG,32,FALSE)</f>
        <v>0</v>
      </c>
      <c r="AQ180" s="123">
        <f>VLOOKUP($A180,'CCRA3 Risks'!$A:$AG,33,FALSE)</f>
        <v>0</v>
      </c>
    </row>
    <row r="181" spans="1:43" ht="144" customHeight="1" x14ac:dyDescent="0.25">
      <c r="A181" s="88" t="s">
        <v>334</v>
      </c>
      <c r="B181" s="88" t="s">
        <v>1224</v>
      </c>
      <c r="C181" s="83" t="s">
        <v>1225</v>
      </c>
      <c r="D181" s="83" t="s">
        <v>461</v>
      </c>
      <c r="E181" s="88" t="s">
        <v>67</v>
      </c>
      <c r="F181" s="83" t="s">
        <v>33</v>
      </c>
      <c r="G181" s="83" t="s">
        <v>20</v>
      </c>
      <c r="H181" s="83" t="s">
        <v>1226</v>
      </c>
      <c r="I181" s="88" t="s">
        <v>1227</v>
      </c>
      <c r="J181" s="88" t="s">
        <v>398</v>
      </c>
      <c r="K181" s="83" t="s">
        <v>1228</v>
      </c>
      <c r="L181" s="88" t="s">
        <v>480</v>
      </c>
      <c r="M181" s="88" t="s">
        <v>35</v>
      </c>
      <c r="N181" s="206" t="str">
        <f>VLOOKUP($A181,'CCRA3 Risks'!$A:$R,2,FALSE)</f>
        <v xml:space="preserve">N4 Risk to soils from changing climatic conditions, including seasonal aridity and wetness. </v>
      </c>
      <c r="O181" s="206" t="str">
        <f>VLOOKUP($A181,'CCRA3 Risks'!$A:$R,3,FALSE)</f>
        <v>Yes</v>
      </c>
      <c r="P181" s="207">
        <f>VLOOKUP($A181,'CCRA3 Risks'!$A:$R,4,FALSE)</f>
        <v>3</v>
      </c>
      <c r="Q181" s="206" t="str">
        <f>VLOOKUP($A181,'CCRA3 Risks'!$A:$R,7,FALSE)</f>
        <v>England</v>
      </c>
      <c r="R181" s="206" t="str">
        <f>VLOOKUP($A181,'CCRA3 Risks'!$A:$R,8,FALSE)</f>
        <v>Medium</v>
      </c>
      <c r="S181" s="206" t="str">
        <f>VLOOKUP($A181,'CCRA3 Risks'!$A:$R,9,FALSE)</f>
        <v>High</v>
      </c>
      <c r="T181" s="206" t="str">
        <f>VLOOKUP($A181,'CCRA3 Risks'!$A:$R,10,FALSE)</f>
        <v>High</v>
      </c>
      <c r="U181" s="206" t="str">
        <f>VLOOKUP($A181,'CCRA3 Risks'!$A:$R,11,FALSE)</f>
        <v>High</v>
      </c>
      <c r="V181" s="206" t="str">
        <f>VLOOKUP($A181,'CCRA3 Risks'!$A:$R,12,FALSE)</f>
        <v>High</v>
      </c>
      <c r="W181" s="206" t="str">
        <f>VLOOKUP($A181,'CCRA3 Risks'!$A:$R,13,FALSE)</f>
        <v>Very partially</v>
      </c>
      <c r="X181" s="206" t="str">
        <f>VLOOKUP($A181,'CCRA3 Risks'!$A:$R,14,FALSE)</f>
        <v>More action needed</v>
      </c>
      <c r="Y181" s="206" t="str">
        <f>VLOOKUP($A181,'CCRA3 Risks'!$A:$R,15,FALSE)</f>
        <v>More action needed</v>
      </c>
      <c r="Z181" s="206" t="str">
        <f>VLOOKUP($A181,'CCRA3 Risks'!$A:$R,16,FALSE)</f>
        <v>N/A</v>
      </c>
      <c r="AA181" s="206" t="str">
        <f>VLOOKUP($A181,'CCRA3 Risks'!$A:$R,17,FALSE)</f>
        <v>Low (Red)</v>
      </c>
      <c r="AB181" s="206" t="str">
        <f>VLOOKUP($A181,'CCRA3 Risks'!$A:$R,18,FALSE)</f>
        <v>High (New land management and rural support schemes)</v>
      </c>
      <c r="AC181" s="202" t="str">
        <f>VLOOKUP($A181,'CCRA3 Risks'!$A:$AG,19,FALSE)</f>
        <v>Y</v>
      </c>
      <c r="AD181" s="123" t="str">
        <f>VLOOKUP($A181,'CCRA3 Risks'!$A:$AG,20,FALSE)</f>
        <v>Y</v>
      </c>
      <c r="AE181" s="123" t="str">
        <f>VLOOKUP($A181,'CCRA3 Risks'!$A:$AG,21,FALSE)</f>
        <v>Y</v>
      </c>
      <c r="AF181" s="123">
        <f>VLOOKUP($A181,'CCRA3 Risks'!$A:$AG,22,FALSE)</f>
        <v>0</v>
      </c>
      <c r="AG181" s="123">
        <f>VLOOKUP($A181,'CCRA3 Risks'!$A:$AG,23,FALSE)</f>
        <v>0</v>
      </c>
      <c r="AH181" s="123">
        <f>VLOOKUP($A181,'CCRA3 Risks'!$A:$AG,24,FALSE)</f>
        <v>0</v>
      </c>
      <c r="AI181" s="123">
        <f>VLOOKUP($A181,'CCRA3 Risks'!$A:$AG,25,FALSE)</f>
        <v>0</v>
      </c>
      <c r="AJ181" s="123">
        <f>VLOOKUP($A181,'CCRA3 Risks'!$A:$AG,26,FALSE)</f>
        <v>0</v>
      </c>
      <c r="AK181" s="123">
        <f>VLOOKUP($A181,'CCRA3 Risks'!$A:$AG,27,FALSE)</f>
        <v>0</v>
      </c>
      <c r="AL181" s="123">
        <f>VLOOKUP($A181,'CCRA3 Risks'!$A:$AG,28,FALSE)</f>
        <v>0</v>
      </c>
      <c r="AM181" s="123">
        <f>VLOOKUP($A181,'CCRA3 Risks'!$A:$AG,29,FALSE)</f>
        <v>0</v>
      </c>
      <c r="AN181" s="123">
        <f>VLOOKUP($A181,'CCRA3 Risks'!$A:$AG,30,FALSE)</f>
        <v>0</v>
      </c>
      <c r="AO181" s="123">
        <f>VLOOKUP($A181,'CCRA3 Risks'!$A:$AG,31,FALSE)</f>
        <v>0</v>
      </c>
      <c r="AP181" s="123">
        <f>VLOOKUP($A181,'CCRA3 Risks'!$A:$AG,32,FALSE)</f>
        <v>0</v>
      </c>
      <c r="AQ181" s="123">
        <f>VLOOKUP($A181,'CCRA3 Risks'!$A:$AG,33,FALSE)</f>
        <v>0</v>
      </c>
    </row>
    <row r="182" spans="1:43" ht="89.25" x14ac:dyDescent="0.25">
      <c r="A182" s="88" t="s">
        <v>334</v>
      </c>
      <c r="B182" s="88" t="s">
        <v>1229</v>
      </c>
      <c r="C182" s="83" t="s">
        <v>1230</v>
      </c>
      <c r="D182" s="83" t="s">
        <v>461</v>
      </c>
      <c r="E182" s="88" t="s">
        <v>67</v>
      </c>
      <c r="F182" s="83" t="s">
        <v>396</v>
      </c>
      <c r="G182" s="83" t="s">
        <v>53</v>
      </c>
      <c r="H182" s="83" t="s">
        <v>1231</v>
      </c>
      <c r="I182" s="88"/>
      <c r="J182" s="88" t="s">
        <v>417</v>
      </c>
      <c r="K182" s="83" t="s">
        <v>1232</v>
      </c>
      <c r="L182" s="88" t="s">
        <v>480</v>
      </c>
      <c r="M182" s="88" t="s">
        <v>35</v>
      </c>
      <c r="N182" s="206" t="str">
        <f>VLOOKUP($A182,'CCRA3 Risks'!$A:$R,2,FALSE)</f>
        <v xml:space="preserve">N4 Risk to soils from changing climatic conditions, including seasonal aridity and wetness. </v>
      </c>
      <c r="O182" s="206" t="str">
        <f>VLOOKUP($A182,'CCRA3 Risks'!$A:$R,3,FALSE)</f>
        <v>Yes</v>
      </c>
      <c r="P182" s="207">
        <f>VLOOKUP($A182,'CCRA3 Risks'!$A:$R,4,FALSE)</f>
        <v>3</v>
      </c>
      <c r="Q182" s="206" t="str">
        <f>VLOOKUP($A182,'CCRA3 Risks'!$A:$R,7,FALSE)</f>
        <v>England</v>
      </c>
      <c r="R182" s="206" t="str">
        <f>VLOOKUP($A182,'CCRA3 Risks'!$A:$R,8,FALSE)</f>
        <v>Medium</v>
      </c>
      <c r="S182" s="206" t="str">
        <f>VLOOKUP($A182,'CCRA3 Risks'!$A:$R,9,FALSE)</f>
        <v>High</v>
      </c>
      <c r="T182" s="206" t="str">
        <f>VLOOKUP($A182,'CCRA3 Risks'!$A:$R,10,FALSE)</f>
        <v>High</v>
      </c>
      <c r="U182" s="206" t="str">
        <f>VLOOKUP($A182,'CCRA3 Risks'!$A:$R,11,FALSE)</f>
        <v>High</v>
      </c>
      <c r="V182" s="206" t="str">
        <f>VLOOKUP($A182,'CCRA3 Risks'!$A:$R,12,FALSE)</f>
        <v>High</v>
      </c>
      <c r="W182" s="206" t="str">
        <f>VLOOKUP($A182,'CCRA3 Risks'!$A:$R,13,FALSE)</f>
        <v>Very partially</v>
      </c>
      <c r="X182" s="206" t="str">
        <f>VLOOKUP($A182,'CCRA3 Risks'!$A:$R,14,FALSE)</f>
        <v>More action needed</v>
      </c>
      <c r="Y182" s="206" t="str">
        <f>VLOOKUP($A182,'CCRA3 Risks'!$A:$R,15,FALSE)</f>
        <v>More action needed</v>
      </c>
      <c r="Z182" s="206" t="str">
        <f>VLOOKUP($A182,'CCRA3 Risks'!$A:$R,16,FALSE)</f>
        <v>N/A</v>
      </c>
      <c r="AA182" s="206" t="str">
        <f>VLOOKUP($A182,'CCRA3 Risks'!$A:$R,17,FALSE)</f>
        <v>Low (Red)</v>
      </c>
      <c r="AB182" s="206" t="str">
        <f>VLOOKUP($A182,'CCRA3 Risks'!$A:$R,18,FALSE)</f>
        <v>High (New land management and rural support schemes)</v>
      </c>
      <c r="AC182" s="202" t="str">
        <f>VLOOKUP($A182,'CCRA3 Risks'!$A:$AG,19,FALSE)</f>
        <v>Y</v>
      </c>
      <c r="AD182" s="123" t="str">
        <f>VLOOKUP($A182,'CCRA3 Risks'!$A:$AG,20,FALSE)</f>
        <v>Y</v>
      </c>
      <c r="AE182" s="123" t="str">
        <f>VLOOKUP($A182,'CCRA3 Risks'!$A:$AG,21,FALSE)</f>
        <v>Y</v>
      </c>
      <c r="AF182" s="123">
        <f>VLOOKUP($A182,'CCRA3 Risks'!$A:$AG,22,FALSE)</f>
        <v>0</v>
      </c>
      <c r="AG182" s="123">
        <f>VLOOKUP($A182,'CCRA3 Risks'!$A:$AG,23,FALSE)</f>
        <v>0</v>
      </c>
      <c r="AH182" s="123">
        <f>VLOOKUP($A182,'CCRA3 Risks'!$A:$AG,24,FALSE)</f>
        <v>0</v>
      </c>
      <c r="AI182" s="123">
        <f>VLOOKUP($A182,'CCRA3 Risks'!$A:$AG,25,FALSE)</f>
        <v>0</v>
      </c>
      <c r="AJ182" s="123">
        <f>VLOOKUP($A182,'CCRA3 Risks'!$A:$AG,26,FALSE)</f>
        <v>0</v>
      </c>
      <c r="AK182" s="123">
        <f>VLOOKUP($A182,'CCRA3 Risks'!$A:$AG,27,FALSE)</f>
        <v>0</v>
      </c>
      <c r="AL182" s="123">
        <f>VLOOKUP($A182,'CCRA3 Risks'!$A:$AG,28,FALSE)</f>
        <v>0</v>
      </c>
      <c r="AM182" s="123">
        <f>VLOOKUP($A182,'CCRA3 Risks'!$A:$AG,29,FALSE)</f>
        <v>0</v>
      </c>
      <c r="AN182" s="123">
        <f>VLOOKUP($A182,'CCRA3 Risks'!$A:$AG,30,FALSE)</f>
        <v>0</v>
      </c>
      <c r="AO182" s="123">
        <f>VLOOKUP($A182,'CCRA3 Risks'!$A:$AG,31,FALSE)</f>
        <v>0</v>
      </c>
      <c r="AP182" s="123">
        <f>VLOOKUP($A182,'CCRA3 Risks'!$A:$AG,32,FALSE)</f>
        <v>0</v>
      </c>
      <c r="AQ182" s="123">
        <f>VLOOKUP($A182,'CCRA3 Risks'!$A:$AG,33,FALSE)</f>
        <v>0</v>
      </c>
    </row>
    <row r="183" spans="1:43" ht="102" x14ac:dyDescent="0.25">
      <c r="A183" s="88" t="s">
        <v>334</v>
      </c>
      <c r="B183" s="88" t="s">
        <v>1233</v>
      </c>
      <c r="C183" s="83" t="s">
        <v>1234</v>
      </c>
      <c r="D183" s="83" t="s">
        <v>461</v>
      </c>
      <c r="E183" s="88" t="s">
        <v>67</v>
      </c>
      <c r="F183" s="83" t="s">
        <v>396</v>
      </c>
      <c r="G183" s="83" t="s">
        <v>53</v>
      </c>
      <c r="H183" s="83" t="s">
        <v>1235</v>
      </c>
      <c r="I183" s="88"/>
      <c r="J183" s="88" t="s">
        <v>411</v>
      </c>
      <c r="K183" s="83" t="s">
        <v>1236</v>
      </c>
      <c r="L183" s="88" t="s">
        <v>480</v>
      </c>
      <c r="M183" s="88" t="s">
        <v>480</v>
      </c>
      <c r="N183" s="206" t="str">
        <f>VLOOKUP($A183,'CCRA3 Risks'!$A:$R,2,FALSE)</f>
        <v xml:space="preserve">N4 Risk to soils from changing climatic conditions, including seasonal aridity and wetness. </v>
      </c>
      <c r="O183" s="206" t="str">
        <f>VLOOKUP($A183,'CCRA3 Risks'!$A:$R,3,FALSE)</f>
        <v>Yes</v>
      </c>
      <c r="P183" s="207">
        <f>VLOOKUP($A183,'CCRA3 Risks'!$A:$R,4,FALSE)</f>
        <v>3</v>
      </c>
      <c r="Q183" s="206" t="str">
        <f>VLOOKUP($A183,'CCRA3 Risks'!$A:$R,7,FALSE)</f>
        <v>England</v>
      </c>
      <c r="R183" s="206" t="str">
        <f>VLOOKUP($A183,'CCRA3 Risks'!$A:$R,8,FALSE)</f>
        <v>Medium</v>
      </c>
      <c r="S183" s="206" t="str">
        <f>VLOOKUP($A183,'CCRA3 Risks'!$A:$R,9,FALSE)</f>
        <v>High</v>
      </c>
      <c r="T183" s="206" t="str">
        <f>VLOOKUP($A183,'CCRA3 Risks'!$A:$R,10,FALSE)</f>
        <v>High</v>
      </c>
      <c r="U183" s="206" t="str">
        <f>VLOOKUP($A183,'CCRA3 Risks'!$A:$R,11,FALSE)</f>
        <v>High</v>
      </c>
      <c r="V183" s="206" t="str">
        <f>VLOOKUP($A183,'CCRA3 Risks'!$A:$R,12,FALSE)</f>
        <v>High</v>
      </c>
      <c r="W183" s="206" t="str">
        <f>VLOOKUP($A183,'CCRA3 Risks'!$A:$R,13,FALSE)</f>
        <v>Very partially</v>
      </c>
      <c r="X183" s="206" t="str">
        <f>VLOOKUP($A183,'CCRA3 Risks'!$A:$R,14,FALSE)</f>
        <v>More action needed</v>
      </c>
      <c r="Y183" s="206" t="str">
        <f>VLOOKUP($A183,'CCRA3 Risks'!$A:$R,15,FALSE)</f>
        <v>More action needed</v>
      </c>
      <c r="Z183" s="206" t="str">
        <f>VLOOKUP($A183,'CCRA3 Risks'!$A:$R,16,FALSE)</f>
        <v>N/A</v>
      </c>
      <c r="AA183" s="206" t="str">
        <f>VLOOKUP($A183,'CCRA3 Risks'!$A:$R,17,FALSE)</f>
        <v>Low (Red)</v>
      </c>
      <c r="AB183" s="206" t="str">
        <f>VLOOKUP($A183,'CCRA3 Risks'!$A:$R,18,FALSE)</f>
        <v>High (New land management and rural support schemes)</v>
      </c>
      <c r="AC183" s="202" t="str">
        <f>VLOOKUP($A183,'CCRA3 Risks'!$A:$AG,19,FALSE)</f>
        <v>Y</v>
      </c>
      <c r="AD183" s="123" t="str">
        <f>VLOOKUP($A183,'CCRA3 Risks'!$A:$AG,20,FALSE)</f>
        <v>Y</v>
      </c>
      <c r="AE183" s="123" t="str">
        <f>VLOOKUP($A183,'CCRA3 Risks'!$A:$AG,21,FALSE)</f>
        <v>Y</v>
      </c>
      <c r="AF183" s="123">
        <f>VLOOKUP($A183,'CCRA3 Risks'!$A:$AG,22,FALSE)</f>
        <v>0</v>
      </c>
      <c r="AG183" s="123">
        <f>VLOOKUP($A183,'CCRA3 Risks'!$A:$AG,23,FALSE)</f>
        <v>0</v>
      </c>
      <c r="AH183" s="123">
        <f>VLOOKUP($A183,'CCRA3 Risks'!$A:$AG,24,FALSE)</f>
        <v>0</v>
      </c>
      <c r="AI183" s="123">
        <f>VLOOKUP($A183,'CCRA3 Risks'!$A:$AG,25,FALSE)</f>
        <v>0</v>
      </c>
      <c r="AJ183" s="123">
        <f>VLOOKUP($A183,'CCRA3 Risks'!$A:$AG,26,FALSE)</f>
        <v>0</v>
      </c>
      <c r="AK183" s="123">
        <f>VLOOKUP($A183,'CCRA3 Risks'!$A:$AG,27,FALSE)</f>
        <v>0</v>
      </c>
      <c r="AL183" s="123">
        <f>VLOOKUP($A183,'CCRA3 Risks'!$A:$AG,28,FALSE)</f>
        <v>0</v>
      </c>
      <c r="AM183" s="123">
        <f>VLOOKUP($A183,'CCRA3 Risks'!$A:$AG,29,FALSE)</f>
        <v>0</v>
      </c>
      <c r="AN183" s="123">
        <f>VLOOKUP($A183,'CCRA3 Risks'!$A:$AG,30,FALSE)</f>
        <v>0</v>
      </c>
      <c r="AO183" s="123">
        <f>VLOOKUP($A183,'CCRA3 Risks'!$A:$AG,31,FALSE)</f>
        <v>0</v>
      </c>
      <c r="AP183" s="123">
        <f>VLOOKUP($A183,'CCRA3 Risks'!$A:$AG,32,FALSE)</f>
        <v>0</v>
      </c>
      <c r="AQ183" s="123">
        <f>VLOOKUP($A183,'CCRA3 Risks'!$A:$AG,33,FALSE)</f>
        <v>0</v>
      </c>
    </row>
    <row r="184" spans="1:43" ht="176.1" customHeight="1" x14ac:dyDescent="0.25">
      <c r="A184" s="88" t="s">
        <v>337</v>
      </c>
      <c r="B184" s="88" t="s">
        <v>1237</v>
      </c>
      <c r="C184" s="83" t="s">
        <v>1238</v>
      </c>
      <c r="D184" s="83" t="s">
        <v>461</v>
      </c>
      <c r="E184" s="88" t="s">
        <v>67</v>
      </c>
      <c r="F184" s="83" t="s">
        <v>396</v>
      </c>
      <c r="G184" s="83" t="s">
        <v>20</v>
      </c>
      <c r="H184" s="83" t="s">
        <v>1239</v>
      </c>
      <c r="I184" s="88"/>
      <c r="J184" s="88" t="s">
        <v>398</v>
      </c>
      <c r="K184" s="83" t="s">
        <v>1240</v>
      </c>
      <c r="L184" s="83" t="s">
        <v>1241</v>
      </c>
      <c r="M184" s="83" t="s">
        <v>1242</v>
      </c>
      <c r="N184" s="206" t="str">
        <f>VLOOKUP($A184,'CCRA3 Risks'!$A:$R,2,FALSE)</f>
        <v xml:space="preserve">N5 Risks and opportunities for natural carbon stores, carbon sequestration and GHG emissions from changing climatic conditions, including temperature change and water scarcity 
</v>
      </c>
      <c r="O184" s="206" t="str">
        <f>VLOOKUP($A184,'CCRA3 Risks'!$A:$R,3,FALSE)</f>
        <v>Yes</v>
      </c>
      <c r="P184" s="207">
        <f>VLOOKUP($A184,'CCRA3 Risks'!$A:$R,4,FALSE)</f>
        <v>3</v>
      </c>
      <c r="Q184" s="206" t="str">
        <f>VLOOKUP($A184,'CCRA3 Risks'!$A:$R,7,FALSE)</f>
        <v>England</v>
      </c>
      <c r="R184" s="206" t="str">
        <f>VLOOKUP($A184,'CCRA3 Risks'!$A:$R,8,FALSE)</f>
        <v>Medium</v>
      </c>
      <c r="S184" s="206" t="str">
        <f>VLOOKUP($A184,'CCRA3 Risks'!$A:$R,9,FALSE)</f>
        <v>High</v>
      </c>
      <c r="T184" s="206" t="str">
        <f>VLOOKUP($A184,'CCRA3 Risks'!$A:$R,10,FALSE)</f>
        <v>High</v>
      </c>
      <c r="U184" s="206" t="str">
        <f>VLOOKUP($A184,'CCRA3 Risks'!$A:$R,11,FALSE)</f>
        <v>High</v>
      </c>
      <c r="V184" s="206" t="str">
        <f>VLOOKUP($A184,'CCRA3 Risks'!$A:$R,12,FALSE)</f>
        <v>High</v>
      </c>
      <c r="W184" s="206" t="str">
        <f>VLOOKUP($A184,'CCRA3 Risks'!$A:$R,13,FALSE)</f>
        <v>No</v>
      </c>
      <c r="X184" s="206" t="str">
        <f>VLOOKUP($A184,'CCRA3 Risks'!$A:$R,14,FALSE)</f>
        <v>More action needed</v>
      </c>
      <c r="Y184" s="206" t="str">
        <f>VLOOKUP($A184,'CCRA3 Risks'!$A:$R,15,FALSE)</f>
        <v>More action needed</v>
      </c>
      <c r="Z184" s="206" t="str">
        <f>VLOOKUP($A184,'CCRA3 Risks'!$A:$R,16,FALSE)</f>
        <v>N/A</v>
      </c>
      <c r="AA184" s="206" t="str">
        <f>VLOOKUP($A184,'CCRA3 Risks'!$A:$R,17,FALSE)</f>
        <v>Low (Red)</v>
      </c>
      <c r="AB184" s="206" t="str">
        <f>VLOOKUP($A184,'CCRA3 Risks'!$A:$R,18,FALSE)</f>
        <v>High (Net Zero, new land management and rural support schemes, Environment and nature recovery policy)</v>
      </c>
      <c r="AC184" s="202" t="str">
        <f>VLOOKUP($A184,'CCRA3 Risks'!$A:$AG,19,FALSE)</f>
        <v>Y</v>
      </c>
      <c r="AD184" s="123" t="str">
        <f>VLOOKUP($A184,'CCRA3 Risks'!$A:$AG,20,FALSE)</f>
        <v>Y</v>
      </c>
      <c r="AE184" s="123">
        <f>VLOOKUP($A184,'CCRA3 Risks'!$A:$AG,21,FALSE)</f>
        <v>0</v>
      </c>
      <c r="AF184" s="123">
        <f>VLOOKUP($A184,'CCRA3 Risks'!$A:$AG,22,FALSE)</f>
        <v>0</v>
      </c>
      <c r="AG184" s="123">
        <f>VLOOKUP($A184,'CCRA3 Risks'!$A:$AG,23,FALSE)</f>
        <v>0</v>
      </c>
      <c r="AH184" s="123">
        <f>VLOOKUP($A184,'CCRA3 Risks'!$A:$AG,24,FALSE)</f>
        <v>0</v>
      </c>
      <c r="AI184" s="123">
        <f>VLOOKUP($A184,'CCRA3 Risks'!$A:$AG,25,FALSE)</f>
        <v>0</v>
      </c>
      <c r="AJ184" s="123">
        <f>VLOOKUP($A184,'CCRA3 Risks'!$A:$AG,26,FALSE)</f>
        <v>0</v>
      </c>
      <c r="AK184" s="123">
        <f>VLOOKUP($A184,'CCRA3 Risks'!$A:$AG,27,FALSE)</f>
        <v>0</v>
      </c>
      <c r="AL184" s="123">
        <f>VLOOKUP($A184,'CCRA3 Risks'!$A:$AG,28,FALSE)</f>
        <v>0</v>
      </c>
      <c r="AM184" s="123">
        <f>VLOOKUP($A184,'CCRA3 Risks'!$A:$AG,29,FALSE)</f>
        <v>0</v>
      </c>
      <c r="AN184" s="123">
        <f>VLOOKUP($A184,'CCRA3 Risks'!$A:$AG,30,FALSE)</f>
        <v>0</v>
      </c>
      <c r="AO184" s="123">
        <f>VLOOKUP($A184,'CCRA3 Risks'!$A:$AG,31,FALSE)</f>
        <v>0</v>
      </c>
      <c r="AP184" s="123">
        <f>VLOOKUP($A184,'CCRA3 Risks'!$A:$AG,32,FALSE)</f>
        <v>0</v>
      </c>
      <c r="AQ184" s="123">
        <f>VLOOKUP($A184,'CCRA3 Risks'!$A:$AG,33,FALSE)</f>
        <v>0</v>
      </c>
    </row>
    <row r="185" spans="1:43" ht="225.6" customHeight="1" x14ac:dyDescent="0.25">
      <c r="A185" s="88" t="s">
        <v>337</v>
      </c>
      <c r="B185" s="88" t="s">
        <v>1243</v>
      </c>
      <c r="C185" s="83" t="s">
        <v>1244</v>
      </c>
      <c r="D185" s="83" t="s">
        <v>461</v>
      </c>
      <c r="E185" s="88" t="s">
        <v>67</v>
      </c>
      <c r="F185" s="83" t="s">
        <v>421</v>
      </c>
      <c r="G185" s="83" t="s">
        <v>53</v>
      </c>
      <c r="H185" s="83" t="s">
        <v>1245</v>
      </c>
      <c r="I185" s="88"/>
      <c r="J185" s="88" t="s">
        <v>463</v>
      </c>
      <c r="K185" s="83" t="s">
        <v>1246</v>
      </c>
      <c r="L185" s="83" t="s">
        <v>1241</v>
      </c>
      <c r="M185" s="83" t="s">
        <v>1242</v>
      </c>
      <c r="N185" s="206" t="str">
        <f>VLOOKUP($A185,'CCRA3 Risks'!$A:$R,2,FALSE)</f>
        <v xml:space="preserve">N5 Risks and opportunities for natural carbon stores, carbon sequestration and GHG emissions from changing climatic conditions, including temperature change and water scarcity 
</v>
      </c>
      <c r="O185" s="206" t="str">
        <f>VLOOKUP($A185,'CCRA3 Risks'!$A:$R,3,FALSE)</f>
        <v>Yes</v>
      </c>
      <c r="P185" s="207">
        <f>VLOOKUP($A185,'CCRA3 Risks'!$A:$R,4,FALSE)</f>
        <v>3</v>
      </c>
      <c r="Q185" s="206" t="str">
        <f>VLOOKUP($A185,'CCRA3 Risks'!$A:$R,7,FALSE)</f>
        <v>England</v>
      </c>
      <c r="R185" s="206" t="str">
        <f>VLOOKUP($A185,'CCRA3 Risks'!$A:$R,8,FALSE)</f>
        <v>Medium</v>
      </c>
      <c r="S185" s="206" t="str">
        <f>VLOOKUP($A185,'CCRA3 Risks'!$A:$R,9,FALSE)</f>
        <v>High</v>
      </c>
      <c r="T185" s="206" t="str">
        <f>VLOOKUP($A185,'CCRA3 Risks'!$A:$R,10,FALSE)</f>
        <v>High</v>
      </c>
      <c r="U185" s="206" t="str">
        <f>VLOOKUP($A185,'CCRA3 Risks'!$A:$R,11,FALSE)</f>
        <v>High</v>
      </c>
      <c r="V185" s="206" t="str">
        <f>VLOOKUP($A185,'CCRA3 Risks'!$A:$R,12,FALSE)</f>
        <v>High</v>
      </c>
      <c r="W185" s="206" t="str">
        <f>VLOOKUP($A185,'CCRA3 Risks'!$A:$R,13,FALSE)</f>
        <v>No</v>
      </c>
      <c r="X185" s="206" t="str">
        <f>VLOOKUP($A185,'CCRA3 Risks'!$A:$R,14,FALSE)</f>
        <v>More action needed</v>
      </c>
      <c r="Y185" s="206" t="str">
        <f>VLOOKUP($A185,'CCRA3 Risks'!$A:$R,15,FALSE)</f>
        <v>More action needed</v>
      </c>
      <c r="Z185" s="206" t="str">
        <f>VLOOKUP($A185,'CCRA3 Risks'!$A:$R,16,FALSE)</f>
        <v>N/A</v>
      </c>
      <c r="AA185" s="206" t="str">
        <f>VLOOKUP($A185,'CCRA3 Risks'!$A:$R,17,FALSE)</f>
        <v>Low (Red)</v>
      </c>
      <c r="AB185" s="206" t="str">
        <f>VLOOKUP($A185,'CCRA3 Risks'!$A:$R,18,FALSE)</f>
        <v>High (Net Zero, new land management and rural support schemes, Environment and nature recovery policy)</v>
      </c>
      <c r="AC185" s="202" t="str">
        <f>VLOOKUP($A185,'CCRA3 Risks'!$A:$AG,19,FALSE)</f>
        <v>Y</v>
      </c>
      <c r="AD185" s="123" t="str">
        <f>VLOOKUP($A185,'CCRA3 Risks'!$A:$AG,20,FALSE)</f>
        <v>Y</v>
      </c>
      <c r="AE185" s="123">
        <f>VLOOKUP($A185,'CCRA3 Risks'!$A:$AG,21,FALSE)</f>
        <v>0</v>
      </c>
      <c r="AF185" s="123">
        <f>VLOOKUP($A185,'CCRA3 Risks'!$A:$AG,22,FALSE)</f>
        <v>0</v>
      </c>
      <c r="AG185" s="123">
        <f>VLOOKUP($A185,'CCRA3 Risks'!$A:$AG,23,FALSE)</f>
        <v>0</v>
      </c>
      <c r="AH185" s="123">
        <f>VLOOKUP($A185,'CCRA3 Risks'!$A:$AG,24,FALSE)</f>
        <v>0</v>
      </c>
      <c r="AI185" s="123">
        <f>VLOOKUP($A185,'CCRA3 Risks'!$A:$AG,25,FALSE)</f>
        <v>0</v>
      </c>
      <c r="AJ185" s="123">
        <f>VLOOKUP($A185,'CCRA3 Risks'!$A:$AG,26,FALSE)</f>
        <v>0</v>
      </c>
      <c r="AK185" s="123">
        <f>VLOOKUP($A185,'CCRA3 Risks'!$A:$AG,27,FALSE)</f>
        <v>0</v>
      </c>
      <c r="AL185" s="123">
        <f>VLOOKUP($A185,'CCRA3 Risks'!$A:$AG,28,FALSE)</f>
        <v>0</v>
      </c>
      <c r="AM185" s="123">
        <f>VLOOKUP($A185,'CCRA3 Risks'!$A:$AG,29,FALSE)</f>
        <v>0</v>
      </c>
      <c r="AN185" s="123">
        <f>VLOOKUP($A185,'CCRA3 Risks'!$A:$AG,30,FALSE)</f>
        <v>0</v>
      </c>
      <c r="AO185" s="123">
        <f>VLOOKUP($A185,'CCRA3 Risks'!$A:$AG,31,FALSE)</f>
        <v>0</v>
      </c>
      <c r="AP185" s="123">
        <f>VLOOKUP($A185,'CCRA3 Risks'!$A:$AG,32,FALSE)</f>
        <v>0</v>
      </c>
      <c r="AQ185" s="123">
        <f>VLOOKUP($A185,'CCRA3 Risks'!$A:$AG,33,FALSE)</f>
        <v>0</v>
      </c>
    </row>
    <row r="186" spans="1:43" ht="200.1" customHeight="1" x14ac:dyDescent="0.25">
      <c r="A186" s="88" t="s">
        <v>337</v>
      </c>
      <c r="B186" s="88" t="s">
        <v>1247</v>
      </c>
      <c r="C186" s="83" t="s">
        <v>1248</v>
      </c>
      <c r="D186" s="83" t="s">
        <v>461</v>
      </c>
      <c r="E186" s="88" t="s">
        <v>67</v>
      </c>
      <c r="F186" s="83" t="s">
        <v>421</v>
      </c>
      <c r="G186" s="83" t="s">
        <v>53</v>
      </c>
      <c r="H186" s="83" t="s">
        <v>1249</v>
      </c>
      <c r="I186" s="88"/>
      <c r="J186" s="88" t="s">
        <v>463</v>
      </c>
      <c r="K186" s="83" t="s">
        <v>1250</v>
      </c>
      <c r="L186" s="83" t="s">
        <v>1241</v>
      </c>
      <c r="M186" s="83" t="s">
        <v>1251</v>
      </c>
      <c r="N186" s="206" t="str">
        <f>VLOOKUP($A186,'CCRA3 Risks'!$A:$R,2,FALSE)</f>
        <v xml:space="preserve">N5 Risks and opportunities for natural carbon stores, carbon sequestration and GHG emissions from changing climatic conditions, including temperature change and water scarcity 
</v>
      </c>
      <c r="O186" s="206" t="str">
        <f>VLOOKUP($A186,'CCRA3 Risks'!$A:$R,3,FALSE)</f>
        <v>Yes</v>
      </c>
      <c r="P186" s="207">
        <f>VLOOKUP($A186,'CCRA3 Risks'!$A:$R,4,FALSE)</f>
        <v>3</v>
      </c>
      <c r="Q186" s="206" t="str">
        <f>VLOOKUP($A186,'CCRA3 Risks'!$A:$R,7,FALSE)</f>
        <v>England</v>
      </c>
      <c r="R186" s="206" t="str">
        <f>VLOOKUP($A186,'CCRA3 Risks'!$A:$R,8,FALSE)</f>
        <v>Medium</v>
      </c>
      <c r="S186" s="206" t="str">
        <f>VLOOKUP($A186,'CCRA3 Risks'!$A:$R,9,FALSE)</f>
        <v>High</v>
      </c>
      <c r="T186" s="206" t="str">
        <f>VLOOKUP($A186,'CCRA3 Risks'!$A:$R,10,FALSE)</f>
        <v>High</v>
      </c>
      <c r="U186" s="206" t="str">
        <f>VLOOKUP($A186,'CCRA3 Risks'!$A:$R,11,FALSE)</f>
        <v>High</v>
      </c>
      <c r="V186" s="206" t="str">
        <f>VLOOKUP($A186,'CCRA3 Risks'!$A:$R,12,FALSE)</f>
        <v>High</v>
      </c>
      <c r="W186" s="206" t="str">
        <f>VLOOKUP($A186,'CCRA3 Risks'!$A:$R,13,FALSE)</f>
        <v>No</v>
      </c>
      <c r="X186" s="206" t="str">
        <f>VLOOKUP($A186,'CCRA3 Risks'!$A:$R,14,FALSE)</f>
        <v>More action needed</v>
      </c>
      <c r="Y186" s="206" t="str">
        <f>VLOOKUP($A186,'CCRA3 Risks'!$A:$R,15,FALSE)</f>
        <v>More action needed</v>
      </c>
      <c r="Z186" s="206" t="str">
        <f>VLOOKUP($A186,'CCRA3 Risks'!$A:$R,16,FALSE)</f>
        <v>N/A</v>
      </c>
      <c r="AA186" s="206" t="str">
        <f>VLOOKUP($A186,'CCRA3 Risks'!$A:$R,17,FALSE)</f>
        <v>Low (Red)</v>
      </c>
      <c r="AB186" s="206" t="str">
        <f>VLOOKUP($A186,'CCRA3 Risks'!$A:$R,18,FALSE)</f>
        <v>High (Net Zero, new land management and rural support schemes, Environment and nature recovery policy)</v>
      </c>
      <c r="AC186" s="202" t="str">
        <f>VLOOKUP($A186,'CCRA3 Risks'!$A:$AG,19,FALSE)</f>
        <v>Y</v>
      </c>
      <c r="AD186" s="123" t="str">
        <f>VLOOKUP($A186,'CCRA3 Risks'!$A:$AG,20,FALSE)</f>
        <v>Y</v>
      </c>
      <c r="AE186" s="123">
        <f>VLOOKUP($A186,'CCRA3 Risks'!$A:$AG,21,FALSE)</f>
        <v>0</v>
      </c>
      <c r="AF186" s="123">
        <f>VLOOKUP($A186,'CCRA3 Risks'!$A:$AG,22,FALSE)</f>
        <v>0</v>
      </c>
      <c r="AG186" s="123">
        <f>VLOOKUP($A186,'CCRA3 Risks'!$A:$AG,23,FALSE)</f>
        <v>0</v>
      </c>
      <c r="AH186" s="123">
        <f>VLOOKUP($A186,'CCRA3 Risks'!$A:$AG,24,FALSE)</f>
        <v>0</v>
      </c>
      <c r="AI186" s="123">
        <f>VLOOKUP($A186,'CCRA3 Risks'!$A:$AG,25,FALSE)</f>
        <v>0</v>
      </c>
      <c r="AJ186" s="123">
        <f>VLOOKUP($A186,'CCRA3 Risks'!$A:$AG,26,FALSE)</f>
        <v>0</v>
      </c>
      <c r="AK186" s="123">
        <f>VLOOKUP($A186,'CCRA3 Risks'!$A:$AG,27,FALSE)</f>
        <v>0</v>
      </c>
      <c r="AL186" s="123">
        <f>VLOOKUP($A186,'CCRA3 Risks'!$A:$AG,28,FALSE)</f>
        <v>0</v>
      </c>
      <c r="AM186" s="123">
        <f>VLOOKUP($A186,'CCRA3 Risks'!$A:$AG,29,FALSE)</f>
        <v>0</v>
      </c>
      <c r="AN186" s="123">
        <f>VLOOKUP($A186,'CCRA3 Risks'!$A:$AG,30,FALSE)</f>
        <v>0</v>
      </c>
      <c r="AO186" s="123">
        <f>VLOOKUP($A186,'CCRA3 Risks'!$A:$AG,31,FALSE)</f>
        <v>0</v>
      </c>
      <c r="AP186" s="123">
        <f>VLOOKUP($A186,'CCRA3 Risks'!$A:$AG,32,FALSE)</f>
        <v>0</v>
      </c>
      <c r="AQ186" s="123">
        <f>VLOOKUP($A186,'CCRA3 Risks'!$A:$AG,33,FALSE)</f>
        <v>0</v>
      </c>
    </row>
    <row r="187" spans="1:43" ht="102" x14ac:dyDescent="0.25">
      <c r="A187" s="88" t="s">
        <v>337</v>
      </c>
      <c r="B187" s="88" t="s">
        <v>1252</v>
      </c>
      <c r="C187" s="83" t="s">
        <v>1253</v>
      </c>
      <c r="D187" s="83" t="s">
        <v>461</v>
      </c>
      <c r="E187" s="88" t="s">
        <v>67</v>
      </c>
      <c r="F187" s="83" t="s">
        <v>396</v>
      </c>
      <c r="G187" s="83" t="s">
        <v>53</v>
      </c>
      <c r="H187" s="83" t="s">
        <v>1254</v>
      </c>
      <c r="I187" s="88" t="s">
        <v>1218</v>
      </c>
      <c r="J187" s="88" t="s">
        <v>398</v>
      </c>
      <c r="K187" s="83" t="s">
        <v>1255</v>
      </c>
      <c r="L187" s="83" t="s">
        <v>1241</v>
      </c>
      <c r="M187" s="83" t="s">
        <v>1256</v>
      </c>
      <c r="N187" s="206" t="str">
        <f>VLOOKUP($A187,'CCRA3 Risks'!$A:$R,2,FALSE)</f>
        <v xml:space="preserve">N5 Risks and opportunities for natural carbon stores, carbon sequestration and GHG emissions from changing climatic conditions, including temperature change and water scarcity 
</v>
      </c>
      <c r="O187" s="206" t="str">
        <f>VLOOKUP($A187,'CCRA3 Risks'!$A:$R,3,FALSE)</f>
        <v>Yes</v>
      </c>
      <c r="P187" s="207">
        <f>VLOOKUP($A187,'CCRA3 Risks'!$A:$R,4,FALSE)</f>
        <v>3</v>
      </c>
      <c r="Q187" s="206" t="str">
        <f>VLOOKUP($A187,'CCRA3 Risks'!$A:$R,7,FALSE)</f>
        <v>England</v>
      </c>
      <c r="R187" s="206" t="str">
        <f>VLOOKUP($A187,'CCRA3 Risks'!$A:$R,8,FALSE)</f>
        <v>Medium</v>
      </c>
      <c r="S187" s="206" t="str">
        <f>VLOOKUP($A187,'CCRA3 Risks'!$A:$R,9,FALSE)</f>
        <v>High</v>
      </c>
      <c r="T187" s="206" t="str">
        <f>VLOOKUP($A187,'CCRA3 Risks'!$A:$R,10,FALSE)</f>
        <v>High</v>
      </c>
      <c r="U187" s="206" t="str">
        <f>VLOOKUP($A187,'CCRA3 Risks'!$A:$R,11,FALSE)</f>
        <v>High</v>
      </c>
      <c r="V187" s="206" t="str">
        <f>VLOOKUP($A187,'CCRA3 Risks'!$A:$R,12,FALSE)</f>
        <v>High</v>
      </c>
      <c r="W187" s="206" t="str">
        <f>VLOOKUP($A187,'CCRA3 Risks'!$A:$R,13,FALSE)</f>
        <v>No</v>
      </c>
      <c r="X187" s="206" t="str">
        <f>VLOOKUP($A187,'CCRA3 Risks'!$A:$R,14,FALSE)</f>
        <v>More action needed</v>
      </c>
      <c r="Y187" s="206" t="str">
        <f>VLOOKUP($A187,'CCRA3 Risks'!$A:$R,15,FALSE)</f>
        <v>More action needed</v>
      </c>
      <c r="Z187" s="206" t="str">
        <f>VLOOKUP($A187,'CCRA3 Risks'!$A:$R,16,FALSE)</f>
        <v>N/A</v>
      </c>
      <c r="AA187" s="206" t="str">
        <f>VLOOKUP($A187,'CCRA3 Risks'!$A:$R,17,FALSE)</f>
        <v>Low (Red)</v>
      </c>
      <c r="AB187" s="206" t="str">
        <f>VLOOKUP($A187,'CCRA3 Risks'!$A:$R,18,FALSE)</f>
        <v>High (Net Zero, new land management and rural support schemes, Environment and nature recovery policy)</v>
      </c>
      <c r="AC187" s="202" t="str">
        <f>VLOOKUP($A187,'CCRA3 Risks'!$A:$AG,19,FALSE)</f>
        <v>Y</v>
      </c>
      <c r="AD187" s="123" t="str">
        <f>VLOOKUP($A187,'CCRA3 Risks'!$A:$AG,20,FALSE)</f>
        <v>Y</v>
      </c>
      <c r="AE187" s="123">
        <f>VLOOKUP($A187,'CCRA3 Risks'!$A:$AG,21,FALSE)</f>
        <v>0</v>
      </c>
      <c r="AF187" s="123">
        <f>VLOOKUP($A187,'CCRA3 Risks'!$A:$AG,22,FALSE)</f>
        <v>0</v>
      </c>
      <c r="AG187" s="123">
        <f>VLOOKUP($A187,'CCRA3 Risks'!$A:$AG,23,FALSE)</f>
        <v>0</v>
      </c>
      <c r="AH187" s="123">
        <f>VLOOKUP($A187,'CCRA3 Risks'!$A:$AG,24,FALSE)</f>
        <v>0</v>
      </c>
      <c r="AI187" s="123">
        <f>VLOOKUP($A187,'CCRA3 Risks'!$A:$AG,25,FALSE)</f>
        <v>0</v>
      </c>
      <c r="AJ187" s="123">
        <f>VLOOKUP($A187,'CCRA3 Risks'!$A:$AG,26,FALSE)</f>
        <v>0</v>
      </c>
      <c r="AK187" s="123">
        <f>VLOOKUP($A187,'CCRA3 Risks'!$A:$AG,27,FALSE)</f>
        <v>0</v>
      </c>
      <c r="AL187" s="123">
        <f>VLOOKUP($A187,'CCRA3 Risks'!$A:$AG,28,FALSE)</f>
        <v>0</v>
      </c>
      <c r="AM187" s="123">
        <f>VLOOKUP($A187,'CCRA3 Risks'!$A:$AG,29,FALSE)</f>
        <v>0</v>
      </c>
      <c r="AN187" s="123">
        <f>VLOOKUP($A187,'CCRA3 Risks'!$A:$AG,30,FALSE)</f>
        <v>0</v>
      </c>
      <c r="AO187" s="123">
        <f>VLOOKUP($A187,'CCRA3 Risks'!$A:$AG,31,FALSE)</f>
        <v>0</v>
      </c>
      <c r="AP187" s="123">
        <f>VLOOKUP($A187,'CCRA3 Risks'!$A:$AG,32,FALSE)</f>
        <v>0</v>
      </c>
      <c r="AQ187" s="123">
        <f>VLOOKUP($A187,'CCRA3 Risks'!$A:$AG,33,FALSE)</f>
        <v>0</v>
      </c>
    </row>
    <row r="188" spans="1:43" ht="212.45" customHeight="1" x14ac:dyDescent="0.25">
      <c r="A188" s="88" t="s">
        <v>337</v>
      </c>
      <c r="B188" s="88" t="s">
        <v>1257</v>
      </c>
      <c r="C188" s="83" t="s">
        <v>1258</v>
      </c>
      <c r="D188" s="83" t="s">
        <v>461</v>
      </c>
      <c r="E188" s="88" t="s">
        <v>67</v>
      </c>
      <c r="F188" s="83" t="s">
        <v>396</v>
      </c>
      <c r="G188" s="83" t="s">
        <v>53</v>
      </c>
      <c r="H188" s="83" t="s">
        <v>1259</v>
      </c>
      <c r="I188" s="88" t="s">
        <v>1260</v>
      </c>
      <c r="J188" s="88" t="s">
        <v>398</v>
      </c>
      <c r="K188" s="83" t="s">
        <v>1261</v>
      </c>
      <c r="L188" s="83" t="s">
        <v>1241</v>
      </c>
      <c r="M188" s="83" t="s">
        <v>1262</v>
      </c>
      <c r="N188" s="206" t="str">
        <f>VLOOKUP($A188,'CCRA3 Risks'!$A:$R,2,FALSE)</f>
        <v xml:space="preserve">N5 Risks and opportunities for natural carbon stores, carbon sequestration and GHG emissions from changing climatic conditions, including temperature change and water scarcity 
</v>
      </c>
      <c r="O188" s="206" t="str">
        <f>VLOOKUP($A188,'CCRA3 Risks'!$A:$R,3,FALSE)</f>
        <v>Yes</v>
      </c>
      <c r="P188" s="207">
        <f>VLOOKUP($A188,'CCRA3 Risks'!$A:$R,4,FALSE)</f>
        <v>3</v>
      </c>
      <c r="Q188" s="206" t="str">
        <f>VLOOKUP($A188,'CCRA3 Risks'!$A:$R,7,FALSE)</f>
        <v>England</v>
      </c>
      <c r="R188" s="206" t="str">
        <f>VLOOKUP($A188,'CCRA3 Risks'!$A:$R,8,FALSE)</f>
        <v>Medium</v>
      </c>
      <c r="S188" s="206" t="str">
        <f>VLOOKUP($A188,'CCRA3 Risks'!$A:$R,9,FALSE)</f>
        <v>High</v>
      </c>
      <c r="T188" s="206" t="str">
        <f>VLOOKUP($A188,'CCRA3 Risks'!$A:$R,10,FALSE)</f>
        <v>High</v>
      </c>
      <c r="U188" s="206" t="str">
        <f>VLOOKUP($A188,'CCRA3 Risks'!$A:$R,11,FALSE)</f>
        <v>High</v>
      </c>
      <c r="V188" s="206" t="str">
        <f>VLOOKUP($A188,'CCRA3 Risks'!$A:$R,12,FALSE)</f>
        <v>High</v>
      </c>
      <c r="W188" s="206" t="str">
        <f>VLOOKUP($A188,'CCRA3 Risks'!$A:$R,13,FALSE)</f>
        <v>No</v>
      </c>
      <c r="X188" s="206" t="str">
        <f>VLOOKUP($A188,'CCRA3 Risks'!$A:$R,14,FALSE)</f>
        <v>More action needed</v>
      </c>
      <c r="Y188" s="206" t="str">
        <f>VLOOKUP($A188,'CCRA3 Risks'!$A:$R,15,FALSE)</f>
        <v>More action needed</v>
      </c>
      <c r="Z188" s="206" t="str">
        <f>VLOOKUP($A188,'CCRA3 Risks'!$A:$R,16,FALSE)</f>
        <v>N/A</v>
      </c>
      <c r="AA188" s="206" t="str">
        <f>VLOOKUP($A188,'CCRA3 Risks'!$A:$R,17,FALSE)</f>
        <v>Low (Red)</v>
      </c>
      <c r="AB188" s="206" t="str">
        <f>VLOOKUP($A188,'CCRA3 Risks'!$A:$R,18,FALSE)</f>
        <v>High (Net Zero, new land management and rural support schemes, Environment and nature recovery policy)</v>
      </c>
      <c r="AC188" s="202" t="str">
        <f>VLOOKUP($A188,'CCRA3 Risks'!$A:$AG,19,FALSE)</f>
        <v>Y</v>
      </c>
      <c r="AD188" s="123" t="str">
        <f>VLOOKUP($A188,'CCRA3 Risks'!$A:$AG,20,FALSE)</f>
        <v>Y</v>
      </c>
      <c r="AE188" s="123">
        <f>VLOOKUP($A188,'CCRA3 Risks'!$A:$AG,21,FALSE)</f>
        <v>0</v>
      </c>
      <c r="AF188" s="123">
        <f>VLOOKUP($A188,'CCRA3 Risks'!$A:$AG,22,FALSE)</f>
        <v>0</v>
      </c>
      <c r="AG188" s="123">
        <f>VLOOKUP($A188,'CCRA3 Risks'!$A:$AG,23,FALSE)</f>
        <v>0</v>
      </c>
      <c r="AH188" s="123">
        <f>VLOOKUP($A188,'CCRA3 Risks'!$A:$AG,24,FALSE)</f>
        <v>0</v>
      </c>
      <c r="AI188" s="123">
        <f>VLOOKUP($A188,'CCRA3 Risks'!$A:$AG,25,FALSE)</f>
        <v>0</v>
      </c>
      <c r="AJ188" s="123">
        <f>VLOOKUP($A188,'CCRA3 Risks'!$A:$AG,26,FALSE)</f>
        <v>0</v>
      </c>
      <c r="AK188" s="123">
        <f>VLOOKUP($A188,'CCRA3 Risks'!$A:$AG,27,FALSE)</f>
        <v>0</v>
      </c>
      <c r="AL188" s="123">
        <f>VLOOKUP($A188,'CCRA3 Risks'!$A:$AG,28,FALSE)</f>
        <v>0</v>
      </c>
      <c r="AM188" s="123">
        <f>VLOOKUP($A188,'CCRA3 Risks'!$A:$AG,29,FALSE)</f>
        <v>0</v>
      </c>
      <c r="AN188" s="123">
        <f>VLOOKUP($A188,'CCRA3 Risks'!$A:$AG,30,FALSE)</f>
        <v>0</v>
      </c>
      <c r="AO188" s="123">
        <f>VLOOKUP($A188,'CCRA3 Risks'!$A:$AG,31,FALSE)</f>
        <v>0</v>
      </c>
      <c r="AP188" s="123">
        <f>VLOOKUP($A188,'CCRA3 Risks'!$A:$AG,32,FALSE)</f>
        <v>0</v>
      </c>
      <c r="AQ188" s="123">
        <f>VLOOKUP($A188,'CCRA3 Risks'!$A:$AG,33,FALSE)</f>
        <v>0</v>
      </c>
    </row>
    <row r="189" spans="1:43" ht="275.45" customHeight="1" x14ac:dyDescent="0.25">
      <c r="A189" s="88" t="s">
        <v>337</v>
      </c>
      <c r="B189" s="88" t="s">
        <v>1263</v>
      </c>
      <c r="C189" s="83" t="s">
        <v>1264</v>
      </c>
      <c r="D189" s="83" t="s">
        <v>461</v>
      </c>
      <c r="E189" s="88" t="s">
        <v>67</v>
      </c>
      <c r="F189" s="83" t="s">
        <v>396</v>
      </c>
      <c r="G189" s="83" t="s">
        <v>53</v>
      </c>
      <c r="H189" s="83" t="s">
        <v>1265</v>
      </c>
      <c r="I189" s="88"/>
      <c r="J189" s="88" t="s">
        <v>463</v>
      </c>
      <c r="K189" s="83" t="s">
        <v>1266</v>
      </c>
      <c r="L189" s="83" t="s">
        <v>1241</v>
      </c>
      <c r="M189" s="83" t="s">
        <v>1267</v>
      </c>
      <c r="N189" s="206" t="str">
        <f>VLOOKUP($A189,'CCRA3 Risks'!$A:$R,2,FALSE)</f>
        <v xml:space="preserve">N5 Risks and opportunities for natural carbon stores, carbon sequestration and GHG emissions from changing climatic conditions, including temperature change and water scarcity 
</v>
      </c>
      <c r="O189" s="206" t="str">
        <f>VLOOKUP($A189,'CCRA3 Risks'!$A:$R,3,FALSE)</f>
        <v>Yes</v>
      </c>
      <c r="P189" s="207">
        <f>VLOOKUP($A189,'CCRA3 Risks'!$A:$R,4,FALSE)</f>
        <v>3</v>
      </c>
      <c r="Q189" s="206" t="str">
        <f>VLOOKUP($A189,'CCRA3 Risks'!$A:$R,7,FALSE)</f>
        <v>England</v>
      </c>
      <c r="R189" s="206" t="str">
        <f>VLOOKUP($A189,'CCRA3 Risks'!$A:$R,8,FALSE)</f>
        <v>Medium</v>
      </c>
      <c r="S189" s="206" t="str">
        <f>VLOOKUP($A189,'CCRA3 Risks'!$A:$R,9,FALSE)</f>
        <v>High</v>
      </c>
      <c r="T189" s="206" t="str">
        <f>VLOOKUP($A189,'CCRA3 Risks'!$A:$R,10,FALSE)</f>
        <v>High</v>
      </c>
      <c r="U189" s="206" t="str">
        <f>VLOOKUP($A189,'CCRA3 Risks'!$A:$R,11,FALSE)</f>
        <v>High</v>
      </c>
      <c r="V189" s="206" t="str">
        <f>VLOOKUP($A189,'CCRA3 Risks'!$A:$R,12,FALSE)</f>
        <v>High</v>
      </c>
      <c r="W189" s="206" t="str">
        <f>VLOOKUP($A189,'CCRA3 Risks'!$A:$R,13,FALSE)</f>
        <v>No</v>
      </c>
      <c r="X189" s="206" t="str">
        <f>VLOOKUP($A189,'CCRA3 Risks'!$A:$R,14,FALSE)</f>
        <v>More action needed</v>
      </c>
      <c r="Y189" s="206" t="str">
        <f>VLOOKUP($A189,'CCRA3 Risks'!$A:$R,15,FALSE)</f>
        <v>More action needed</v>
      </c>
      <c r="Z189" s="206" t="str">
        <f>VLOOKUP($A189,'CCRA3 Risks'!$A:$R,16,FALSE)</f>
        <v>N/A</v>
      </c>
      <c r="AA189" s="206" t="str">
        <f>VLOOKUP($A189,'CCRA3 Risks'!$A:$R,17,FALSE)</f>
        <v>Low (Red)</v>
      </c>
      <c r="AB189" s="206" t="str">
        <f>VLOOKUP($A189,'CCRA3 Risks'!$A:$R,18,FALSE)</f>
        <v>High (Net Zero, new land management and rural support schemes, Environment and nature recovery policy)</v>
      </c>
      <c r="AC189" s="202" t="str">
        <f>VLOOKUP($A189,'CCRA3 Risks'!$A:$AG,19,FALSE)</f>
        <v>Y</v>
      </c>
      <c r="AD189" s="123" t="str">
        <f>VLOOKUP($A189,'CCRA3 Risks'!$A:$AG,20,FALSE)</f>
        <v>Y</v>
      </c>
      <c r="AE189" s="123">
        <f>VLOOKUP($A189,'CCRA3 Risks'!$A:$AG,21,FALSE)</f>
        <v>0</v>
      </c>
      <c r="AF189" s="123">
        <f>VLOOKUP($A189,'CCRA3 Risks'!$A:$AG,22,FALSE)</f>
        <v>0</v>
      </c>
      <c r="AG189" s="123">
        <f>VLOOKUP($A189,'CCRA3 Risks'!$A:$AG,23,FALSE)</f>
        <v>0</v>
      </c>
      <c r="AH189" s="123">
        <f>VLOOKUP($A189,'CCRA3 Risks'!$A:$AG,24,FALSE)</f>
        <v>0</v>
      </c>
      <c r="AI189" s="123">
        <f>VLOOKUP($A189,'CCRA3 Risks'!$A:$AG,25,FALSE)</f>
        <v>0</v>
      </c>
      <c r="AJ189" s="123">
        <f>VLOOKUP($A189,'CCRA3 Risks'!$A:$AG,26,FALSE)</f>
        <v>0</v>
      </c>
      <c r="AK189" s="123">
        <f>VLOOKUP($A189,'CCRA3 Risks'!$A:$AG,27,FALSE)</f>
        <v>0</v>
      </c>
      <c r="AL189" s="123">
        <f>VLOOKUP($A189,'CCRA3 Risks'!$A:$AG,28,FALSE)</f>
        <v>0</v>
      </c>
      <c r="AM189" s="123">
        <f>VLOOKUP($A189,'CCRA3 Risks'!$A:$AG,29,FALSE)</f>
        <v>0</v>
      </c>
      <c r="AN189" s="123">
        <f>VLOOKUP($A189,'CCRA3 Risks'!$A:$AG,30,FALSE)</f>
        <v>0</v>
      </c>
      <c r="AO189" s="123">
        <f>VLOOKUP($A189,'CCRA3 Risks'!$A:$AG,31,FALSE)</f>
        <v>0</v>
      </c>
      <c r="AP189" s="123">
        <f>VLOOKUP($A189,'CCRA3 Risks'!$A:$AG,32,FALSE)</f>
        <v>0</v>
      </c>
      <c r="AQ189" s="123">
        <f>VLOOKUP($A189,'CCRA3 Risks'!$A:$AG,33,FALSE)</f>
        <v>0</v>
      </c>
    </row>
    <row r="190" spans="1:43" ht="409.5" x14ac:dyDescent="0.25">
      <c r="A190" s="88" t="s">
        <v>340</v>
      </c>
      <c r="B190" s="88" t="s">
        <v>1268</v>
      </c>
      <c r="C190" s="83" t="s">
        <v>1269</v>
      </c>
      <c r="D190" s="83" t="s">
        <v>403</v>
      </c>
      <c r="E190" s="88" t="s">
        <v>67</v>
      </c>
      <c r="F190" s="83" t="s">
        <v>421</v>
      </c>
      <c r="G190" s="83" t="s">
        <v>30</v>
      </c>
      <c r="H190" s="83" t="s">
        <v>1270</v>
      </c>
      <c r="I190" s="88"/>
      <c r="J190" s="88" t="s">
        <v>463</v>
      </c>
      <c r="K190" s="83" t="s">
        <v>1271</v>
      </c>
      <c r="L190" s="83" t="s">
        <v>1272</v>
      </c>
      <c r="M190" s="83" t="s">
        <v>1273</v>
      </c>
      <c r="N190" s="206" t="str">
        <f>VLOOKUP($A190,'CCRA3 Risks'!$A:$R,2,FALSE)</f>
        <v>N6 Risks to and opportunities for agricultural and forestry productivity from extreme events and changing climatic conditions (including temperature change, water scarcity, wildfire, flooding, coastal erosion, wind and saline intrusion).</v>
      </c>
      <c r="O190" s="206" t="str">
        <f>VLOOKUP($A190,'CCRA3 Risks'!$A:$R,3,FALSE)</f>
        <v>Yes</v>
      </c>
      <c r="P190" s="207">
        <f>VLOOKUP($A190,'CCRA3 Risks'!$A:$R,4,FALSE)</f>
        <v>3</v>
      </c>
      <c r="Q190" s="206" t="str">
        <f>VLOOKUP($A190,'CCRA3 Risks'!$A:$R,7,FALSE)</f>
        <v>England</v>
      </c>
      <c r="R190" s="206" t="str">
        <f>VLOOKUP($A190,'CCRA3 Risks'!$A:$R,8,FALSE)</f>
        <v>Medium</v>
      </c>
      <c r="S190" s="206" t="str">
        <f>VLOOKUP($A190,'CCRA3 Risks'!$A:$R,9,FALSE)</f>
        <v>High</v>
      </c>
      <c r="T190" s="206" t="str">
        <f>VLOOKUP($A190,'CCRA3 Risks'!$A:$R,10,FALSE)</f>
        <v>High</v>
      </c>
      <c r="U190" s="206" t="str">
        <f>VLOOKUP($A190,'CCRA3 Risks'!$A:$R,11,FALSE)</f>
        <v>High</v>
      </c>
      <c r="V190" s="206" t="str">
        <f>VLOOKUP($A190,'CCRA3 Risks'!$A:$R,12,FALSE)</f>
        <v>High</v>
      </c>
      <c r="W190" s="206" t="str">
        <f>VLOOKUP($A190,'CCRA3 Risks'!$A:$R,13,FALSE)</f>
        <v>Very partially</v>
      </c>
      <c r="X190" s="206" t="str">
        <f>VLOOKUP($A190,'CCRA3 Risks'!$A:$R,14,FALSE)</f>
        <v>More action needed</v>
      </c>
      <c r="Y190" s="206" t="str">
        <f>VLOOKUP($A190,'CCRA3 Risks'!$A:$R,15,FALSE)</f>
        <v>More action needed</v>
      </c>
      <c r="Z190" s="206" t="str">
        <f>VLOOKUP($A190,'CCRA3 Risks'!$A:$R,16,FALSE)</f>
        <v>Low (1)</v>
      </c>
      <c r="AA190" s="206" t="str">
        <f>VLOOKUP($A190,'CCRA3 Risks'!$A:$R,17,FALSE)</f>
        <v>Low (Red)</v>
      </c>
      <c r="AB190" s="206" t="str">
        <f>VLOOKUP($A190,'CCRA3 Risks'!$A:$R,18,FALSE)</f>
        <v>High (Net Zero, new land management and rural support schemes, Environment and nature recovery policy)</v>
      </c>
      <c r="AC190" s="202">
        <f>VLOOKUP($A190,'CCRA3 Risks'!$A:$AG,19,FALSE)</f>
        <v>0</v>
      </c>
      <c r="AD190" s="123" t="str">
        <f>VLOOKUP($A190,'CCRA3 Risks'!$A:$AG,20,FALSE)</f>
        <v>Y</v>
      </c>
      <c r="AE190" s="123">
        <f>VLOOKUP($A190,'CCRA3 Risks'!$A:$AG,21,FALSE)</f>
        <v>0</v>
      </c>
      <c r="AF190" s="123">
        <f>VLOOKUP($A190,'CCRA3 Risks'!$A:$AG,22,FALSE)</f>
        <v>0</v>
      </c>
      <c r="AG190" s="123">
        <f>VLOOKUP($A190,'CCRA3 Risks'!$A:$AG,23,FALSE)</f>
        <v>0</v>
      </c>
      <c r="AH190" s="123">
        <f>VLOOKUP($A190,'CCRA3 Risks'!$A:$AG,24,FALSE)</f>
        <v>0</v>
      </c>
      <c r="AI190" s="123">
        <f>VLOOKUP($A190,'CCRA3 Risks'!$A:$AG,25,FALSE)</f>
        <v>0</v>
      </c>
      <c r="AJ190" s="123">
        <f>VLOOKUP($A190,'CCRA3 Risks'!$A:$AG,26,FALSE)</f>
        <v>0</v>
      </c>
      <c r="AK190" s="123">
        <f>VLOOKUP($A190,'CCRA3 Risks'!$A:$AG,27,FALSE)</f>
        <v>0</v>
      </c>
      <c r="AL190" s="123">
        <f>VLOOKUP($A190,'CCRA3 Risks'!$A:$AG,28,FALSE)</f>
        <v>0</v>
      </c>
      <c r="AM190" s="123">
        <f>VLOOKUP($A190,'CCRA3 Risks'!$A:$AG,29,FALSE)</f>
        <v>0</v>
      </c>
      <c r="AN190" s="123">
        <f>VLOOKUP($A190,'CCRA3 Risks'!$A:$AG,30,FALSE)</f>
        <v>0</v>
      </c>
      <c r="AO190" s="123">
        <f>VLOOKUP($A190,'CCRA3 Risks'!$A:$AG,31,FALSE)</f>
        <v>0</v>
      </c>
      <c r="AP190" s="123">
        <f>VLOOKUP($A190,'CCRA3 Risks'!$A:$AG,32,FALSE)</f>
        <v>0</v>
      </c>
      <c r="AQ190" s="123">
        <f>VLOOKUP($A190,'CCRA3 Risks'!$A:$AG,33,FALSE)</f>
        <v>0</v>
      </c>
    </row>
    <row r="191" spans="1:43" ht="293.25" x14ac:dyDescent="0.25">
      <c r="A191" s="88" t="s">
        <v>340</v>
      </c>
      <c r="B191" s="88" t="s">
        <v>1274</v>
      </c>
      <c r="C191" s="83" t="s">
        <v>1275</v>
      </c>
      <c r="D191" s="83" t="s">
        <v>403</v>
      </c>
      <c r="E191" s="88" t="s">
        <v>67</v>
      </c>
      <c r="F191" s="83" t="s">
        <v>421</v>
      </c>
      <c r="G191" s="83" t="s">
        <v>30</v>
      </c>
      <c r="H191" s="83" t="s">
        <v>1276</v>
      </c>
      <c r="I191" s="88" t="s">
        <v>1218</v>
      </c>
      <c r="J191" s="88" t="s">
        <v>463</v>
      </c>
      <c r="K191" s="83" t="s">
        <v>1277</v>
      </c>
      <c r="L191" s="83" t="s">
        <v>1272</v>
      </c>
      <c r="M191" s="83" t="s">
        <v>1278</v>
      </c>
      <c r="N191" s="206" t="str">
        <f>VLOOKUP($A191,'CCRA3 Risks'!$A:$R,2,FALSE)</f>
        <v>N6 Risks to and opportunities for agricultural and forestry productivity from extreme events and changing climatic conditions (including temperature change, water scarcity, wildfire, flooding, coastal erosion, wind and saline intrusion).</v>
      </c>
      <c r="O191" s="206" t="str">
        <f>VLOOKUP($A191,'CCRA3 Risks'!$A:$R,3,FALSE)</f>
        <v>Yes</v>
      </c>
      <c r="P191" s="207">
        <f>VLOOKUP($A191,'CCRA3 Risks'!$A:$R,4,FALSE)</f>
        <v>3</v>
      </c>
      <c r="Q191" s="206" t="str">
        <f>VLOOKUP($A191,'CCRA3 Risks'!$A:$R,7,FALSE)</f>
        <v>England</v>
      </c>
      <c r="R191" s="206" t="str">
        <f>VLOOKUP($A191,'CCRA3 Risks'!$A:$R,8,FALSE)</f>
        <v>Medium</v>
      </c>
      <c r="S191" s="206" t="str">
        <f>VLOOKUP($A191,'CCRA3 Risks'!$A:$R,9,FALSE)</f>
        <v>High</v>
      </c>
      <c r="T191" s="206" t="str">
        <f>VLOOKUP($A191,'CCRA3 Risks'!$A:$R,10,FALSE)</f>
        <v>High</v>
      </c>
      <c r="U191" s="206" t="str">
        <f>VLOOKUP($A191,'CCRA3 Risks'!$A:$R,11,FALSE)</f>
        <v>High</v>
      </c>
      <c r="V191" s="206" t="str">
        <f>VLOOKUP($A191,'CCRA3 Risks'!$A:$R,12,FALSE)</f>
        <v>High</v>
      </c>
      <c r="W191" s="206" t="str">
        <f>VLOOKUP($A191,'CCRA3 Risks'!$A:$R,13,FALSE)</f>
        <v>Very partially</v>
      </c>
      <c r="X191" s="206" t="str">
        <f>VLOOKUP($A191,'CCRA3 Risks'!$A:$R,14,FALSE)</f>
        <v>More action needed</v>
      </c>
      <c r="Y191" s="206" t="str">
        <f>VLOOKUP($A191,'CCRA3 Risks'!$A:$R,15,FALSE)</f>
        <v>More action needed</v>
      </c>
      <c r="Z191" s="206" t="str">
        <f>VLOOKUP($A191,'CCRA3 Risks'!$A:$R,16,FALSE)</f>
        <v>Low (1)</v>
      </c>
      <c r="AA191" s="206" t="str">
        <f>VLOOKUP($A191,'CCRA3 Risks'!$A:$R,17,FALSE)</f>
        <v>Low (Red)</v>
      </c>
      <c r="AB191" s="206" t="str">
        <f>VLOOKUP($A191,'CCRA3 Risks'!$A:$R,18,FALSE)</f>
        <v>High (Net Zero, new land management and rural support schemes, Environment and nature recovery policy)</v>
      </c>
      <c r="AC191" s="202">
        <f>VLOOKUP($A191,'CCRA3 Risks'!$A:$AG,19,FALSE)</f>
        <v>0</v>
      </c>
      <c r="AD191" s="123" t="str">
        <f>VLOOKUP($A191,'CCRA3 Risks'!$A:$AG,20,FALSE)</f>
        <v>Y</v>
      </c>
      <c r="AE191" s="123">
        <f>VLOOKUP($A191,'CCRA3 Risks'!$A:$AG,21,FALSE)</f>
        <v>0</v>
      </c>
      <c r="AF191" s="123">
        <f>VLOOKUP($A191,'CCRA3 Risks'!$A:$AG,22,FALSE)</f>
        <v>0</v>
      </c>
      <c r="AG191" s="123">
        <f>VLOOKUP($A191,'CCRA3 Risks'!$A:$AG,23,FALSE)</f>
        <v>0</v>
      </c>
      <c r="AH191" s="123">
        <f>VLOOKUP($A191,'CCRA3 Risks'!$A:$AG,24,FALSE)</f>
        <v>0</v>
      </c>
      <c r="AI191" s="123">
        <f>VLOOKUP($A191,'CCRA3 Risks'!$A:$AG,25,FALSE)</f>
        <v>0</v>
      </c>
      <c r="AJ191" s="123">
        <f>VLOOKUP($A191,'CCRA3 Risks'!$A:$AG,26,FALSE)</f>
        <v>0</v>
      </c>
      <c r="AK191" s="123">
        <f>VLOOKUP($A191,'CCRA3 Risks'!$A:$AG,27,FALSE)</f>
        <v>0</v>
      </c>
      <c r="AL191" s="123">
        <f>VLOOKUP($A191,'CCRA3 Risks'!$A:$AG,28,FALSE)</f>
        <v>0</v>
      </c>
      <c r="AM191" s="123">
        <f>VLOOKUP($A191,'CCRA3 Risks'!$A:$AG,29,FALSE)</f>
        <v>0</v>
      </c>
      <c r="AN191" s="123">
        <f>VLOOKUP($A191,'CCRA3 Risks'!$A:$AG,30,FALSE)</f>
        <v>0</v>
      </c>
      <c r="AO191" s="123">
        <f>VLOOKUP($A191,'CCRA3 Risks'!$A:$AG,31,FALSE)</f>
        <v>0</v>
      </c>
      <c r="AP191" s="123">
        <f>VLOOKUP($A191,'CCRA3 Risks'!$A:$AG,32,FALSE)</f>
        <v>0</v>
      </c>
      <c r="AQ191" s="123">
        <f>VLOOKUP($A191,'CCRA3 Risks'!$A:$AG,33,FALSE)</f>
        <v>0</v>
      </c>
    </row>
    <row r="192" spans="1:43" ht="140.25" x14ac:dyDescent="0.25">
      <c r="A192" s="88" t="s">
        <v>340</v>
      </c>
      <c r="B192" s="88" t="s">
        <v>1279</v>
      </c>
      <c r="C192" s="83" t="s">
        <v>1280</v>
      </c>
      <c r="D192" s="83" t="s">
        <v>461</v>
      </c>
      <c r="E192" s="88" t="s">
        <v>67</v>
      </c>
      <c r="F192" s="83" t="s">
        <v>472</v>
      </c>
      <c r="G192" s="83" t="s">
        <v>30</v>
      </c>
      <c r="H192" s="83" t="s">
        <v>1281</v>
      </c>
      <c r="I192" s="88"/>
      <c r="J192" s="88" t="s">
        <v>398</v>
      </c>
      <c r="K192" s="83" t="s">
        <v>1282</v>
      </c>
      <c r="L192" s="83" t="s">
        <v>1272</v>
      </c>
      <c r="M192" s="83" t="s">
        <v>1278</v>
      </c>
      <c r="N192" s="206" t="str">
        <f>VLOOKUP($A192,'CCRA3 Risks'!$A:$R,2,FALSE)</f>
        <v>N6 Risks to and opportunities for agricultural and forestry productivity from extreme events and changing climatic conditions (including temperature change, water scarcity, wildfire, flooding, coastal erosion, wind and saline intrusion).</v>
      </c>
      <c r="O192" s="206" t="str">
        <f>VLOOKUP($A192,'CCRA3 Risks'!$A:$R,3,FALSE)</f>
        <v>Yes</v>
      </c>
      <c r="P192" s="207">
        <f>VLOOKUP($A192,'CCRA3 Risks'!$A:$R,4,FALSE)</f>
        <v>3</v>
      </c>
      <c r="Q192" s="206" t="str">
        <f>VLOOKUP($A192,'CCRA3 Risks'!$A:$R,7,FALSE)</f>
        <v>England</v>
      </c>
      <c r="R192" s="206" t="str">
        <f>VLOOKUP($A192,'CCRA3 Risks'!$A:$R,8,FALSE)</f>
        <v>Medium</v>
      </c>
      <c r="S192" s="206" t="str">
        <f>VLOOKUP($A192,'CCRA3 Risks'!$A:$R,9,FALSE)</f>
        <v>High</v>
      </c>
      <c r="T192" s="206" t="str">
        <f>VLOOKUP($A192,'CCRA3 Risks'!$A:$R,10,FALSE)</f>
        <v>High</v>
      </c>
      <c r="U192" s="206" t="str">
        <f>VLOOKUP($A192,'CCRA3 Risks'!$A:$R,11,FALSE)</f>
        <v>High</v>
      </c>
      <c r="V192" s="206" t="str">
        <f>VLOOKUP($A192,'CCRA3 Risks'!$A:$R,12,FALSE)</f>
        <v>High</v>
      </c>
      <c r="W192" s="206" t="str">
        <f>VLOOKUP($A192,'CCRA3 Risks'!$A:$R,13,FALSE)</f>
        <v>Very partially</v>
      </c>
      <c r="X192" s="206" t="str">
        <f>VLOOKUP($A192,'CCRA3 Risks'!$A:$R,14,FALSE)</f>
        <v>More action needed</v>
      </c>
      <c r="Y192" s="206" t="str">
        <f>VLOOKUP($A192,'CCRA3 Risks'!$A:$R,15,FALSE)</f>
        <v>More action needed</v>
      </c>
      <c r="Z192" s="206" t="str">
        <f>VLOOKUP($A192,'CCRA3 Risks'!$A:$R,16,FALSE)</f>
        <v>Low (1)</v>
      </c>
      <c r="AA192" s="206" t="str">
        <f>VLOOKUP($A192,'CCRA3 Risks'!$A:$R,17,FALSE)</f>
        <v>Low (Red)</v>
      </c>
      <c r="AB192" s="206" t="str">
        <f>VLOOKUP($A192,'CCRA3 Risks'!$A:$R,18,FALSE)</f>
        <v>High (Net Zero, new land management and rural support schemes, Environment and nature recovery policy)</v>
      </c>
      <c r="AC192" s="202">
        <f>VLOOKUP($A192,'CCRA3 Risks'!$A:$AG,19,FALSE)</f>
        <v>0</v>
      </c>
      <c r="AD192" s="123" t="str">
        <f>VLOOKUP($A192,'CCRA3 Risks'!$A:$AG,20,FALSE)</f>
        <v>Y</v>
      </c>
      <c r="AE192" s="123">
        <f>VLOOKUP($A192,'CCRA3 Risks'!$A:$AG,21,FALSE)</f>
        <v>0</v>
      </c>
      <c r="AF192" s="123">
        <f>VLOOKUP($A192,'CCRA3 Risks'!$A:$AG,22,FALSE)</f>
        <v>0</v>
      </c>
      <c r="AG192" s="123">
        <f>VLOOKUP($A192,'CCRA3 Risks'!$A:$AG,23,FALSE)</f>
        <v>0</v>
      </c>
      <c r="AH192" s="123">
        <f>VLOOKUP($A192,'CCRA3 Risks'!$A:$AG,24,FALSE)</f>
        <v>0</v>
      </c>
      <c r="AI192" s="123">
        <f>VLOOKUP($A192,'CCRA3 Risks'!$A:$AG,25,FALSE)</f>
        <v>0</v>
      </c>
      <c r="AJ192" s="123">
        <f>VLOOKUP($A192,'CCRA3 Risks'!$A:$AG,26,FALSE)</f>
        <v>0</v>
      </c>
      <c r="AK192" s="123">
        <f>VLOOKUP($A192,'CCRA3 Risks'!$A:$AG,27,FALSE)</f>
        <v>0</v>
      </c>
      <c r="AL192" s="123">
        <f>VLOOKUP($A192,'CCRA3 Risks'!$A:$AG,28,FALSE)</f>
        <v>0</v>
      </c>
      <c r="AM192" s="123">
        <f>VLOOKUP($A192,'CCRA3 Risks'!$A:$AG,29,FALSE)</f>
        <v>0</v>
      </c>
      <c r="AN192" s="123">
        <f>VLOOKUP($A192,'CCRA3 Risks'!$A:$AG,30,FALSE)</f>
        <v>0</v>
      </c>
      <c r="AO192" s="123">
        <f>VLOOKUP($A192,'CCRA3 Risks'!$A:$AG,31,FALSE)</f>
        <v>0</v>
      </c>
      <c r="AP192" s="123">
        <f>VLOOKUP($A192,'CCRA3 Risks'!$A:$AG,32,FALSE)</f>
        <v>0</v>
      </c>
      <c r="AQ192" s="123">
        <f>VLOOKUP($A192,'CCRA3 Risks'!$A:$AG,33,FALSE)</f>
        <v>0</v>
      </c>
    </row>
    <row r="193" spans="1:43" ht="140.25" x14ac:dyDescent="0.25">
      <c r="A193" s="88" t="s">
        <v>340</v>
      </c>
      <c r="B193" s="88" t="s">
        <v>1283</v>
      </c>
      <c r="C193" s="83" t="s">
        <v>1284</v>
      </c>
      <c r="D193" s="83" t="s">
        <v>403</v>
      </c>
      <c r="E193" s="88" t="s">
        <v>67</v>
      </c>
      <c r="F193" s="83" t="s">
        <v>421</v>
      </c>
      <c r="G193" s="83" t="s">
        <v>30</v>
      </c>
      <c r="H193" s="83" t="s">
        <v>1285</v>
      </c>
      <c r="I193" s="88"/>
      <c r="J193" s="88" t="s">
        <v>398</v>
      </c>
      <c r="K193" s="83" t="s">
        <v>1286</v>
      </c>
      <c r="L193" s="83" t="s">
        <v>1272</v>
      </c>
      <c r="M193" s="83" t="s">
        <v>1287</v>
      </c>
      <c r="N193" s="206" t="str">
        <f>VLOOKUP($A193,'CCRA3 Risks'!$A:$R,2,FALSE)</f>
        <v>N6 Risks to and opportunities for agricultural and forestry productivity from extreme events and changing climatic conditions (including temperature change, water scarcity, wildfire, flooding, coastal erosion, wind and saline intrusion).</v>
      </c>
      <c r="O193" s="206" t="str">
        <f>VLOOKUP($A193,'CCRA3 Risks'!$A:$R,3,FALSE)</f>
        <v>Yes</v>
      </c>
      <c r="P193" s="207">
        <f>VLOOKUP($A193,'CCRA3 Risks'!$A:$R,4,FALSE)</f>
        <v>3</v>
      </c>
      <c r="Q193" s="206" t="str">
        <f>VLOOKUP($A193,'CCRA3 Risks'!$A:$R,7,FALSE)</f>
        <v>England</v>
      </c>
      <c r="R193" s="206" t="str">
        <f>VLOOKUP($A193,'CCRA3 Risks'!$A:$R,8,FALSE)</f>
        <v>Medium</v>
      </c>
      <c r="S193" s="206" t="str">
        <f>VLOOKUP($A193,'CCRA3 Risks'!$A:$R,9,FALSE)</f>
        <v>High</v>
      </c>
      <c r="T193" s="206" t="str">
        <f>VLOOKUP($A193,'CCRA3 Risks'!$A:$R,10,FALSE)</f>
        <v>High</v>
      </c>
      <c r="U193" s="206" t="str">
        <f>VLOOKUP($A193,'CCRA3 Risks'!$A:$R,11,FALSE)</f>
        <v>High</v>
      </c>
      <c r="V193" s="206" t="str">
        <f>VLOOKUP($A193,'CCRA3 Risks'!$A:$R,12,FALSE)</f>
        <v>High</v>
      </c>
      <c r="W193" s="206" t="str">
        <f>VLOOKUP($A193,'CCRA3 Risks'!$A:$R,13,FALSE)</f>
        <v>Very partially</v>
      </c>
      <c r="X193" s="206" t="str">
        <f>VLOOKUP($A193,'CCRA3 Risks'!$A:$R,14,FALSE)</f>
        <v>More action needed</v>
      </c>
      <c r="Y193" s="206" t="str">
        <f>VLOOKUP($A193,'CCRA3 Risks'!$A:$R,15,FALSE)</f>
        <v>More action needed</v>
      </c>
      <c r="Z193" s="206" t="str">
        <f>VLOOKUP($A193,'CCRA3 Risks'!$A:$R,16,FALSE)</f>
        <v>Low (1)</v>
      </c>
      <c r="AA193" s="206" t="str">
        <f>VLOOKUP($A193,'CCRA3 Risks'!$A:$R,17,FALSE)</f>
        <v>Low (Red)</v>
      </c>
      <c r="AB193" s="206" t="str">
        <f>VLOOKUP($A193,'CCRA3 Risks'!$A:$R,18,FALSE)</f>
        <v>High (Net Zero, new land management and rural support schemes, Environment and nature recovery policy)</v>
      </c>
      <c r="AC193" s="202">
        <f>VLOOKUP($A193,'CCRA3 Risks'!$A:$AG,19,FALSE)</f>
        <v>0</v>
      </c>
      <c r="AD193" s="123" t="str">
        <f>VLOOKUP($A193,'CCRA3 Risks'!$A:$AG,20,FALSE)</f>
        <v>Y</v>
      </c>
      <c r="AE193" s="123">
        <f>VLOOKUP($A193,'CCRA3 Risks'!$A:$AG,21,FALSE)</f>
        <v>0</v>
      </c>
      <c r="AF193" s="123">
        <f>VLOOKUP($A193,'CCRA3 Risks'!$A:$AG,22,FALSE)</f>
        <v>0</v>
      </c>
      <c r="AG193" s="123">
        <f>VLOOKUP($A193,'CCRA3 Risks'!$A:$AG,23,FALSE)</f>
        <v>0</v>
      </c>
      <c r="AH193" s="123">
        <f>VLOOKUP($A193,'CCRA3 Risks'!$A:$AG,24,FALSE)</f>
        <v>0</v>
      </c>
      <c r="AI193" s="123">
        <f>VLOOKUP($A193,'CCRA3 Risks'!$A:$AG,25,FALSE)</f>
        <v>0</v>
      </c>
      <c r="AJ193" s="123">
        <f>VLOOKUP($A193,'CCRA3 Risks'!$A:$AG,26,FALSE)</f>
        <v>0</v>
      </c>
      <c r="AK193" s="123">
        <f>VLOOKUP($A193,'CCRA3 Risks'!$A:$AG,27,FALSE)</f>
        <v>0</v>
      </c>
      <c r="AL193" s="123">
        <f>VLOOKUP($A193,'CCRA3 Risks'!$A:$AG,28,FALSE)</f>
        <v>0</v>
      </c>
      <c r="AM193" s="123">
        <f>VLOOKUP($A193,'CCRA3 Risks'!$A:$AG,29,FALSE)</f>
        <v>0</v>
      </c>
      <c r="AN193" s="123">
        <f>VLOOKUP($A193,'CCRA3 Risks'!$A:$AG,30,FALSE)</f>
        <v>0</v>
      </c>
      <c r="AO193" s="123">
        <f>VLOOKUP($A193,'CCRA3 Risks'!$A:$AG,31,FALSE)</f>
        <v>0</v>
      </c>
      <c r="AP193" s="123">
        <f>VLOOKUP($A193,'CCRA3 Risks'!$A:$AG,32,FALSE)</f>
        <v>0</v>
      </c>
      <c r="AQ193" s="123">
        <f>VLOOKUP($A193,'CCRA3 Risks'!$A:$AG,33,FALSE)</f>
        <v>0</v>
      </c>
    </row>
    <row r="194" spans="1:43" ht="76.5" x14ac:dyDescent="0.25">
      <c r="A194" s="88" t="s">
        <v>340</v>
      </c>
      <c r="B194" s="88" t="s">
        <v>1288</v>
      </c>
      <c r="C194" s="83" t="s">
        <v>1289</v>
      </c>
      <c r="D194" s="83" t="s">
        <v>403</v>
      </c>
      <c r="E194" s="88" t="s">
        <v>67</v>
      </c>
      <c r="F194" s="83" t="s">
        <v>396</v>
      </c>
      <c r="G194" s="83" t="s">
        <v>30</v>
      </c>
      <c r="H194" s="83" t="s">
        <v>1290</v>
      </c>
      <c r="I194" s="88"/>
      <c r="J194" s="88" t="s">
        <v>417</v>
      </c>
      <c r="K194" s="83" t="s">
        <v>1291</v>
      </c>
      <c r="L194" s="83" t="s">
        <v>1272</v>
      </c>
      <c r="M194" s="83" t="s">
        <v>1287</v>
      </c>
      <c r="N194" s="206" t="str">
        <f>VLOOKUP($A194,'CCRA3 Risks'!$A:$R,2,FALSE)</f>
        <v>N6 Risks to and opportunities for agricultural and forestry productivity from extreme events and changing climatic conditions (including temperature change, water scarcity, wildfire, flooding, coastal erosion, wind and saline intrusion).</v>
      </c>
      <c r="O194" s="206" t="str">
        <f>VLOOKUP($A194,'CCRA3 Risks'!$A:$R,3,FALSE)</f>
        <v>Yes</v>
      </c>
      <c r="P194" s="207">
        <f>VLOOKUP($A194,'CCRA3 Risks'!$A:$R,4,FALSE)</f>
        <v>3</v>
      </c>
      <c r="Q194" s="206" t="str">
        <f>VLOOKUP($A194,'CCRA3 Risks'!$A:$R,7,FALSE)</f>
        <v>England</v>
      </c>
      <c r="R194" s="206" t="str">
        <f>VLOOKUP($A194,'CCRA3 Risks'!$A:$R,8,FALSE)</f>
        <v>Medium</v>
      </c>
      <c r="S194" s="206" t="str">
        <f>VLOOKUP($A194,'CCRA3 Risks'!$A:$R,9,FALSE)</f>
        <v>High</v>
      </c>
      <c r="T194" s="206" t="str">
        <f>VLOOKUP($A194,'CCRA3 Risks'!$A:$R,10,FALSE)</f>
        <v>High</v>
      </c>
      <c r="U194" s="206" t="str">
        <f>VLOOKUP($A194,'CCRA3 Risks'!$A:$R,11,FALSE)</f>
        <v>High</v>
      </c>
      <c r="V194" s="206" t="str">
        <f>VLOOKUP($A194,'CCRA3 Risks'!$A:$R,12,FALSE)</f>
        <v>High</v>
      </c>
      <c r="W194" s="206" t="str">
        <f>VLOOKUP($A194,'CCRA3 Risks'!$A:$R,13,FALSE)</f>
        <v>Very partially</v>
      </c>
      <c r="X194" s="206" t="str">
        <f>VLOOKUP($A194,'CCRA3 Risks'!$A:$R,14,FALSE)</f>
        <v>More action needed</v>
      </c>
      <c r="Y194" s="206" t="str">
        <f>VLOOKUP($A194,'CCRA3 Risks'!$A:$R,15,FALSE)</f>
        <v>More action needed</v>
      </c>
      <c r="Z194" s="206" t="str">
        <f>VLOOKUP($A194,'CCRA3 Risks'!$A:$R,16,FALSE)</f>
        <v>Low (1)</v>
      </c>
      <c r="AA194" s="206" t="str">
        <f>VLOOKUP($A194,'CCRA3 Risks'!$A:$R,17,FALSE)</f>
        <v>Low (Red)</v>
      </c>
      <c r="AB194" s="206" t="str">
        <f>VLOOKUP($A194,'CCRA3 Risks'!$A:$R,18,FALSE)</f>
        <v>High (Net Zero, new land management and rural support schemes, Environment and nature recovery policy)</v>
      </c>
      <c r="AC194" s="202">
        <f>VLOOKUP($A194,'CCRA3 Risks'!$A:$AG,19,FALSE)</f>
        <v>0</v>
      </c>
      <c r="AD194" s="123" t="str">
        <f>VLOOKUP($A194,'CCRA3 Risks'!$A:$AG,20,FALSE)</f>
        <v>Y</v>
      </c>
      <c r="AE194" s="123">
        <f>VLOOKUP($A194,'CCRA3 Risks'!$A:$AG,21,FALSE)</f>
        <v>0</v>
      </c>
      <c r="AF194" s="123">
        <f>VLOOKUP($A194,'CCRA3 Risks'!$A:$AG,22,FALSE)</f>
        <v>0</v>
      </c>
      <c r="AG194" s="123">
        <f>VLOOKUP($A194,'CCRA3 Risks'!$A:$AG,23,FALSE)</f>
        <v>0</v>
      </c>
      <c r="AH194" s="123">
        <f>VLOOKUP($A194,'CCRA3 Risks'!$A:$AG,24,FALSE)</f>
        <v>0</v>
      </c>
      <c r="AI194" s="123">
        <f>VLOOKUP($A194,'CCRA3 Risks'!$A:$AG,25,FALSE)</f>
        <v>0</v>
      </c>
      <c r="AJ194" s="123">
        <f>VLOOKUP($A194,'CCRA3 Risks'!$A:$AG,26,FALSE)</f>
        <v>0</v>
      </c>
      <c r="AK194" s="123">
        <f>VLOOKUP($A194,'CCRA3 Risks'!$A:$AG,27,FALSE)</f>
        <v>0</v>
      </c>
      <c r="AL194" s="123">
        <f>VLOOKUP($A194,'CCRA3 Risks'!$A:$AG,28,FALSE)</f>
        <v>0</v>
      </c>
      <c r="AM194" s="123">
        <f>VLOOKUP($A194,'CCRA3 Risks'!$A:$AG,29,FALSE)</f>
        <v>0</v>
      </c>
      <c r="AN194" s="123">
        <f>VLOOKUP($A194,'CCRA3 Risks'!$A:$AG,30,FALSE)</f>
        <v>0</v>
      </c>
      <c r="AO194" s="123">
        <f>VLOOKUP($A194,'CCRA3 Risks'!$A:$AG,31,FALSE)</f>
        <v>0</v>
      </c>
      <c r="AP194" s="123">
        <f>VLOOKUP($A194,'CCRA3 Risks'!$A:$AG,32,FALSE)</f>
        <v>0</v>
      </c>
      <c r="AQ194" s="123">
        <f>VLOOKUP($A194,'CCRA3 Risks'!$A:$AG,33,FALSE)</f>
        <v>0</v>
      </c>
    </row>
    <row r="195" spans="1:43" ht="89.25" x14ac:dyDescent="0.25">
      <c r="A195" s="88" t="s">
        <v>340</v>
      </c>
      <c r="B195" s="88" t="s">
        <v>1292</v>
      </c>
      <c r="C195" s="83" t="s">
        <v>1293</v>
      </c>
      <c r="D195" s="83" t="s">
        <v>512</v>
      </c>
      <c r="E195" s="88" t="s">
        <v>67</v>
      </c>
      <c r="F195" s="83" t="s">
        <v>396</v>
      </c>
      <c r="G195" s="83" t="s">
        <v>20</v>
      </c>
      <c r="H195" s="83" t="s">
        <v>1294</v>
      </c>
      <c r="I195" s="88" t="s">
        <v>1218</v>
      </c>
      <c r="J195" s="88" t="s">
        <v>411</v>
      </c>
      <c r="K195" s="83" t="s">
        <v>1295</v>
      </c>
      <c r="L195" s="83" t="s">
        <v>1272</v>
      </c>
      <c r="M195" s="83" t="s">
        <v>1287</v>
      </c>
      <c r="N195" s="206" t="str">
        <f>VLOOKUP($A195,'CCRA3 Risks'!$A:$R,2,FALSE)</f>
        <v>N6 Risks to and opportunities for agricultural and forestry productivity from extreme events and changing climatic conditions (including temperature change, water scarcity, wildfire, flooding, coastal erosion, wind and saline intrusion).</v>
      </c>
      <c r="O195" s="206" t="str">
        <f>VLOOKUP($A195,'CCRA3 Risks'!$A:$R,3,FALSE)</f>
        <v>Yes</v>
      </c>
      <c r="P195" s="207">
        <f>VLOOKUP($A195,'CCRA3 Risks'!$A:$R,4,FALSE)</f>
        <v>3</v>
      </c>
      <c r="Q195" s="206" t="str">
        <f>VLOOKUP($A195,'CCRA3 Risks'!$A:$R,7,FALSE)</f>
        <v>England</v>
      </c>
      <c r="R195" s="206" t="str">
        <f>VLOOKUP($A195,'CCRA3 Risks'!$A:$R,8,FALSE)</f>
        <v>Medium</v>
      </c>
      <c r="S195" s="206" t="str">
        <f>VLOOKUP($A195,'CCRA3 Risks'!$A:$R,9,FALSE)</f>
        <v>High</v>
      </c>
      <c r="T195" s="206" t="str">
        <f>VLOOKUP($A195,'CCRA3 Risks'!$A:$R,10,FALSE)</f>
        <v>High</v>
      </c>
      <c r="U195" s="206" t="str">
        <f>VLOOKUP($A195,'CCRA3 Risks'!$A:$R,11,FALSE)</f>
        <v>High</v>
      </c>
      <c r="V195" s="206" t="str">
        <f>VLOOKUP($A195,'CCRA3 Risks'!$A:$R,12,FALSE)</f>
        <v>High</v>
      </c>
      <c r="W195" s="206" t="str">
        <f>VLOOKUP($A195,'CCRA3 Risks'!$A:$R,13,FALSE)</f>
        <v>Very partially</v>
      </c>
      <c r="X195" s="206" t="str">
        <f>VLOOKUP($A195,'CCRA3 Risks'!$A:$R,14,FALSE)</f>
        <v>More action needed</v>
      </c>
      <c r="Y195" s="206" t="str">
        <f>VLOOKUP($A195,'CCRA3 Risks'!$A:$R,15,FALSE)</f>
        <v>More action needed</v>
      </c>
      <c r="Z195" s="206" t="str">
        <f>VLOOKUP($A195,'CCRA3 Risks'!$A:$R,16,FALSE)</f>
        <v>Low (1)</v>
      </c>
      <c r="AA195" s="206" t="str">
        <f>VLOOKUP($A195,'CCRA3 Risks'!$A:$R,17,FALSE)</f>
        <v>Low (Red)</v>
      </c>
      <c r="AB195" s="206" t="str">
        <f>VLOOKUP($A195,'CCRA3 Risks'!$A:$R,18,FALSE)</f>
        <v>High (Net Zero, new land management and rural support schemes, Environment and nature recovery policy)</v>
      </c>
      <c r="AC195" s="202">
        <f>VLOOKUP($A195,'CCRA3 Risks'!$A:$AG,19,FALSE)</f>
        <v>0</v>
      </c>
      <c r="AD195" s="123" t="str">
        <f>VLOOKUP($A195,'CCRA3 Risks'!$A:$AG,20,FALSE)</f>
        <v>Y</v>
      </c>
      <c r="AE195" s="123">
        <f>VLOOKUP($A195,'CCRA3 Risks'!$A:$AG,21,FALSE)</f>
        <v>0</v>
      </c>
      <c r="AF195" s="123">
        <f>VLOOKUP($A195,'CCRA3 Risks'!$A:$AG,22,FALSE)</f>
        <v>0</v>
      </c>
      <c r="AG195" s="123">
        <f>VLOOKUP($A195,'CCRA3 Risks'!$A:$AG,23,FALSE)</f>
        <v>0</v>
      </c>
      <c r="AH195" s="123">
        <f>VLOOKUP($A195,'CCRA3 Risks'!$A:$AG,24,FALSE)</f>
        <v>0</v>
      </c>
      <c r="AI195" s="123">
        <f>VLOOKUP($A195,'CCRA3 Risks'!$A:$AG,25,FALSE)</f>
        <v>0</v>
      </c>
      <c r="AJ195" s="123">
        <f>VLOOKUP($A195,'CCRA3 Risks'!$A:$AG,26,FALSE)</f>
        <v>0</v>
      </c>
      <c r="AK195" s="123">
        <f>VLOOKUP($A195,'CCRA3 Risks'!$A:$AG,27,FALSE)</f>
        <v>0</v>
      </c>
      <c r="AL195" s="123">
        <f>VLOOKUP($A195,'CCRA3 Risks'!$A:$AG,28,FALSE)</f>
        <v>0</v>
      </c>
      <c r="AM195" s="123">
        <f>VLOOKUP($A195,'CCRA3 Risks'!$A:$AG,29,FALSE)</f>
        <v>0</v>
      </c>
      <c r="AN195" s="123">
        <f>VLOOKUP($A195,'CCRA3 Risks'!$A:$AG,30,FALSE)</f>
        <v>0</v>
      </c>
      <c r="AO195" s="123">
        <f>VLOOKUP($A195,'CCRA3 Risks'!$A:$AG,31,FALSE)</f>
        <v>0</v>
      </c>
      <c r="AP195" s="123">
        <f>VLOOKUP($A195,'CCRA3 Risks'!$A:$AG,32,FALSE)</f>
        <v>0</v>
      </c>
      <c r="AQ195" s="123">
        <f>VLOOKUP($A195,'CCRA3 Risks'!$A:$AG,33,FALSE)</f>
        <v>0</v>
      </c>
    </row>
    <row r="196" spans="1:43" ht="102" x14ac:dyDescent="0.25">
      <c r="A196" s="88" t="s">
        <v>340</v>
      </c>
      <c r="B196" s="88" t="s">
        <v>1296</v>
      </c>
      <c r="C196" s="83" t="s">
        <v>1297</v>
      </c>
      <c r="D196" s="83" t="s">
        <v>461</v>
      </c>
      <c r="E196" s="88" t="s">
        <v>67</v>
      </c>
      <c r="F196" s="83" t="s">
        <v>421</v>
      </c>
      <c r="G196" s="83" t="s">
        <v>30</v>
      </c>
      <c r="H196" s="83" t="s">
        <v>1298</v>
      </c>
      <c r="I196" s="88"/>
      <c r="J196" s="88" t="s">
        <v>398</v>
      </c>
      <c r="K196" s="83" t="s">
        <v>1299</v>
      </c>
      <c r="L196" s="83" t="s">
        <v>1272</v>
      </c>
      <c r="M196" s="83" t="s">
        <v>1300</v>
      </c>
      <c r="N196" s="206" t="str">
        <f>VLOOKUP($A196,'CCRA3 Risks'!$A:$R,2,FALSE)</f>
        <v>N6 Risks to and opportunities for agricultural and forestry productivity from extreme events and changing climatic conditions (including temperature change, water scarcity, wildfire, flooding, coastal erosion, wind and saline intrusion).</v>
      </c>
      <c r="O196" s="206" t="str">
        <f>VLOOKUP($A196,'CCRA3 Risks'!$A:$R,3,FALSE)</f>
        <v>Yes</v>
      </c>
      <c r="P196" s="207">
        <f>VLOOKUP($A196,'CCRA3 Risks'!$A:$R,4,FALSE)</f>
        <v>3</v>
      </c>
      <c r="Q196" s="206" t="str">
        <f>VLOOKUP($A196,'CCRA3 Risks'!$A:$R,7,FALSE)</f>
        <v>England</v>
      </c>
      <c r="R196" s="206" t="str">
        <f>VLOOKUP($A196,'CCRA3 Risks'!$A:$R,8,FALSE)</f>
        <v>Medium</v>
      </c>
      <c r="S196" s="206" t="str">
        <f>VLOOKUP($A196,'CCRA3 Risks'!$A:$R,9,FALSE)</f>
        <v>High</v>
      </c>
      <c r="T196" s="206" t="str">
        <f>VLOOKUP($A196,'CCRA3 Risks'!$A:$R,10,FALSE)</f>
        <v>High</v>
      </c>
      <c r="U196" s="206" t="str">
        <f>VLOOKUP($A196,'CCRA3 Risks'!$A:$R,11,FALSE)</f>
        <v>High</v>
      </c>
      <c r="V196" s="206" t="str">
        <f>VLOOKUP($A196,'CCRA3 Risks'!$A:$R,12,FALSE)</f>
        <v>High</v>
      </c>
      <c r="W196" s="206" t="str">
        <f>VLOOKUP($A196,'CCRA3 Risks'!$A:$R,13,FALSE)</f>
        <v>Very partially</v>
      </c>
      <c r="X196" s="206" t="str">
        <f>VLOOKUP($A196,'CCRA3 Risks'!$A:$R,14,FALSE)</f>
        <v>More action needed</v>
      </c>
      <c r="Y196" s="206" t="str">
        <f>VLOOKUP($A196,'CCRA3 Risks'!$A:$R,15,FALSE)</f>
        <v>More action needed</v>
      </c>
      <c r="Z196" s="206" t="str">
        <f>VLOOKUP($A196,'CCRA3 Risks'!$A:$R,16,FALSE)</f>
        <v>Low (1)</v>
      </c>
      <c r="AA196" s="206" t="str">
        <f>VLOOKUP($A196,'CCRA3 Risks'!$A:$R,17,FALSE)</f>
        <v>Low (Red)</v>
      </c>
      <c r="AB196" s="206" t="str">
        <f>VLOOKUP($A196,'CCRA3 Risks'!$A:$R,18,FALSE)</f>
        <v>High (Net Zero, new land management and rural support schemes, Environment and nature recovery policy)</v>
      </c>
      <c r="AC196" s="202">
        <f>VLOOKUP($A196,'CCRA3 Risks'!$A:$AG,19,FALSE)</f>
        <v>0</v>
      </c>
      <c r="AD196" s="123" t="str">
        <f>VLOOKUP($A196,'CCRA3 Risks'!$A:$AG,20,FALSE)</f>
        <v>Y</v>
      </c>
      <c r="AE196" s="123">
        <f>VLOOKUP($A196,'CCRA3 Risks'!$A:$AG,21,FALSE)</f>
        <v>0</v>
      </c>
      <c r="AF196" s="123">
        <f>VLOOKUP($A196,'CCRA3 Risks'!$A:$AG,22,FALSE)</f>
        <v>0</v>
      </c>
      <c r="AG196" s="123">
        <f>VLOOKUP($A196,'CCRA3 Risks'!$A:$AG,23,FALSE)</f>
        <v>0</v>
      </c>
      <c r="AH196" s="123">
        <f>VLOOKUP($A196,'CCRA3 Risks'!$A:$AG,24,FALSE)</f>
        <v>0</v>
      </c>
      <c r="AI196" s="123">
        <f>VLOOKUP($A196,'CCRA3 Risks'!$A:$AG,25,FALSE)</f>
        <v>0</v>
      </c>
      <c r="AJ196" s="123">
        <f>VLOOKUP($A196,'CCRA3 Risks'!$A:$AG,26,FALSE)</f>
        <v>0</v>
      </c>
      <c r="AK196" s="123">
        <f>VLOOKUP($A196,'CCRA3 Risks'!$A:$AG,27,FALSE)</f>
        <v>0</v>
      </c>
      <c r="AL196" s="123">
        <f>VLOOKUP($A196,'CCRA3 Risks'!$A:$AG,28,FALSE)</f>
        <v>0</v>
      </c>
      <c r="AM196" s="123">
        <f>VLOOKUP($A196,'CCRA3 Risks'!$A:$AG,29,FALSE)</f>
        <v>0</v>
      </c>
      <c r="AN196" s="123">
        <f>VLOOKUP($A196,'CCRA3 Risks'!$A:$AG,30,FALSE)</f>
        <v>0</v>
      </c>
      <c r="AO196" s="123">
        <f>VLOOKUP($A196,'CCRA3 Risks'!$A:$AG,31,FALSE)</f>
        <v>0</v>
      </c>
      <c r="AP196" s="123">
        <f>VLOOKUP($A196,'CCRA3 Risks'!$A:$AG,32,FALSE)</f>
        <v>0</v>
      </c>
      <c r="AQ196" s="123">
        <f>VLOOKUP($A196,'CCRA3 Risks'!$A:$AG,33,FALSE)</f>
        <v>0</v>
      </c>
    </row>
    <row r="197" spans="1:43" ht="102" x14ac:dyDescent="0.25">
      <c r="A197" s="88" t="s">
        <v>340</v>
      </c>
      <c r="B197" s="88" t="s">
        <v>1301</v>
      </c>
      <c r="C197" s="83" t="s">
        <v>1302</v>
      </c>
      <c r="D197" s="83" t="s">
        <v>461</v>
      </c>
      <c r="E197" s="88" t="s">
        <v>67</v>
      </c>
      <c r="F197" s="83" t="s">
        <v>472</v>
      </c>
      <c r="G197" s="83" t="s">
        <v>30</v>
      </c>
      <c r="H197" s="83" t="s">
        <v>1303</v>
      </c>
      <c r="I197" s="88"/>
      <c r="J197" s="88" t="s">
        <v>398</v>
      </c>
      <c r="K197" s="83" t="s">
        <v>1304</v>
      </c>
      <c r="L197" s="83" t="s">
        <v>1272</v>
      </c>
      <c r="M197" s="83" t="s">
        <v>1305</v>
      </c>
      <c r="N197" s="206" t="str">
        <f>VLOOKUP($A197,'CCRA3 Risks'!$A:$R,2,FALSE)</f>
        <v>N6 Risks to and opportunities for agricultural and forestry productivity from extreme events and changing climatic conditions (including temperature change, water scarcity, wildfire, flooding, coastal erosion, wind and saline intrusion).</v>
      </c>
      <c r="O197" s="206" t="str">
        <f>VLOOKUP($A197,'CCRA3 Risks'!$A:$R,3,FALSE)</f>
        <v>Yes</v>
      </c>
      <c r="P197" s="207">
        <f>VLOOKUP($A197,'CCRA3 Risks'!$A:$R,4,FALSE)</f>
        <v>3</v>
      </c>
      <c r="Q197" s="206" t="str">
        <f>VLOOKUP($A197,'CCRA3 Risks'!$A:$R,7,FALSE)</f>
        <v>England</v>
      </c>
      <c r="R197" s="206" t="str">
        <f>VLOOKUP($A197,'CCRA3 Risks'!$A:$R,8,FALSE)</f>
        <v>Medium</v>
      </c>
      <c r="S197" s="206" t="str">
        <f>VLOOKUP($A197,'CCRA3 Risks'!$A:$R,9,FALSE)</f>
        <v>High</v>
      </c>
      <c r="T197" s="206" t="str">
        <f>VLOOKUP($A197,'CCRA3 Risks'!$A:$R,10,FALSE)</f>
        <v>High</v>
      </c>
      <c r="U197" s="206" t="str">
        <f>VLOOKUP($A197,'CCRA3 Risks'!$A:$R,11,FALSE)</f>
        <v>High</v>
      </c>
      <c r="V197" s="206" t="str">
        <f>VLOOKUP($A197,'CCRA3 Risks'!$A:$R,12,FALSE)</f>
        <v>High</v>
      </c>
      <c r="W197" s="206" t="str">
        <f>VLOOKUP($A197,'CCRA3 Risks'!$A:$R,13,FALSE)</f>
        <v>Very partially</v>
      </c>
      <c r="X197" s="206" t="str">
        <f>VLOOKUP($A197,'CCRA3 Risks'!$A:$R,14,FALSE)</f>
        <v>More action needed</v>
      </c>
      <c r="Y197" s="206" t="str">
        <f>VLOOKUP($A197,'CCRA3 Risks'!$A:$R,15,FALSE)</f>
        <v>More action needed</v>
      </c>
      <c r="Z197" s="206" t="str">
        <f>VLOOKUP($A197,'CCRA3 Risks'!$A:$R,16,FALSE)</f>
        <v>Low (1)</v>
      </c>
      <c r="AA197" s="206" t="str">
        <f>VLOOKUP($A197,'CCRA3 Risks'!$A:$R,17,FALSE)</f>
        <v>Low (Red)</v>
      </c>
      <c r="AB197" s="206" t="str">
        <f>VLOOKUP($A197,'CCRA3 Risks'!$A:$R,18,FALSE)</f>
        <v>High (Net Zero, new land management and rural support schemes, Environment and nature recovery policy)</v>
      </c>
      <c r="AC197" s="202">
        <f>VLOOKUP($A197,'CCRA3 Risks'!$A:$AG,19,FALSE)</f>
        <v>0</v>
      </c>
      <c r="AD197" s="123" t="str">
        <f>VLOOKUP($A197,'CCRA3 Risks'!$A:$AG,20,FALSE)</f>
        <v>Y</v>
      </c>
      <c r="AE197" s="123">
        <f>VLOOKUP($A197,'CCRA3 Risks'!$A:$AG,21,FALSE)</f>
        <v>0</v>
      </c>
      <c r="AF197" s="123">
        <f>VLOOKUP($A197,'CCRA3 Risks'!$A:$AG,22,FALSE)</f>
        <v>0</v>
      </c>
      <c r="AG197" s="123">
        <f>VLOOKUP($A197,'CCRA3 Risks'!$A:$AG,23,FALSE)</f>
        <v>0</v>
      </c>
      <c r="AH197" s="123">
        <f>VLOOKUP($A197,'CCRA3 Risks'!$A:$AG,24,FALSE)</f>
        <v>0</v>
      </c>
      <c r="AI197" s="123">
        <f>VLOOKUP($A197,'CCRA3 Risks'!$A:$AG,25,FALSE)</f>
        <v>0</v>
      </c>
      <c r="AJ197" s="123">
        <f>VLOOKUP($A197,'CCRA3 Risks'!$A:$AG,26,FALSE)</f>
        <v>0</v>
      </c>
      <c r="AK197" s="123">
        <f>VLOOKUP($A197,'CCRA3 Risks'!$A:$AG,27,FALSE)</f>
        <v>0</v>
      </c>
      <c r="AL197" s="123">
        <f>VLOOKUP($A197,'CCRA3 Risks'!$A:$AG,28,FALSE)</f>
        <v>0</v>
      </c>
      <c r="AM197" s="123">
        <f>VLOOKUP($A197,'CCRA3 Risks'!$A:$AG,29,FALSE)</f>
        <v>0</v>
      </c>
      <c r="AN197" s="123">
        <f>VLOOKUP($A197,'CCRA3 Risks'!$A:$AG,30,FALSE)</f>
        <v>0</v>
      </c>
      <c r="AO197" s="123">
        <f>VLOOKUP($A197,'CCRA3 Risks'!$A:$AG,31,FALSE)</f>
        <v>0</v>
      </c>
      <c r="AP197" s="123">
        <f>VLOOKUP($A197,'CCRA3 Risks'!$A:$AG,32,FALSE)</f>
        <v>0</v>
      </c>
      <c r="AQ197" s="123">
        <f>VLOOKUP($A197,'CCRA3 Risks'!$A:$AG,33,FALSE)</f>
        <v>0</v>
      </c>
    </row>
    <row r="198" spans="1:43" ht="153" x14ac:dyDescent="0.25">
      <c r="A198" s="88" t="s">
        <v>340</v>
      </c>
      <c r="B198" s="88" t="s">
        <v>1306</v>
      </c>
      <c r="C198" s="83" t="s">
        <v>1307</v>
      </c>
      <c r="D198" s="83" t="s">
        <v>461</v>
      </c>
      <c r="E198" s="88" t="s">
        <v>67</v>
      </c>
      <c r="F198" s="83" t="s">
        <v>421</v>
      </c>
      <c r="G198" s="83" t="s">
        <v>53</v>
      </c>
      <c r="H198" s="83" t="s">
        <v>1308</v>
      </c>
      <c r="I198" s="88"/>
      <c r="J198" s="88" t="s">
        <v>411</v>
      </c>
      <c r="K198" s="83" t="s">
        <v>1309</v>
      </c>
      <c r="L198" s="83" t="s">
        <v>1272</v>
      </c>
      <c r="M198" s="83" t="s">
        <v>1310</v>
      </c>
      <c r="N198" s="206" t="str">
        <f>VLOOKUP($A198,'CCRA3 Risks'!$A:$R,2,FALSE)</f>
        <v>N6 Risks to and opportunities for agricultural and forestry productivity from extreme events and changing climatic conditions (including temperature change, water scarcity, wildfire, flooding, coastal erosion, wind and saline intrusion).</v>
      </c>
      <c r="O198" s="206" t="str">
        <f>VLOOKUP($A198,'CCRA3 Risks'!$A:$R,3,FALSE)</f>
        <v>Yes</v>
      </c>
      <c r="P198" s="207">
        <f>VLOOKUP($A198,'CCRA3 Risks'!$A:$R,4,FALSE)</f>
        <v>3</v>
      </c>
      <c r="Q198" s="206" t="str">
        <f>VLOOKUP($A198,'CCRA3 Risks'!$A:$R,7,FALSE)</f>
        <v>England</v>
      </c>
      <c r="R198" s="206" t="str">
        <f>VLOOKUP($A198,'CCRA3 Risks'!$A:$R,8,FALSE)</f>
        <v>Medium</v>
      </c>
      <c r="S198" s="206" t="str">
        <f>VLOOKUP($A198,'CCRA3 Risks'!$A:$R,9,FALSE)</f>
        <v>High</v>
      </c>
      <c r="T198" s="206" t="str">
        <f>VLOOKUP($A198,'CCRA3 Risks'!$A:$R,10,FALSE)</f>
        <v>High</v>
      </c>
      <c r="U198" s="206" t="str">
        <f>VLOOKUP($A198,'CCRA3 Risks'!$A:$R,11,FALSE)</f>
        <v>High</v>
      </c>
      <c r="V198" s="206" t="str">
        <f>VLOOKUP($A198,'CCRA3 Risks'!$A:$R,12,FALSE)</f>
        <v>High</v>
      </c>
      <c r="W198" s="206" t="str">
        <f>VLOOKUP($A198,'CCRA3 Risks'!$A:$R,13,FALSE)</f>
        <v>Very partially</v>
      </c>
      <c r="X198" s="206" t="str">
        <f>VLOOKUP($A198,'CCRA3 Risks'!$A:$R,14,FALSE)</f>
        <v>More action needed</v>
      </c>
      <c r="Y198" s="206" t="str">
        <f>VLOOKUP($A198,'CCRA3 Risks'!$A:$R,15,FALSE)</f>
        <v>More action needed</v>
      </c>
      <c r="Z198" s="206" t="str">
        <f>VLOOKUP($A198,'CCRA3 Risks'!$A:$R,16,FALSE)</f>
        <v>Low (1)</v>
      </c>
      <c r="AA198" s="206" t="str">
        <f>VLOOKUP($A198,'CCRA3 Risks'!$A:$R,17,FALSE)</f>
        <v>Low (Red)</v>
      </c>
      <c r="AB198" s="206" t="str">
        <f>VLOOKUP($A198,'CCRA3 Risks'!$A:$R,18,FALSE)</f>
        <v>High (Net Zero, new land management and rural support schemes, Environment and nature recovery policy)</v>
      </c>
      <c r="AC198" s="202">
        <f>VLOOKUP($A198,'CCRA3 Risks'!$A:$AG,19,FALSE)</f>
        <v>0</v>
      </c>
      <c r="AD198" s="123" t="str">
        <f>VLOOKUP($A198,'CCRA3 Risks'!$A:$AG,20,FALSE)</f>
        <v>Y</v>
      </c>
      <c r="AE198" s="123">
        <f>VLOOKUP($A198,'CCRA3 Risks'!$A:$AG,21,FALSE)</f>
        <v>0</v>
      </c>
      <c r="AF198" s="123">
        <f>VLOOKUP($A198,'CCRA3 Risks'!$A:$AG,22,FALSE)</f>
        <v>0</v>
      </c>
      <c r="AG198" s="123">
        <f>VLOOKUP($A198,'CCRA3 Risks'!$A:$AG,23,FALSE)</f>
        <v>0</v>
      </c>
      <c r="AH198" s="123">
        <f>VLOOKUP($A198,'CCRA3 Risks'!$A:$AG,24,FALSE)</f>
        <v>0</v>
      </c>
      <c r="AI198" s="123">
        <f>VLOOKUP($A198,'CCRA3 Risks'!$A:$AG,25,FALSE)</f>
        <v>0</v>
      </c>
      <c r="AJ198" s="123">
        <f>VLOOKUP($A198,'CCRA3 Risks'!$A:$AG,26,FALSE)</f>
        <v>0</v>
      </c>
      <c r="AK198" s="123">
        <f>VLOOKUP($A198,'CCRA3 Risks'!$A:$AG,27,FALSE)</f>
        <v>0</v>
      </c>
      <c r="AL198" s="123">
        <f>VLOOKUP($A198,'CCRA3 Risks'!$A:$AG,28,FALSE)</f>
        <v>0</v>
      </c>
      <c r="AM198" s="123">
        <f>VLOOKUP($A198,'CCRA3 Risks'!$A:$AG,29,FALSE)</f>
        <v>0</v>
      </c>
      <c r="AN198" s="123">
        <f>VLOOKUP($A198,'CCRA3 Risks'!$A:$AG,30,FALSE)</f>
        <v>0</v>
      </c>
      <c r="AO198" s="123">
        <f>VLOOKUP($A198,'CCRA3 Risks'!$A:$AG,31,FALSE)</f>
        <v>0</v>
      </c>
      <c r="AP198" s="123">
        <f>VLOOKUP($A198,'CCRA3 Risks'!$A:$AG,32,FALSE)</f>
        <v>0</v>
      </c>
      <c r="AQ198" s="123">
        <f>VLOOKUP($A198,'CCRA3 Risks'!$A:$AG,33,FALSE)</f>
        <v>0</v>
      </c>
    </row>
    <row r="199" spans="1:43" ht="140.25" x14ac:dyDescent="0.25">
      <c r="A199" s="88" t="s">
        <v>340</v>
      </c>
      <c r="B199" s="88" t="s">
        <v>1311</v>
      </c>
      <c r="C199" s="83" t="s">
        <v>1312</v>
      </c>
      <c r="D199" s="83" t="s">
        <v>512</v>
      </c>
      <c r="E199" s="88" t="s">
        <v>67</v>
      </c>
      <c r="F199" s="83" t="s">
        <v>421</v>
      </c>
      <c r="G199" s="83" t="s">
        <v>30</v>
      </c>
      <c r="H199" s="83" t="s">
        <v>1313</v>
      </c>
      <c r="I199" s="88"/>
      <c r="J199" s="88" t="s">
        <v>463</v>
      </c>
      <c r="K199" s="83" t="s">
        <v>1314</v>
      </c>
      <c r="L199" s="83" t="s">
        <v>1272</v>
      </c>
      <c r="M199" s="83" t="s">
        <v>1287</v>
      </c>
      <c r="N199" s="206" t="str">
        <f>VLOOKUP($A199,'CCRA3 Risks'!$A:$R,2,FALSE)</f>
        <v>N6 Risks to and opportunities for agricultural and forestry productivity from extreme events and changing climatic conditions (including temperature change, water scarcity, wildfire, flooding, coastal erosion, wind and saline intrusion).</v>
      </c>
      <c r="O199" s="206" t="str">
        <f>VLOOKUP($A199,'CCRA3 Risks'!$A:$R,3,FALSE)</f>
        <v>Yes</v>
      </c>
      <c r="P199" s="207">
        <f>VLOOKUP($A199,'CCRA3 Risks'!$A:$R,4,FALSE)</f>
        <v>3</v>
      </c>
      <c r="Q199" s="206" t="str">
        <f>VLOOKUP($A199,'CCRA3 Risks'!$A:$R,7,FALSE)</f>
        <v>England</v>
      </c>
      <c r="R199" s="206" t="str">
        <f>VLOOKUP($A199,'CCRA3 Risks'!$A:$R,8,FALSE)</f>
        <v>Medium</v>
      </c>
      <c r="S199" s="206" t="str">
        <f>VLOOKUP($A199,'CCRA3 Risks'!$A:$R,9,FALSE)</f>
        <v>High</v>
      </c>
      <c r="T199" s="206" t="str">
        <f>VLOOKUP($A199,'CCRA3 Risks'!$A:$R,10,FALSE)</f>
        <v>High</v>
      </c>
      <c r="U199" s="206" t="str">
        <f>VLOOKUP($A199,'CCRA3 Risks'!$A:$R,11,FALSE)</f>
        <v>High</v>
      </c>
      <c r="V199" s="206" t="str">
        <f>VLOOKUP($A199,'CCRA3 Risks'!$A:$R,12,FALSE)</f>
        <v>High</v>
      </c>
      <c r="W199" s="206" t="str">
        <f>VLOOKUP($A199,'CCRA3 Risks'!$A:$R,13,FALSE)</f>
        <v>Very partially</v>
      </c>
      <c r="X199" s="206" t="str">
        <f>VLOOKUP($A199,'CCRA3 Risks'!$A:$R,14,FALSE)</f>
        <v>More action needed</v>
      </c>
      <c r="Y199" s="206" t="str">
        <f>VLOOKUP($A199,'CCRA3 Risks'!$A:$R,15,FALSE)</f>
        <v>More action needed</v>
      </c>
      <c r="Z199" s="206" t="str">
        <f>VLOOKUP($A199,'CCRA3 Risks'!$A:$R,16,FALSE)</f>
        <v>Low (1)</v>
      </c>
      <c r="AA199" s="206" t="str">
        <f>VLOOKUP($A199,'CCRA3 Risks'!$A:$R,17,FALSE)</f>
        <v>Low (Red)</v>
      </c>
      <c r="AB199" s="206" t="str">
        <f>VLOOKUP($A199,'CCRA3 Risks'!$A:$R,18,FALSE)</f>
        <v>High (Net Zero, new land management and rural support schemes, Environment and nature recovery policy)</v>
      </c>
      <c r="AC199" s="202">
        <f>VLOOKUP($A199,'CCRA3 Risks'!$A:$AG,19,FALSE)</f>
        <v>0</v>
      </c>
      <c r="AD199" s="123" t="str">
        <f>VLOOKUP($A199,'CCRA3 Risks'!$A:$AG,20,FALSE)</f>
        <v>Y</v>
      </c>
      <c r="AE199" s="123">
        <f>VLOOKUP($A199,'CCRA3 Risks'!$A:$AG,21,FALSE)</f>
        <v>0</v>
      </c>
      <c r="AF199" s="123">
        <f>VLOOKUP($A199,'CCRA3 Risks'!$A:$AG,22,FALSE)</f>
        <v>0</v>
      </c>
      <c r="AG199" s="123">
        <f>VLOOKUP($A199,'CCRA3 Risks'!$A:$AG,23,FALSE)</f>
        <v>0</v>
      </c>
      <c r="AH199" s="123">
        <f>VLOOKUP($A199,'CCRA3 Risks'!$A:$AG,24,FALSE)</f>
        <v>0</v>
      </c>
      <c r="AI199" s="123">
        <f>VLOOKUP($A199,'CCRA3 Risks'!$A:$AG,25,FALSE)</f>
        <v>0</v>
      </c>
      <c r="AJ199" s="123">
        <f>VLOOKUP($A199,'CCRA3 Risks'!$A:$AG,26,FALSE)</f>
        <v>0</v>
      </c>
      <c r="AK199" s="123">
        <f>VLOOKUP($A199,'CCRA3 Risks'!$A:$AG,27,FALSE)</f>
        <v>0</v>
      </c>
      <c r="AL199" s="123">
        <f>VLOOKUP($A199,'CCRA3 Risks'!$A:$AG,28,FALSE)</f>
        <v>0</v>
      </c>
      <c r="AM199" s="123">
        <f>VLOOKUP($A199,'CCRA3 Risks'!$A:$AG,29,FALSE)</f>
        <v>0</v>
      </c>
      <c r="AN199" s="123">
        <f>VLOOKUP($A199,'CCRA3 Risks'!$A:$AG,30,FALSE)</f>
        <v>0</v>
      </c>
      <c r="AO199" s="123">
        <f>VLOOKUP($A199,'CCRA3 Risks'!$A:$AG,31,FALSE)</f>
        <v>0</v>
      </c>
      <c r="AP199" s="123">
        <f>VLOOKUP($A199,'CCRA3 Risks'!$A:$AG,32,FALSE)</f>
        <v>0</v>
      </c>
      <c r="AQ199" s="123">
        <f>VLOOKUP($A199,'CCRA3 Risks'!$A:$AG,33,FALSE)</f>
        <v>0</v>
      </c>
    </row>
    <row r="200" spans="1:43" ht="140.25" x14ac:dyDescent="0.25">
      <c r="A200" s="88" t="s">
        <v>340</v>
      </c>
      <c r="B200" s="88" t="s">
        <v>1315</v>
      </c>
      <c r="C200" s="83" t="s">
        <v>1316</v>
      </c>
      <c r="D200" s="83" t="s">
        <v>512</v>
      </c>
      <c r="E200" s="88" t="s">
        <v>67</v>
      </c>
      <c r="F200" s="83" t="s">
        <v>421</v>
      </c>
      <c r="G200" s="83" t="s">
        <v>30</v>
      </c>
      <c r="H200" s="83" t="s">
        <v>1317</v>
      </c>
      <c r="I200" s="88"/>
      <c r="J200" s="88" t="s">
        <v>463</v>
      </c>
      <c r="K200" s="83" t="s">
        <v>1318</v>
      </c>
      <c r="L200" s="83" t="s">
        <v>1272</v>
      </c>
      <c r="M200" s="83" t="s">
        <v>1319</v>
      </c>
      <c r="N200" s="206" t="str">
        <f>VLOOKUP($A200,'CCRA3 Risks'!$A:$R,2,FALSE)</f>
        <v>N6 Risks to and opportunities for agricultural and forestry productivity from extreme events and changing climatic conditions (including temperature change, water scarcity, wildfire, flooding, coastal erosion, wind and saline intrusion).</v>
      </c>
      <c r="O200" s="206" t="str">
        <f>VLOOKUP($A200,'CCRA3 Risks'!$A:$R,3,FALSE)</f>
        <v>Yes</v>
      </c>
      <c r="P200" s="207">
        <f>VLOOKUP($A200,'CCRA3 Risks'!$A:$R,4,FALSE)</f>
        <v>3</v>
      </c>
      <c r="Q200" s="206" t="str">
        <f>VLOOKUP($A200,'CCRA3 Risks'!$A:$R,7,FALSE)</f>
        <v>England</v>
      </c>
      <c r="R200" s="206" t="str">
        <f>VLOOKUP($A200,'CCRA3 Risks'!$A:$R,8,FALSE)</f>
        <v>Medium</v>
      </c>
      <c r="S200" s="206" t="str">
        <f>VLOOKUP($A200,'CCRA3 Risks'!$A:$R,9,FALSE)</f>
        <v>High</v>
      </c>
      <c r="T200" s="206" t="str">
        <f>VLOOKUP($A200,'CCRA3 Risks'!$A:$R,10,FALSE)</f>
        <v>High</v>
      </c>
      <c r="U200" s="206" t="str">
        <f>VLOOKUP($A200,'CCRA3 Risks'!$A:$R,11,FALSE)</f>
        <v>High</v>
      </c>
      <c r="V200" s="206" t="str">
        <f>VLOOKUP($A200,'CCRA3 Risks'!$A:$R,12,FALSE)</f>
        <v>High</v>
      </c>
      <c r="W200" s="206" t="str">
        <f>VLOOKUP($A200,'CCRA3 Risks'!$A:$R,13,FALSE)</f>
        <v>Very partially</v>
      </c>
      <c r="X200" s="206" t="str">
        <f>VLOOKUP($A200,'CCRA3 Risks'!$A:$R,14,FALSE)</f>
        <v>More action needed</v>
      </c>
      <c r="Y200" s="206" t="str">
        <f>VLOOKUP($A200,'CCRA3 Risks'!$A:$R,15,FALSE)</f>
        <v>More action needed</v>
      </c>
      <c r="Z200" s="206" t="str">
        <f>VLOOKUP($A200,'CCRA3 Risks'!$A:$R,16,FALSE)</f>
        <v>Low (1)</v>
      </c>
      <c r="AA200" s="206" t="str">
        <f>VLOOKUP($A200,'CCRA3 Risks'!$A:$R,17,FALSE)</f>
        <v>Low (Red)</v>
      </c>
      <c r="AB200" s="206" t="str">
        <f>VLOOKUP($A200,'CCRA3 Risks'!$A:$R,18,FALSE)</f>
        <v>High (Net Zero, new land management and rural support schemes, Environment and nature recovery policy)</v>
      </c>
      <c r="AC200" s="202">
        <f>VLOOKUP($A200,'CCRA3 Risks'!$A:$AG,19,FALSE)</f>
        <v>0</v>
      </c>
      <c r="AD200" s="123" t="str">
        <f>VLOOKUP($A200,'CCRA3 Risks'!$A:$AG,20,FALSE)</f>
        <v>Y</v>
      </c>
      <c r="AE200" s="123">
        <f>VLOOKUP($A200,'CCRA3 Risks'!$A:$AG,21,FALSE)</f>
        <v>0</v>
      </c>
      <c r="AF200" s="123">
        <f>VLOOKUP($A200,'CCRA3 Risks'!$A:$AG,22,FALSE)</f>
        <v>0</v>
      </c>
      <c r="AG200" s="123">
        <f>VLOOKUP($A200,'CCRA3 Risks'!$A:$AG,23,FALSE)</f>
        <v>0</v>
      </c>
      <c r="AH200" s="123">
        <f>VLOOKUP($A200,'CCRA3 Risks'!$A:$AG,24,FALSE)</f>
        <v>0</v>
      </c>
      <c r="AI200" s="123">
        <f>VLOOKUP($A200,'CCRA3 Risks'!$A:$AG,25,FALSE)</f>
        <v>0</v>
      </c>
      <c r="AJ200" s="123">
        <f>VLOOKUP($A200,'CCRA3 Risks'!$A:$AG,26,FALSE)</f>
        <v>0</v>
      </c>
      <c r="AK200" s="123">
        <f>VLOOKUP($A200,'CCRA3 Risks'!$A:$AG,27,FALSE)</f>
        <v>0</v>
      </c>
      <c r="AL200" s="123">
        <f>VLOOKUP($A200,'CCRA3 Risks'!$A:$AG,28,FALSE)</f>
        <v>0</v>
      </c>
      <c r="AM200" s="123">
        <f>VLOOKUP($A200,'CCRA3 Risks'!$A:$AG,29,FALSE)</f>
        <v>0</v>
      </c>
      <c r="AN200" s="123">
        <f>VLOOKUP($A200,'CCRA3 Risks'!$A:$AG,30,FALSE)</f>
        <v>0</v>
      </c>
      <c r="AO200" s="123">
        <f>VLOOKUP($A200,'CCRA3 Risks'!$A:$AG,31,FALSE)</f>
        <v>0</v>
      </c>
      <c r="AP200" s="123">
        <f>VLOOKUP($A200,'CCRA3 Risks'!$A:$AG,32,FALSE)</f>
        <v>0</v>
      </c>
      <c r="AQ200" s="123">
        <f>VLOOKUP($A200,'CCRA3 Risks'!$A:$AG,33,FALSE)</f>
        <v>0</v>
      </c>
    </row>
    <row r="201" spans="1:43" ht="76.5" x14ac:dyDescent="0.25">
      <c r="A201" s="88" t="s">
        <v>340</v>
      </c>
      <c r="B201" s="88" t="s">
        <v>1320</v>
      </c>
      <c r="C201" s="83" t="s">
        <v>1321</v>
      </c>
      <c r="D201" s="83" t="s">
        <v>403</v>
      </c>
      <c r="E201" s="88" t="s">
        <v>67</v>
      </c>
      <c r="F201" s="83" t="s">
        <v>421</v>
      </c>
      <c r="G201" s="83" t="s">
        <v>53</v>
      </c>
      <c r="H201" s="82" t="s">
        <v>1322</v>
      </c>
      <c r="I201" s="88"/>
      <c r="J201" s="88" t="s">
        <v>417</v>
      </c>
      <c r="K201" s="83" t="s">
        <v>1323</v>
      </c>
      <c r="L201" s="83" t="s">
        <v>1272</v>
      </c>
      <c r="M201" s="83" t="s">
        <v>1287</v>
      </c>
      <c r="N201" s="206" t="str">
        <f>VLOOKUP($A201,'CCRA3 Risks'!$A:$R,2,FALSE)</f>
        <v>N6 Risks to and opportunities for agricultural and forestry productivity from extreme events and changing climatic conditions (including temperature change, water scarcity, wildfire, flooding, coastal erosion, wind and saline intrusion).</v>
      </c>
      <c r="O201" s="206" t="str">
        <f>VLOOKUP($A201,'CCRA3 Risks'!$A:$R,3,FALSE)</f>
        <v>Yes</v>
      </c>
      <c r="P201" s="207">
        <f>VLOOKUP($A201,'CCRA3 Risks'!$A:$R,4,FALSE)</f>
        <v>3</v>
      </c>
      <c r="Q201" s="206" t="str">
        <f>VLOOKUP($A201,'CCRA3 Risks'!$A:$R,7,FALSE)</f>
        <v>England</v>
      </c>
      <c r="R201" s="206" t="str">
        <f>VLOOKUP($A201,'CCRA3 Risks'!$A:$R,8,FALSE)</f>
        <v>Medium</v>
      </c>
      <c r="S201" s="206" t="str">
        <f>VLOOKUP($A201,'CCRA3 Risks'!$A:$R,9,FALSE)</f>
        <v>High</v>
      </c>
      <c r="T201" s="206" t="str">
        <f>VLOOKUP($A201,'CCRA3 Risks'!$A:$R,10,FALSE)</f>
        <v>High</v>
      </c>
      <c r="U201" s="206" t="str">
        <f>VLOOKUP($A201,'CCRA3 Risks'!$A:$R,11,FALSE)</f>
        <v>High</v>
      </c>
      <c r="V201" s="206" t="str">
        <f>VLOOKUP($A201,'CCRA3 Risks'!$A:$R,12,FALSE)</f>
        <v>High</v>
      </c>
      <c r="W201" s="206" t="str">
        <f>VLOOKUP($A201,'CCRA3 Risks'!$A:$R,13,FALSE)</f>
        <v>Very partially</v>
      </c>
      <c r="X201" s="206" t="str">
        <f>VLOOKUP($A201,'CCRA3 Risks'!$A:$R,14,FALSE)</f>
        <v>More action needed</v>
      </c>
      <c r="Y201" s="206" t="str">
        <f>VLOOKUP($A201,'CCRA3 Risks'!$A:$R,15,FALSE)</f>
        <v>More action needed</v>
      </c>
      <c r="Z201" s="206" t="str">
        <f>VLOOKUP($A201,'CCRA3 Risks'!$A:$R,16,FALSE)</f>
        <v>Low (1)</v>
      </c>
      <c r="AA201" s="206" t="str">
        <f>VLOOKUP($A201,'CCRA3 Risks'!$A:$R,17,FALSE)</f>
        <v>Low (Red)</v>
      </c>
      <c r="AB201" s="206" t="str">
        <f>VLOOKUP($A201,'CCRA3 Risks'!$A:$R,18,FALSE)</f>
        <v>High (Net Zero, new land management and rural support schemes, Environment and nature recovery policy)</v>
      </c>
      <c r="AC201" s="202">
        <f>VLOOKUP($A201,'CCRA3 Risks'!$A:$AG,19,FALSE)</f>
        <v>0</v>
      </c>
      <c r="AD201" s="123" t="str">
        <f>VLOOKUP($A201,'CCRA3 Risks'!$A:$AG,20,FALSE)</f>
        <v>Y</v>
      </c>
      <c r="AE201" s="123">
        <f>VLOOKUP($A201,'CCRA3 Risks'!$A:$AG,21,FALSE)</f>
        <v>0</v>
      </c>
      <c r="AF201" s="123">
        <f>VLOOKUP($A201,'CCRA3 Risks'!$A:$AG,22,FALSE)</f>
        <v>0</v>
      </c>
      <c r="AG201" s="123">
        <f>VLOOKUP($A201,'CCRA3 Risks'!$A:$AG,23,FALSE)</f>
        <v>0</v>
      </c>
      <c r="AH201" s="123">
        <f>VLOOKUP($A201,'CCRA3 Risks'!$A:$AG,24,FALSE)</f>
        <v>0</v>
      </c>
      <c r="AI201" s="123">
        <f>VLOOKUP($A201,'CCRA3 Risks'!$A:$AG,25,FALSE)</f>
        <v>0</v>
      </c>
      <c r="AJ201" s="123">
        <f>VLOOKUP($A201,'CCRA3 Risks'!$A:$AG,26,FALSE)</f>
        <v>0</v>
      </c>
      <c r="AK201" s="123">
        <f>VLOOKUP($A201,'CCRA3 Risks'!$A:$AG,27,FALSE)</f>
        <v>0</v>
      </c>
      <c r="AL201" s="123">
        <f>VLOOKUP($A201,'CCRA3 Risks'!$A:$AG,28,FALSE)</f>
        <v>0</v>
      </c>
      <c r="AM201" s="123">
        <f>VLOOKUP($A201,'CCRA3 Risks'!$A:$AG,29,FALSE)</f>
        <v>0</v>
      </c>
      <c r="AN201" s="123">
        <f>VLOOKUP($A201,'CCRA3 Risks'!$A:$AG,30,FALSE)</f>
        <v>0</v>
      </c>
      <c r="AO201" s="123">
        <f>VLOOKUP($A201,'CCRA3 Risks'!$A:$AG,31,FALSE)</f>
        <v>0</v>
      </c>
      <c r="AP201" s="123">
        <f>VLOOKUP($A201,'CCRA3 Risks'!$A:$AG,32,FALSE)</f>
        <v>0</v>
      </c>
      <c r="AQ201" s="123">
        <f>VLOOKUP($A201,'CCRA3 Risks'!$A:$AG,33,FALSE)</f>
        <v>0</v>
      </c>
    </row>
    <row r="202" spans="1:43" ht="299.10000000000002" customHeight="1" x14ac:dyDescent="0.25">
      <c r="A202" s="88" t="s">
        <v>340</v>
      </c>
      <c r="B202" s="88" t="s">
        <v>1324</v>
      </c>
      <c r="C202" s="83" t="s">
        <v>1325</v>
      </c>
      <c r="D202" s="83" t="s">
        <v>461</v>
      </c>
      <c r="E202" s="88" t="s">
        <v>67</v>
      </c>
      <c r="F202" s="83" t="s">
        <v>33</v>
      </c>
      <c r="G202" s="83" t="s">
        <v>30</v>
      </c>
      <c r="H202" s="83" t="s">
        <v>1326</v>
      </c>
      <c r="I202" s="88"/>
      <c r="J202" s="88" t="s">
        <v>463</v>
      </c>
      <c r="K202" s="83" t="s">
        <v>1327</v>
      </c>
      <c r="L202" s="83" t="s">
        <v>1272</v>
      </c>
      <c r="M202" s="83" t="s">
        <v>1305</v>
      </c>
      <c r="N202" s="206" t="str">
        <f>VLOOKUP($A202,'CCRA3 Risks'!$A:$R,2,FALSE)</f>
        <v>N6 Risks to and opportunities for agricultural and forestry productivity from extreme events and changing climatic conditions (including temperature change, water scarcity, wildfire, flooding, coastal erosion, wind and saline intrusion).</v>
      </c>
      <c r="O202" s="206" t="str">
        <f>VLOOKUP($A202,'CCRA3 Risks'!$A:$R,3,FALSE)</f>
        <v>Yes</v>
      </c>
      <c r="P202" s="207">
        <f>VLOOKUP($A202,'CCRA3 Risks'!$A:$R,4,FALSE)</f>
        <v>3</v>
      </c>
      <c r="Q202" s="206" t="str">
        <f>VLOOKUP($A202,'CCRA3 Risks'!$A:$R,7,FALSE)</f>
        <v>England</v>
      </c>
      <c r="R202" s="206" t="str">
        <f>VLOOKUP($A202,'CCRA3 Risks'!$A:$R,8,FALSE)</f>
        <v>Medium</v>
      </c>
      <c r="S202" s="206" t="str">
        <f>VLOOKUP($A202,'CCRA3 Risks'!$A:$R,9,FALSE)</f>
        <v>High</v>
      </c>
      <c r="T202" s="206" t="str">
        <f>VLOOKUP($A202,'CCRA3 Risks'!$A:$R,10,FALSE)</f>
        <v>High</v>
      </c>
      <c r="U202" s="206" t="str">
        <f>VLOOKUP($A202,'CCRA3 Risks'!$A:$R,11,FALSE)</f>
        <v>High</v>
      </c>
      <c r="V202" s="206" t="str">
        <f>VLOOKUP($A202,'CCRA3 Risks'!$A:$R,12,FALSE)</f>
        <v>High</v>
      </c>
      <c r="W202" s="206" t="str">
        <f>VLOOKUP($A202,'CCRA3 Risks'!$A:$R,13,FALSE)</f>
        <v>Very partially</v>
      </c>
      <c r="X202" s="206" t="str">
        <f>VLOOKUP($A202,'CCRA3 Risks'!$A:$R,14,FALSE)</f>
        <v>More action needed</v>
      </c>
      <c r="Y202" s="206" t="str">
        <f>VLOOKUP($A202,'CCRA3 Risks'!$A:$R,15,FALSE)</f>
        <v>More action needed</v>
      </c>
      <c r="Z202" s="206" t="str">
        <f>VLOOKUP($A202,'CCRA3 Risks'!$A:$R,16,FALSE)</f>
        <v>Low (1)</v>
      </c>
      <c r="AA202" s="206" t="str">
        <f>VLOOKUP($A202,'CCRA3 Risks'!$A:$R,17,FALSE)</f>
        <v>Low (Red)</v>
      </c>
      <c r="AB202" s="206" t="str">
        <f>VLOOKUP($A202,'CCRA3 Risks'!$A:$R,18,FALSE)</f>
        <v>High (Net Zero, new land management and rural support schemes, Environment and nature recovery policy)</v>
      </c>
      <c r="AC202" s="202">
        <f>VLOOKUP($A202,'CCRA3 Risks'!$A:$AG,19,FALSE)</f>
        <v>0</v>
      </c>
      <c r="AD202" s="123" t="str">
        <f>VLOOKUP($A202,'CCRA3 Risks'!$A:$AG,20,FALSE)</f>
        <v>Y</v>
      </c>
      <c r="AE202" s="123">
        <f>VLOOKUP($A202,'CCRA3 Risks'!$A:$AG,21,FALSE)</f>
        <v>0</v>
      </c>
      <c r="AF202" s="123">
        <f>VLOOKUP($A202,'CCRA3 Risks'!$A:$AG,22,FALSE)</f>
        <v>0</v>
      </c>
      <c r="AG202" s="123">
        <f>VLOOKUP($A202,'CCRA3 Risks'!$A:$AG,23,FALSE)</f>
        <v>0</v>
      </c>
      <c r="AH202" s="123">
        <f>VLOOKUP($A202,'CCRA3 Risks'!$A:$AG,24,FALSE)</f>
        <v>0</v>
      </c>
      <c r="AI202" s="123">
        <f>VLOOKUP($A202,'CCRA3 Risks'!$A:$AG,25,FALSE)</f>
        <v>0</v>
      </c>
      <c r="AJ202" s="123">
        <f>VLOOKUP($A202,'CCRA3 Risks'!$A:$AG,26,FALSE)</f>
        <v>0</v>
      </c>
      <c r="AK202" s="123">
        <f>VLOOKUP($A202,'CCRA3 Risks'!$A:$AG,27,FALSE)</f>
        <v>0</v>
      </c>
      <c r="AL202" s="123">
        <f>VLOOKUP($A202,'CCRA3 Risks'!$A:$AG,28,FALSE)</f>
        <v>0</v>
      </c>
      <c r="AM202" s="123">
        <f>VLOOKUP($A202,'CCRA3 Risks'!$A:$AG,29,FALSE)</f>
        <v>0</v>
      </c>
      <c r="AN202" s="123">
        <f>VLOOKUP($A202,'CCRA3 Risks'!$A:$AG,30,FALSE)</f>
        <v>0</v>
      </c>
      <c r="AO202" s="123">
        <f>VLOOKUP($A202,'CCRA3 Risks'!$A:$AG,31,FALSE)</f>
        <v>0</v>
      </c>
      <c r="AP202" s="123">
        <f>VLOOKUP($A202,'CCRA3 Risks'!$A:$AG,32,FALSE)</f>
        <v>0</v>
      </c>
      <c r="AQ202" s="123">
        <f>VLOOKUP($A202,'CCRA3 Risks'!$A:$AG,33,FALSE)</f>
        <v>0</v>
      </c>
    </row>
    <row r="203" spans="1:43" ht="89.25" x14ac:dyDescent="0.25">
      <c r="A203" s="88" t="s">
        <v>340</v>
      </c>
      <c r="B203" s="88" t="s">
        <v>1328</v>
      </c>
      <c r="C203" s="83" t="s">
        <v>1329</v>
      </c>
      <c r="D203" s="83" t="s">
        <v>461</v>
      </c>
      <c r="E203" s="88" t="s">
        <v>67</v>
      </c>
      <c r="F203" s="83" t="s">
        <v>33</v>
      </c>
      <c r="G203" s="83" t="s">
        <v>20</v>
      </c>
      <c r="H203" s="83" t="s">
        <v>1330</v>
      </c>
      <c r="I203" s="88"/>
      <c r="J203" s="88" t="s">
        <v>398</v>
      </c>
      <c r="K203" s="83" t="s">
        <v>1331</v>
      </c>
      <c r="L203" s="83" t="s">
        <v>1272</v>
      </c>
      <c r="M203" s="83" t="s">
        <v>1287</v>
      </c>
      <c r="N203" s="206" t="str">
        <f>VLOOKUP($A203,'CCRA3 Risks'!$A:$R,2,FALSE)</f>
        <v>N6 Risks to and opportunities for agricultural and forestry productivity from extreme events and changing climatic conditions (including temperature change, water scarcity, wildfire, flooding, coastal erosion, wind and saline intrusion).</v>
      </c>
      <c r="O203" s="206" t="str">
        <f>VLOOKUP($A203,'CCRA3 Risks'!$A:$R,3,FALSE)</f>
        <v>Yes</v>
      </c>
      <c r="P203" s="207">
        <f>VLOOKUP($A203,'CCRA3 Risks'!$A:$R,4,FALSE)</f>
        <v>3</v>
      </c>
      <c r="Q203" s="206" t="str">
        <f>VLOOKUP($A203,'CCRA3 Risks'!$A:$R,7,FALSE)</f>
        <v>England</v>
      </c>
      <c r="R203" s="206" t="str">
        <f>VLOOKUP($A203,'CCRA3 Risks'!$A:$R,8,FALSE)</f>
        <v>Medium</v>
      </c>
      <c r="S203" s="206" t="str">
        <f>VLOOKUP($A203,'CCRA3 Risks'!$A:$R,9,FALSE)</f>
        <v>High</v>
      </c>
      <c r="T203" s="206" t="str">
        <f>VLOOKUP($A203,'CCRA3 Risks'!$A:$R,10,FALSE)</f>
        <v>High</v>
      </c>
      <c r="U203" s="206" t="str">
        <f>VLOOKUP($A203,'CCRA3 Risks'!$A:$R,11,FALSE)</f>
        <v>High</v>
      </c>
      <c r="V203" s="206" t="str">
        <f>VLOOKUP($A203,'CCRA3 Risks'!$A:$R,12,FALSE)</f>
        <v>High</v>
      </c>
      <c r="W203" s="206" t="str">
        <f>VLOOKUP($A203,'CCRA3 Risks'!$A:$R,13,FALSE)</f>
        <v>Very partially</v>
      </c>
      <c r="X203" s="206" t="str">
        <f>VLOOKUP($A203,'CCRA3 Risks'!$A:$R,14,FALSE)</f>
        <v>More action needed</v>
      </c>
      <c r="Y203" s="206" t="str">
        <f>VLOOKUP($A203,'CCRA3 Risks'!$A:$R,15,FALSE)</f>
        <v>More action needed</v>
      </c>
      <c r="Z203" s="206" t="str">
        <f>VLOOKUP($A203,'CCRA3 Risks'!$A:$R,16,FALSE)</f>
        <v>Low (1)</v>
      </c>
      <c r="AA203" s="206" t="str">
        <f>VLOOKUP($A203,'CCRA3 Risks'!$A:$R,17,FALSE)</f>
        <v>Low (Red)</v>
      </c>
      <c r="AB203" s="206" t="str">
        <f>VLOOKUP($A203,'CCRA3 Risks'!$A:$R,18,FALSE)</f>
        <v>High (Net Zero, new land management and rural support schemes, Environment and nature recovery policy)</v>
      </c>
      <c r="AC203" s="202">
        <f>VLOOKUP($A203,'CCRA3 Risks'!$A:$AG,19,FALSE)</f>
        <v>0</v>
      </c>
      <c r="AD203" s="123" t="str">
        <f>VLOOKUP($A203,'CCRA3 Risks'!$A:$AG,20,FALSE)</f>
        <v>Y</v>
      </c>
      <c r="AE203" s="123">
        <f>VLOOKUP($A203,'CCRA3 Risks'!$A:$AG,21,FALSE)</f>
        <v>0</v>
      </c>
      <c r="AF203" s="123">
        <f>VLOOKUP($A203,'CCRA3 Risks'!$A:$AG,22,FALSE)</f>
        <v>0</v>
      </c>
      <c r="AG203" s="123">
        <f>VLOOKUP($A203,'CCRA3 Risks'!$A:$AG,23,FALSE)</f>
        <v>0</v>
      </c>
      <c r="AH203" s="123">
        <f>VLOOKUP($A203,'CCRA3 Risks'!$A:$AG,24,FALSE)</f>
        <v>0</v>
      </c>
      <c r="AI203" s="123">
        <f>VLOOKUP($A203,'CCRA3 Risks'!$A:$AG,25,FALSE)</f>
        <v>0</v>
      </c>
      <c r="AJ203" s="123">
        <f>VLOOKUP($A203,'CCRA3 Risks'!$A:$AG,26,FALSE)</f>
        <v>0</v>
      </c>
      <c r="AK203" s="123">
        <f>VLOOKUP($A203,'CCRA3 Risks'!$A:$AG,27,FALSE)</f>
        <v>0</v>
      </c>
      <c r="AL203" s="123">
        <f>VLOOKUP($A203,'CCRA3 Risks'!$A:$AG,28,FALSE)</f>
        <v>0</v>
      </c>
      <c r="AM203" s="123">
        <f>VLOOKUP($A203,'CCRA3 Risks'!$A:$AG,29,FALSE)</f>
        <v>0</v>
      </c>
      <c r="AN203" s="123">
        <f>VLOOKUP($A203,'CCRA3 Risks'!$A:$AG,30,FALSE)</f>
        <v>0</v>
      </c>
      <c r="AO203" s="123">
        <f>VLOOKUP($A203,'CCRA3 Risks'!$A:$AG,31,FALSE)</f>
        <v>0</v>
      </c>
      <c r="AP203" s="123">
        <f>VLOOKUP($A203,'CCRA3 Risks'!$A:$AG,32,FALSE)</f>
        <v>0</v>
      </c>
      <c r="AQ203" s="123">
        <f>VLOOKUP($A203,'CCRA3 Risks'!$A:$AG,33,FALSE)</f>
        <v>0</v>
      </c>
    </row>
    <row r="204" spans="1:43" ht="110.1" customHeight="1" x14ac:dyDescent="0.25">
      <c r="A204" s="88" t="s">
        <v>340</v>
      </c>
      <c r="B204" s="88" t="s">
        <v>1332</v>
      </c>
      <c r="C204" s="83" t="s">
        <v>1333</v>
      </c>
      <c r="D204" s="83" t="s">
        <v>403</v>
      </c>
      <c r="E204" s="88" t="s">
        <v>67</v>
      </c>
      <c r="F204" s="83" t="s">
        <v>421</v>
      </c>
      <c r="G204" s="83" t="s">
        <v>30</v>
      </c>
      <c r="H204" s="83" t="s">
        <v>1334</v>
      </c>
      <c r="I204" s="88"/>
      <c r="J204" s="88" t="s">
        <v>398</v>
      </c>
      <c r="K204" s="83" t="s">
        <v>1335</v>
      </c>
      <c r="L204" s="83" t="s">
        <v>1272</v>
      </c>
      <c r="M204" s="83" t="s">
        <v>1336</v>
      </c>
      <c r="N204" s="206" t="str">
        <f>VLOOKUP($A204,'CCRA3 Risks'!$A:$R,2,FALSE)</f>
        <v>N6 Risks to and opportunities for agricultural and forestry productivity from extreme events and changing climatic conditions (including temperature change, water scarcity, wildfire, flooding, coastal erosion, wind and saline intrusion).</v>
      </c>
      <c r="O204" s="206" t="str">
        <f>VLOOKUP($A204,'CCRA3 Risks'!$A:$R,3,FALSE)</f>
        <v>Yes</v>
      </c>
      <c r="P204" s="207">
        <f>VLOOKUP($A204,'CCRA3 Risks'!$A:$R,4,FALSE)</f>
        <v>3</v>
      </c>
      <c r="Q204" s="206" t="str">
        <f>VLOOKUP($A204,'CCRA3 Risks'!$A:$R,7,FALSE)</f>
        <v>England</v>
      </c>
      <c r="R204" s="206" t="str">
        <f>VLOOKUP($A204,'CCRA3 Risks'!$A:$R,8,FALSE)</f>
        <v>Medium</v>
      </c>
      <c r="S204" s="206" t="str">
        <f>VLOOKUP($A204,'CCRA3 Risks'!$A:$R,9,FALSE)</f>
        <v>High</v>
      </c>
      <c r="T204" s="206" t="str">
        <f>VLOOKUP($A204,'CCRA3 Risks'!$A:$R,10,FALSE)</f>
        <v>High</v>
      </c>
      <c r="U204" s="206" t="str">
        <f>VLOOKUP($A204,'CCRA3 Risks'!$A:$R,11,FALSE)</f>
        <v>High</v>
      </c>
      <c r="V204" s="206" t="str">
        <f>VLOOKUP($A204,'CCRA3 Risks'!$A:$R,12,FALSE)</f>
        <v>High</v>
      </c>
      <c r="W204" s="206" t="str">
        <f>VLOOKUP($A204,'CCRA3 Risks'!$A:$R,13,FALSE)</f>
        <v>Very partially</v>
      </c>
      <c r="X204" s="206" t="str">
        <f>VLOOKUP($A204,'CCRA3 Risks'!$A:$R,14,FALSE)</f>
        <v>More action needed</v>
      </c>
      <c r="Y204" s="206" t="str">
        <f>VLOOKUP($A204,'CCRA3 Risks'!$A:$R,15,FALSE)</f>
        <v>More action needed</v>
      </c>
      <c r="Z204" s="206" t="str">
        <f>VLOOKUP($A204,'CCRA3 Risks'!$A:$R,16,FALSE)</f>
        <v>Low (1)</v>
      </c>
      <c r="AA204" s="206" t="str">
        <f>VLOOKUP($A204,'CCRA3 Risks'!$A:$R,17,FALSE)</f>
        <v>Low (Red)</v>
      </c>
      <c r="AB204" s="206" t="str">
        <f>VLOOKUP($A204,'CCRA3 Risks'!$A:$R,18,FALSE)</f>
        <v>High (Net Zero, new land management and rural support schemes, Environment and nature recovery policy)</v>
      </c>
      <c r="AC204" s="202">
        <f>VLOOKUP($A204,'CCRA3 Risks'!$A:$AG,19,FALSE)</f>
        <v>0</v>
      </c>
      <c r="AD204" s="123" t="str">
        <f>VLOOKUP($A204,'CCRA3 Risks'!$A:$AG,20,FALSE)</f>
        <v>Y</v>
      </c>
      <c r="AE204" s="123">
        <f>VLOOKUP($A204,'CCRA3 Risks'!$A:$AG,21,FALSE)</f>
        <v>0</v>
      </c>
      <c r="AF204" s="123">
        <f>VLOOKUP($A204,'CCRA3 Risks'!$A:$AG,22,FALSE)</f>
        <v>0</v>
      </c>
      <c r="AG204" s="123">
        <f>VLOOKUP($A204,'CCRA3 Risks'!$A:$AG,23,FALSE)</f>
        <v>0</v>
      </c>
      <c r="AH204" s="123">
        <f>VLOOKUP($A204,'CCRA3 Risks'!$A:$AG,24,FALSE)</f>
        <v>0</v>
      </c>
      <c r="AI204" s="123">
        <f>VLOOKUP($A204,'CCRA3 Risks'!$A:$AG,25,FALSE)</f>
        <v>0</v>
      </c>
      <c r="AJ204" s="123">
        <f>VLOOKUP($A204,'CCRA3 Risks'!$A:$AG,26,FALSE)</f>
        <v>0</v>
      </c>
      <c r="AK204" s="123">
        <f>VLOOKUP($A204,'CCRA3 Risks'!$A:$AG,27,FALSE)</f>
        <v>0</v>
      </c>
      <c r="AL204" s="123">
        <f>VLOOKUP($A204,'CCRA3 Risks'!$A:$AG,28,FALSE)</f>
        <v>0</v>
      </c>
      <c r="AM204" s="123">
        <f>VLOOKUP($A204,'CCRA3 Risks'!$A:$AG,29,FALSE)</f>
        <v>0</v>
      </c>
      <c r="AN204" s="123">
        <f>VLOOKUP($A204,'CCRA3 Risks'!$A:$AG,30,FALSE)</f>
        <v>0</v>
      </c>
      <c r="AO204" s="123">
        <f>VLOOKUP($A204,'CCRA3 Risks'!$A:$AG,31,FALSE)</f>
        <v>0</v>
      </c>
      <c r="AP204" s="123">
        <f>VLOOKUP($A204,'CCRA3 Risks'!$A:$AG,32,FALSE)</f>
        <v>0</v>
      </c>
      <c r="AQ204" s="123">
        <f>VLOOKUP($A204,'CCRA3 Risks'!$A:$AG,33,FALSE)</f>
        <v>0</v>
      </c>
    </row>
    <row r="205" spans="1:43" ht="303" customHeight="1" x14ac:dyDescent="0.25">
      <c r="A205" s="88" t="s">
        <v>343</v>
      </c>
      <c r="B205" s="88" t="s">
        <v>1337</v>
      </c>
      <c r="C205" s="83" t="s">
        <v>1338</v>
      </c>
      <c r="D205" s="83" t="s">
        <v>461</v>
      </c>
      <c r="E205" s="88" t="s">
        <v>67</v>
      </c>
      <c r="F205" s="83" t="s">
        <v>421</v>
      </c>
      <c r="G205" s="83" t="s">
        <v>53</v>
      </c>
      <c r="H205" s="83" t="s">
        <v>1339</v>
      </c>
      <c r="I205" s="88"/>
      <c r="J205" s="88" t="s">
        <v>398</v>
      </c>
      <c r="K205" s="83" t="s">
        <v>1340</v>
      </c>
      <c r="L205" s="88" t="s">
        <v>480</v>
      </c>
      <c r="M205" s="83" t="s">
        <v>1341</v>
      </c>
      <c r="N205" s="206" t="str">
        <f>VLOOKUP($A205,'CCRA3 Risks'!$A:$R,2,FALSE)</f>
        <v>N7 Risks to agriculture from pests, pathogens and invasive species</v>
      </c>
      <c r="O205" s="206" t="str">
        <f>VLOOKUP($A205,'CCRA3 Risks'!$A:$R,3,FALSE)</f>
        <v>Yes</v>
      </c>
      <c r="P205" s="207">
        <f>VLOOKUP($A205,'CCRA3 Risks'!$A:$R,4,FALSE)</f>
        <v>3</v>
      </c>
      <c r="Q205" s="206" t="str">
        <f>VLOOKUP($A205,'CCRA3 Risks'!$A:$R,7,FALSE)</f>
        <v>England</v>
      </c>
      <c r="R205" s="206" t="str">
        <f>VLOOKUP($A205,'CCRA3 Risks'!$A:$R,8,FALSE)</f>
        <v>Medium</v>
      </c>
      <c r="S205" s="206" t="str">
        <f>VLOOKUP($A205,'CCRA3 Risks'!$A:$R,9,FALSE)</f>
        <v>High</v>
      </c>
      <c r="T205" s="206" t="str">
        <f>VLOOKUP($A205,'CCRA3 Risks'!$A:$R,10,FALSE)</f>
        <v>High</v>
      </c>
      <c r="U205" s="206" t="str">
        <f>VLOOKUP($A205,'CCRA3 Risks'!$A:$R,11,FALSE)</f>
        <v>High</v>
      </c>
      <c r="V205" s="206" t="str">
        <f>VLOOKUP($A205,'CCRA3 Risks'!$A:$R,12,FALSE)</f>
        <v>High</v>
      </c>
      <c r="W205" s="206" t="str">
        <f>VLOOKUP($A205,'CCRA3 Risks'!$A:$R,13,FALSE)</f>
        <v>Partially</v>
      </c>
      <c r="X205" s="206" t="str">
        <f>VLOOKUP($A205,'CCRA3 Risks'!$A:$R,14,FALSE)</f>
        <v>More action needed</v>
      </c>
      <c r="Y205" s="206" t="str">
        <f>VLOOKUP($A205,'CCRA3 Risks'!$A:$R,15,FALSE)</f>
        <v>More action needed</v>
      </c>
      <c r="Z205" s="206" t="str">
        <f>VLOOKUP($A205,'CCRA3 Risks'!$A:$R,16,FALSE)</f>
        <v>Low (1)</v>
      </c>
      <c r="AA205" s="206" t="str">
        <f>VLOOKUP($A205,'CCRA3 Risks'!$A:$R,17,FALSE)</f>
        <v>Low (Red)</v>
      </c>
      <c r="AB205" s="206" t="str">
        <f>VLOOKUP($A205,'CCRA3 Risks'!$A:$R,18,FALSE)</f>
        <v>High (New land management and rural support schemes, nature recovery policy reform)</v>
      </c>
      <c r="AC205" s="202">
        <f>VLOOKUP($A205,'CCRA3 Risks'!$A:$AG,19,FALSE)</f>
        <v>0</v>
      </c>
      <c r="AD205" s="123" t="str">
        <f>VLOOKUP($A205,'CCRA3 Risks'!$A:$AG,20,FALSE)</f>
        <v>Y</v>
      </c>
      <c r="AE205" s="123">
        <f>VLOOKUP($A205,'CCRA3 Risks'!$A:$AG,21,FALSE)</f>
        <v>0</v>
      </c>
      <c r="AF205" s="123">
        <f>VLOOKUP($A205,'CCRA3 Risks'!$A:$AG,22,FALSE)</f>
        <v>0</v>
      </c>
      <c r="AG205" s="123">
        <f>VLOOKUP($A205,'CCRA3 Risks'!$A:$AG,23,FALSE)</f>
        <v>0</v>
      </c>
      <c r="AH205" s="123">
        <f>VLOOKUP($A205,'CCRA3 Risks'!$A:$AG,24,FALSE)</f>
        <v>0</v>
      </c>
      <c r="AI205" s="123">
        <f>VLOOKUP($A205,'CCRA3 Risks'!$A:$AG,25,FALSE)</f>
        <v>0</v>
      </c>
      <c r="AJ205" s="123">
        <f>VLOOKUP($A205,'CCRA3 Risks'!$A:$AG,26,FALSE)</f>
        <v>0</v>
      </c>
      <c r="AK205" s="123">
        <f>VLOOKUP($A205,'CCRA3 Risks'!$A:$AG,27,FALSE)</f>
        <v>0</v>
      </c>
      <c r="AL205" s="123">
        <f>VLOOKUP($A205,'CCRA3 Risks'!$A:$AG,28,FALSE)</f>
        <v>0</v>
      </c>
      <c r="AM205" s="123">
        <f>VLOOKUP($A205,'CCRA3 Risks'!$A:$AG,29,FALSE)</f>
        <v>0</v>
      </c>
      <c r="AN205" s="123">
        <f>VLOOKUP($A205,'CCRA3 Risks'!$A:$AG,30,FALSE)</f>
        <v>0</v>
      </c>
      <c r="AO205" s="123">
        <f>VLOOKUP($A205,'CCRA3 Risks'!$A:$AG,31,FALSE)</f>
        <v>0</v>
      </c>
      <c r="AP205" s="123">
        <f>VLOOKUP($A205,'CCRA3 Risks'!$A:$AG,32,FALSE)</f>
        <v>0</v>
      </c>
      <c r="AQ205" s="123">
        <f>VLOOKUP($A205,'CCRA3 Risks'!$A:$AG,33,FALSE)</f>
        <v>0</v>
      </c>
    </row>
    <row r="206" spans="1:43" ht="76.5" x14ac:dyDescent="0.25">
      <c r="A206" s="88" t="s">
        <v>343</v>
      </c>
      <c r="B206" s="88" t="s">
        <v>1342</v>
      </c>
      <c r="C206" s="83" t="s">
        <v>1343</v>
      </c>
      <c r="D206" s="83" t="s">
        <v>461</v>
      </c>
      <c r="E206" s="88" t="s">
        <v>67</v>
      </c>
      <c r="F206" s="83" t="s">
        <v>396</v>
      </c>
      <c r="G206" s="83" t="s">
        <v>53</v>
      </c>
      <c r="H206" s="83" t="s">
        <v>1344</v>
      </c>
      <c r="I206" s="88"/>
      <c r="J206" s="88" t="s">
        <v>463</v>
      </c>
      <c r="K206" s="83" t="s">
        <v>1345</v>
      </c>
      <c r="L206" s="88" t="s">
        <v>480</v>
      </c>
      <c r="M206" s="88" t="s">
        <v>480</v>
      </c>
      <c r="N206" s="206" t="str">
        <f>VLOOKUP($A206,'CCRA3 Risks'!$A:$R,2,FALSE)</f>
        <v>N7 Risks to agriculture from pests, pathogens and invasive species</v>
      </c>
      <c r="O206" s="206" t="str">
        <f>VLOOKUP($A206,'CCRA3 Risks'!$A:$R,3,FALSE)</f>
        <v>Yes</v>
      </c>
      <c r="P206" s="207">
        <f>VLOOKUP($A206,'CCRA3 Risks'!$A:$R,4,FALSE)</f>
        <v>3</v>
      </c>
      <c r="Q206" s="206" t="str">
        <f>VLOOKUP($A206,'CCRA3 Risks'!$A:$R,7,FALSE)</f>
        <v>England</v>
      </c>
      <c r="R206" s="206" t="str">
        <f>VLOOKUP($A206,'CCRA3 Risks'!$A:$R,8,FALSE)</f>
        <v>Medium</v>
      </c>
      <c r="S206" s="206" t="str">
        <f>VLOOKUP($A206,'CCRA3 Risks'!$A:$R,9,FALSE)</f>
        <v>High</v>
      </c>
      <c r="T206" s="206" t="str">
        <f>VLOOKUP($A206,'CCRA3 Risks'!$A:$R,10,FALSE)</f>
        <v>High</v>
      </c>
      <c r="U206" s="206" t="str">
        <f>VLOOKUP($A206,'CCRA3 Risks'!$A:$R,11,FALSE)</f>
        <v>High</v>
      </c>
      <c r="V206" s="206" t="str">
        <f>VLOOKUP($A206,'CCRA3 Risks'!$A:$R,12,FALSE)</f>
        <v>High</v>
      </c>
      <c r="W206" s="206" t="str">
        <f>VLOOKUP($A206,'CCRA3 Risks'!$A:$R,13,FALSE)</f>
        <v>Partially</v>
      </c>
      <c r="X206" s="206" t="str">
        <f>VLOOKUP($A206,'CCRA3 Risks'!$A:$R,14,FALSE)</f>
        <v>More action needed</v>
      </c>
      <c r="Y206" s="206" t="str">
        <f>VLOOKUP($A206,'CCRA3 Risks'!$A:$R,15,FALSE)</f>
        <v>More action needed</v>
      </c>
      <c r="Z206" s="206" t="str">
        <f>VLOOKUP($A206,'CCRA3 Risks'!$A:$R,16,FALSE)</f>
        <v>Low (1)</v>
      </c>
      <c r="AA206" s="206" t="str">
        <f>VLOOKUP($A206,'CCRA3 Risks'!$A:$R,17,FALSE)</f>
        <v>Low (Red)</v>
      </c>
      <c r="AB206" s="206" t="str">
        <f>VLOOKUP($A206,'CCRA3 Risks'!$A:$R,18,FALSE)</f>
        <v>High (New land management and rural support schemes, nature recovery policy reform)</v>
      </c>
      <c r="AC206" s="202">
        <f>VLOOKUP($A206,'CCRA3 Risks'!$A:$AG,19,FALSE)</f>
        <v>0</v>
      </c>
      <c r="AD206" s="123" t="str">
        <f>VLOOKUP($A206,'CCRA3 Risks'!$A:$AG,20,FALSE)</f>
        <v>Y</v>
      </c>
      <c r="AE206" s="123">
        <f>VLOOKUP($A206,'CCRA3 Risks'!$A:$AG,21,FALSE)</f>
        <v>0</v>
      </c>
      <c r="AF206" s="123">
        <f>VLOOKUP($A206,'CCRA3 Risks'!$A:$AG,22,FALSE)</f>
        <v>0</v>
      </c>
      <c r="AG206" s="123">
        <f>VLOOKUP($A206,'CCRA3 Risks'!$A:$AG,23,FALSE)</f>
        <v>0</v>
      </c>
      <c r="AH206" s="123">
        <f>VLOOKUP($A206,'CCRA3 Risks'!$A:$AG,24,FALSE)</f>
        <v>0</v>
      </c>
      <c r="AI206" s="123">
        <f>VLOOKUP($A206,'CCRA3 Risks'!$A:$AG,25,FALSE)</f>
        <v>0</v>
      </c>
      <c r="AJ206" s="123">
        <f>VLOOKUP($A206,'CCRA3 Risks'!$A:$AG,26,FALSE)</f>
        <v>0</v>
      </c>
      <c r="AK206" s="123">
        <f>VLOOKUP($A206,'CCRA3 Risks'!$A:$AG,27,FALSE)</f>
        <v>0</v>
      </c>
      <c r="AL206" s="123">
        <f>VLOOKUP($A206,'CCRA3 Risks'!$A:$AG,28,FALSE)</f>
        <v>0</v>
      </c>
      <c r="AM206" s="123">
        <f>VLOOKUP($A206,'CCRA3 Risks'!$A:$AG,29,FALSE)</f>
        <v>0</v>
      </c>
      <c r="AN206" s="123">
        <f>VLOOKUP($A206,'CCRA3 Risks'!$A:$AG,30,FALSE)</f>
        <v>0</v>
      </c>
      <c r="AO206" s="123">
        <f>VLOOKUP($A206,'CCRA3 Risks'!$A:$AG,31,FALSE)</f>
        <v>0</v>
      </c>
      <c r="AP206" s="123">
        <f>VLOOKUP($A206,'CCRA3 Risks'!$A:$AG,32,FALSE)</f>
        <v>0</v>
      </c>
      <c r="AQ206" s="123">
        <f>VLOOKUP($A206,'CCRA3 Risks'!$A:$AG,33,FALSE)</f>
        <v>0</v>
      </c>
    </row>
    <row r="207" spans="1:43" ht="140.25" x14ac:dyDescent="0.25">
      <c r="A207" s="88" t="s">
        <v>343</v>
      </c>
      <c r="B207" s="88" t="s">
        <v>1346</v>
      </c>
      <c r="C207" s="83" t="s">
        <v>1347</v>
      </c>
      <c r="D207" s="83" t="s">
        <v>403</v>
      </c>
      <c r="E207" s="88" t="s">
        <v>67</v>
      </c>
      <c r="F207" s="83" t="s">
        <v>396</v>
      </c>
      <c r="G207" s="83" t="s">
        <v>53</v>
      </c>
      <c r="H207" s="83" t="s">
        <v>1348</v>
      </c>
      <c r="I207" s="88"/>
      <c r="J207" s="88" t="s">
        <v>405</v>
      </c>
      <c r="K207" s="83" t="s">
        <v>1349</v>
      </c>
      <c r="L207" s="88" t="s">
        <v>480</v>
      </c>
      <c r="M207" s="88" t="s">
        <v>480</v>
      </c>
      <c r="N207" s="206" t="str">
        <f>VLOOKUP($A207,'CCRA3 Risks'!$A:$R,2,FALSE)</f>
        <v>N7 Risks to agriculture from pests, pathogens and invasive species</v>
      </c>
      <c r="O207" s="206" t="str">
        <f>VLOOKUP($A207,'CCRA3 Risks'!$A:$R,3,FALSE)</f>
        <v>Yes</v>
      </c>
      <c r="P207" s="207">
        <f>VLOOKUP($A207,'CCRA3 Risks'!$A:$R,4,FALSE)</f>
        <v>3</v>
      </c>
      <c r="Q207" s="206" t="str">
        <f>VLOOKUP($A207,'CCRA3 Risks'!$A:$R,7,FALSE)</f>
        <v>England</v>
      </c>
      <c r="R207" s="206" t="str">
        <f>VLOOKUP($A207,'CCRA3 Risks'!$A:$R,8,FALSE)</f>
        <v>Medium</v>
      </c>
      <c r="S207" s="206" t="str">
        <f>VLOOKUP($A207,'CCRA3 Risks'!$A:$R,9,FALSE)</f>
        <v>High</v>
      </c>
      <c r="T207" s="206" t="str">
        <f>VLOOKUP($A207,'CCRA3 Risks'!$A:$R,10,FALSE)</f>
        <v>High</v>
      </c>
      <c r="U207" s="206" t="str">
        <f>VLOOKUP($A207,'CCRA3 Risks'!$A:$R,11,FALSE)</f>
        <v>High</v>
      </c>
      <c r="V207" s="206" t="str">
        <f>VLOOKUP($A207,'CCRA3 Risks'!$A:$R,12,FALSE)</f>
        <v>High</v>
      </c>
      <c r="W207" s="206" t="str">
        <f>VLOOKUP($A207,'CCRA3 Risks'!$A:$R,13,FALSE)</f>
        <v>Partially</v>
      </c>
      <c r="X207" s="206" t="str">
        <f>VLOOKUP($A207,'CCRA3 Risks'!$A:$R,14,FALSE)</f>
        <v>More action needed</v>
      </c>
      <c r="Y207" s="206" t="str">
        <f>VLOOKUP($A207,'CCRA3 Risks'!$A:$R,15,FALSE)</f>
        <v>More action needed</v>
      </c>
      <c r="Z207" s="206" t="str">
        <f>VLOOKUP($A207,'CCRA3 Risks'!$A:$R,16,FALSE)</f>
        <v>Low (1)</v>
      </c>
      <c r="AA207" s="206" t="str">
        <f>VLOOKUP($A207,'CCRA3 Risks'!$A:$R,17,FALSE)</f>
        <v>Low (Red)</v>
      </c>
      <c r="AB207" s="206" t="str">
        <f>VLOOKUP($A207,'CCRA3 Risks'!$A:$R,18,FALSE)</f>
        <v>High (New land management and rural support schemes, nature recovery policy reform)</v>
      </c>
      <c r="AC207" s="202">
        <f>VLOOKUP($A207,'CCRA3 Risks'!$A:$AG,19,FALSE)</f>
        <v>0</v>
      </c>
      <c r="AD207" s="123" t="str">
        <f>VLOOKUP($A207,'CCRA3 Risks'!$A:$AG,20,FALSE)</f>
        <v>Y</v>
      </c>
      <c r="AE207" s="123">
        <f>VLOOKUP($A207,'CCRA3 Risks'!$A:$AG,21,FALSE)</f>
        <v>0</v>
      </c>
      <c r="AF207" s="123">
        <f>VLOOKUP($A207,'CCRA3 Risks'!$A:$AG,22,FALSE)</f>
        <v>0</v>
      </c>
      <c r="AG207" s="123">
        <f>VLOOKUP($A207,'CCRA3 Risks'!$A:$AG,23,FALSE)</f>
        <v>0</v>
      </c>
      <c r="AH207" s="123">
        <f>VLOOKUP($A207,'CCRA3 Risks'!$A:$AG,24,FALSE)</f>
        <v>0</v>
      </c>
      <c r="AI207" s="123">
        <f>VLOOKUP($A207,'CCRA3 Risks'!$A:$AG,25,FALSE)</f>
        <v>0</v>
      </c>
      <c r="AJ207" s="123">
        <f>VLOOKUP($A207,'CCRA3 Risks'!$A:$AG,26,FALSE)</f>
        <v>0</v>
      </c>
      <c r="AK207" s="123">
        <f>VLOOKUP($A207,'CCRA3 Risks'!$A:$AG,27,FALSE)</f>
        <v>0</v>
      </c>
      <c r="AL207" s="123">
        <f>VLOOKUP($A207,'CCRA3 Risks'!$A:$AG,28,FALSE)</f>
        <v>0</v>
      </c>
      <c r="AM207" s="123">
        <f>VLOOKUP($A207,'CCRA3 Risks'!$A:$AG,29,FALSE)</f>
        <v>0</v>
      </c>
      <c r="AN207" s="123">
        <f>VLOOKUP($A207,'CCRA3 Risks'!$A:$AG,30,FALSE)</f>
        <v>0</v>
      </c>
      <c r="AO207" s="123">
        <f>VLOOKUP($A207,'CCRA3 Risks'!$A:$AG,31,FALSE)</f>
        <v>0</v>
      </c>
      <c r="AP207" s="123">
        <f>VLOOKUP($A207,'CCRA3 Risks'!$A:$AG,32,FALSE)</f>
        <v>0</v>
      </c>
      <c r="AQ207" s="123">
        <f>VLOOKUP($A207,'CCRA3 Risks'!$A:$AG,33,FALSE)</f>
        <v>0</v>
      </c>
    </row>
    <row r="208" spans="1:43" ht="38.25" x14ac:dyDescent="0.25">
      <c r="A208" s="88" t="s">
        <v>343</v>
      </c>
      <c r="B208" s="88" t="s">
        <v>1350</v>
      </c>
      <c r="C208" s="83" t="s">
        <v>1351</v>
      </c>
      <c r="D208" s="83" t="s">
        <v>403</v>
      </c>
      <c r="E208" s="88" t="s">
        <v>67</v>
      </c>
      <c r="F208" s="83" t="s">
        <v>421</v>
      </c>
      <c r="G208" s="83" t="s">
        <v>53</v>
      </c>
      <c r="H208" s="83" t="s">
        <v>1352</v>
      </c>
      <c r="I208" s="88"/>
      <c r="J208" s="88" t="s">
        <v>411</v>
      </c>
      <c r="K208" s="83" t="s">
        <v>1353</v>
      </c>
      <c r="L208" s="88" t="s">
        <v>480</v>
      </c>
      <c r="M208" s="88" t="s">
        <v>480</v>
      </c>
      <c r="N208" s="206" t="str">
        <f>VLOOKUP($A208,'CCRA3 Risks'!$A:$R,2,FALSE)</f>
        <v>N7 Risks to agriculture from pests, pathogens and invasive species</v>
      </c>
      <c r="O208" s="206" t="str">
        <f>VLOOKUP($A208,'CCRA3 Risks'!$A:$R,3,FALSE)</f>
        <v>Yes</v>
      </c>
      <c r="P208" s="207">
        <f>VLOOKUP($A208,'CCRA3 Risks'!$A:$R,4,FALSE)</f>
        <v>3</v>
      </c>
      <c r="Q208" s="206" t="str">
        <f>VLOOKUP($A208,'CCRA3 Risks'!$A:$R,7,FALSE)</f>
        <v>England</v>
      </c>
      <c r="R208" s="206" t="str">
        <f>VLOOKUP($A208,'CCRA3 Risks'!$A:$R,8,FALSE)</f>
        <v>Medium</v>
      </c>
      <c r="S208" s="206" t="str">
        <f>VLOOKUP($A208,'CCRA3 Risks'!$A:$R,9,FALSE)</f>
        <v>High</v>
      </c>
      <c r="T208" s="206" t="str">
        <f>VLOOKUP($A208,'CCRA3 Risks'!$A:$R,10,FALSE)</f>
        <v>High</v>
      </c>
      <c r="U208" s="206" t="str">
        <f>VLOOKUP($A208,'CCRA3 Risks'!$A:$R,11,FALSE)</f>
        <v>High</v>
      </c>
      <c r="V208" s="206" t="str">
        <f>VLOOKUP($A208,'CCRA3 Risks'!$A:$R,12,FALSE)</f>
        <v>High</v>
      </c>
      <c r="W208" s="206" t="str">
        <f>VLOOKUP($A208,'CCRA3 Risks'!$A:$R,13,FALSE)</f>
        <v>Partially</v>
      </c>
      <c r="X208" s="206" t="str">
        <f>VLOOKUP($A208,'CCRA3 Risks'!$A:$R,14,FALSE)</f>
        <v>More action needed</v>
      </c>
      <c r="Y208" s="206" t="str">
        <f>VLOOKUP($A208,'CCRA3 Risks'!$A:$R,15,FALSE)</f>
        <v>More action needed</v>
      </c>
      <c r="Z208" s="206" t="str">
        <f>VLOOKUP($A208,'CCRA3 Risks'!$A:$R,16,FALSE)</f>
        <v>Low (1)</v>
      </c>
      <c r="AA208" s="206" t="str">
        <f>VLOOKUP($A208,'CCRA3 Risks'!$A:$R,17,FALSE)</f>
        <v>Low (Red)</v>
      </c>
      <c r="AB208" s="206" t="str">
        <f>VLOOKUP($A208,'CCRA3 Risks'!$A:$R,18,FALSE)</f>
        <v>High (New land management and rural support schemes, nature recovery policy reform)</v>
      </c>
      <c r="AC208" s="202">
        <f>VLOOKUP($A208,'CCRA3 Risks'!$A:$AG,19,FALSE)</f>
        <v>0</v>
      </c>
      <c r="AD208" s="123" t="str">
        <f>VLOOKUP($A208,'CCRA3 Risks'!$A:$AG,20,FALSE)</f>
        <v>Y</v>
      </c>
      <c r="AE208" s="123">
        <f>VLOOKUP($A208,'CCRA3 Risks'!$A:$AG,21,FALSE)</f>
        <v>0</v>
      </c>
      <c r="AF208" s="123">
        <f>VLOOKUP($A208,'CCRA3 Risks'!$A:$AG,22,FALSE)</f>
        <v>0</v>
      </c>
      <c r="AG208" s="123">
        <f>VLOOKUP($A208,'CCRA3 Risks'!$A:$AG,23,FALSE)</f>
        <v>0</v>
      </c>
      <c r="AH208" s="123">
        <f>VLOOKUP($A208,'CCRA3 Risks'!$A:$AG,24,FALSE)</f>
        <v>0</v>
      </c>
      <c r="AI208" s="123">
        <f>VLOOKUP($A208,'CCRA3 Risks'!$A:$AG,25,FALSE)</f>
        <v>0</v>
      </c>
      <c r="AJ208" s="123">
        <f>VLOOKUP($A208,'CCRA3 Risks'!$A:$AG,26,FALSE)</f>
        <v>0</v>
      </c>
      <c r="AK208" s="123">
        <f>VLOOKUP($A208,'CCRA3 Risks'!$A:$AG,27,FALSE)</f>
        <v>0</v>
      </c>
      <c r="AL208" s="123">
        <f>VLOOKUP($A208,'CCRA3 Risks'!$A:$AG,28,FALSE)</f>
        <v>0</v>
      </c>
      <c r="AM208" s="123">
        <f>VLOOKUP($A208,'CCRA3 Risks'!$A:$AG,29,FALSE)</f>
        <v>0</v>
      </c>
      <c r="AN208" s="123">
        <f>VLOOKUP($A208,'CCRA3 Risks'!$A:$AG,30,FALSE)</f>
        <v>0</v>
      </c>
      <c r="AO208" s="123">
        <f>VLOOKUP($A208,'CCRA3 Risks'!$A:$AG,31,FALSE)</f>
        <v>0</v>
      </c>
      <c r="AP208" s="123">
        <f>VLOOKUP($A208,'CCRA3 Risks'!$A:$AG,32,FALSE)</f>
        <v>0</v>
      </c>
      <c r="AQ208" s="123">
        <f>VLOOKUP($A208,'CCRA3 Risks'!$A:$AG,33,FALSE)</f>
        <v>0</v>
      </c>
    </row>
    <row r="209" spans="1:43" ht="63.75" x14ac:dyDescent="0.25">
      <c r="A209" s="88" t="s">
        <v>343</v>
      </c>
      <c r="B209" s="88" t="s">
        <v>1354</v>
      </c>
      <c r="C209" s="83" t="s">
        <v>1355</v>
      </c>
      <c r="D209" s="83" t="s">
        <v>461</v>
      </c>
      <c r="E209" s="88" t="s">
        <v>67</v>
      </c>
      <c r="F209" s="83" t="s">
        <v>33</v>
      </c>
      <c r="G209" s="83" t="s">
        <v>30</v>
      </c>
      <c r="H209" s="83" t="s">
        <v>1356</v>
      </c>
      <c r="I209" s="88"/>
      <c r="J209" s="88" t="s">
        <v>463</v>
      </c>
      <c r="K209" s="83" t="s">
        <v>1357</v>
      </c>
      <c r="L209" s="88" t="s">
        <v>480</v>
      </c>
      <c r="M209" s="88" t="s">
        <v>480</v>
      </c>
      <c r="N209" s="206" t="str">
        <f>VLOOKUP($A209,'CCRA3 Risks'!$A:$R,2,FALSE)</f>
        <v>N7 Risks to agriculture from pests, pathogens and invasive species</v>
      </c>
      <c r="O209" s="206" t="str">
        <f>VLOOKUP($A209,'CCRA3 Risks'!$A:$R,3,FALSE)</f>
        <v>Yes</v>
      </c>
      <c r="P209" s="207">
        <f>VLOOKUP($A209,'CCRA3 Risks'!$A:$R,4,FALSE)</f>
        <v>3</v>
      </c>
      <c r="Q209" s="206" t="str">
        <f>VLOOKUP($A209,'CCRA3 Risks'!$A:$R,7,FALSE)</f>
        <v>England</v>
      </c>
      <c r="R209" s="206" t="str">
        <f>VLOOKUP($A209,'CCRA3 Risks'!$A:$R,8,FALSE)</f>
        <v>Medium</v>
      </c>
      <c r="S209" s="206" t="str">
        <f>VLOOKUP($A209,'CCRA3 Risks'!$A:$R,9,FALSE)</f>
        <v>High</v>
      </c>
      <c r="T209" s="206" t="str">
        <f>VLOOKUP($A209,'CCRA3 Risks'!$A:$R,10,FALSE)</f>
        <v>High</v>
      </c>
      <c r="U209" s="206" t="str">
        <f>VLOOKUP($A209,'CCRA3 Risks'!$A:$R,11,FALSE)</f>
        <v>High</v>
      </c>
      <c r="V209" s="206" t="str">
        <f>VLOOKUP($A209,'CCRA3 Risks'!$A:$R,12,FALSE)</f>
        <v>High</v>
      </c>
      <c r="W209" s="206" t="str">
        <f>VLOOKUP($A209,'CCRA3 Risks'!$A:$R,13,FALSE)</f>
        <v>Partially</v>
      </c>
      <c r="X209" s="206" t="str">
        <f>VLOOKUP($A209,'CCRA3 Risks'!$A:$R,14,FALSE)</f>
        <v>More action needed</v>
      </c>
      <c r="Y209" s="206" t="str">
        <f>VLOOKUP($A209,'CCRA3 Risks'!$A:$R,15,FALSE)</f>
        <v>More action needed</v>
      </c>
      <c r="Z209" s="206" t="str">
        <f>VLOOKUP($A209,'CCRA3 Risks'!$A:$R,16,FALSE)</f>
        <v>Low (1)</v>
      </c>
      <c r="AA209" s="206" t="str">
        <f>VLOOKUP($A209,'CCRA3 Risks'!$A:$R,17,FALSE)</f>
        <v>Low (Red)</v>
      </c>
      <c r="AB209" s="206" t="str">
        <f>VLOOKUP($A209,'CCRA3 Risks'!$A:$R,18,FALSE)</f>
        <v>High (New land management and rural support schemes, nature recovery policy reform)</v>
      </c>
      <c r="AC209" s="202">
        <f>VLOOKUP($A209,'CCRA3 Risks'!$A:$AG,19,FALSE)</f>
        <v>0</v>
      </c>
      <c r="AD209" s="123" t="str">
        <f>VLOOKUP($A209,'CCRA3 Risks'!$A:$AG,20,FALSE)</f>
        <v>Y</v>
      </c>
      <c r="AE209" s="123">
        <f>VLOOKUP($A209,'CCRA3 Risks'!$A:$AG,21,FALSE)</f>
        <v>0</v>
      </c>
      <c r="AF209" s="123">
        <f>VLOOKUP($A209,'CCRA3 Risks'!$A:$AG,22,FALSE)</f>
        <v>0</v>
      </c>
      <c r="AG209" s="123">
        <f>VLOOKUP($A209,'CCRA3 Risks'!$A:$AG,23,FALSE)</f>
        <v>0</v>
      </c>
      <c r="AH209" s="123">
        <f>VLOOKUP($A209,'CCRA3 Risks'!$A:$AG,24,FALSE)</f>
        <v>0</v>
      </c>
      <c r="AI209" s="123">
        <f>VLOOKUP($A209,'CCRA3 Risks'!$A:$AG,25,FALSE)</f>
        <v>0</v>
      </c>
      <c r="AJ209" s="123">
        <f>VLOOKUP($A209,'CCRA3 Risks'!$A:$AG,26,FALSE)</f>
        <v>0</v>
      </c>
      <c r="AK209" s="123">
        <f>VLOOKUP($A209,'CCRA3 Risks'!$A:$AG,27,FALSE)</f>
        <v>0</v>
      </c>
      <c r="AL209" s="123">
        <f>VLOOKUP($A209,'CCRA3 Risks'!$A:$AG,28,FALSE)</f>
        <v>0</v>
      </c>
      <c r="AM209" s="123">
        <f>VLOOKUP($A209,'CCRA3 Risks'!$A:$AG,29,FALSE)</f>
        <v>0</v>
      </c>
      <c r="AN209" s="123">
        <f>VLOOKUP($A209,'CCRA3 Risks'!$A:$AG,30,FALSE)</f>
        <v>0</v>
      </c>
      <c r="AO209" s="123">
        <f>VLOOKUP($A209,'CCRA3 Risks'!$A:$AG,31,FALSE)</f>
        <v>0</v>
      </c>
      <c r="AP209" s="123">
        <f>VLOOKUP($A209,'CCRA3 Risks'!$A:$AG,32,FALSE)</f>
        <v>0</v>
      </c>
      <c r="AQ209" s="123">
        <f>VLOOKUP($A209,'CCRA3 Risks'!$A:$AG,33,FALSE)</f>
        <v>0</v>
      </c>
    </row>
    <row r="210" spans="1:43" ht="51" x14ac:dyDescent="0.25">
      <c r="A210" s="88" t="s">
        <v>343</v>
      </c>
      <c r="B210" s="88" t="s">
        <v>1358</v>
      </c>
      <c r="C210" s="83" t="s">
        <v>1359</v>
      </c>
      <c r="D210" s="83" t="s">
        <v>461</v>
      </c>
      <c r="E210" s="88" t="s">
        <v>67</v>
      </c>
      <c r="F210" s="83" t="s">
        <v>396</v>
      </c>
      <c r="G210" s="83" t="s">
        <v>53</v>
      </c>
      <c r="H210" s="83" t="s">
        <v>1360</v>
      </c>
      <c r="I210" s="88"/>
      <c r="J210" s="88" t="s">
        <v>463</v>
      </c>
      <c r="K210" s="83" t="s">
        <v>1361</v>
      </c>
      <c r="L210" s="88" t="s">
        <v>480</v>
      </c>
      <c r="M210" s="88" t="s">
        <v>480</v>
      </c>
      <c r="N210" s="206" t="str">
        <f>VLOOKUP($A210,'CCRA3 Risks'!$A:$R,2,FALSE)</f>
        <v>N7 Risks to agriculture from pests, pathogens and invasive species</v>
      </c>
      <c r="O210" s="206" t="str">
        <f>VLOOKUP($A210,'CCRA3 Risks'!$A:$R,3,FALSE)</f>
        <v>Yes</v>
      </c>
      <c r="P210" s="207">
        <f>VLOOKUP($A210,'CCRA3 Risks'!$A:$R,4,FALSE)</f>
        <v>3</v>
      </c>
      <c r="Q210" s="206" t="str">
        <f>VLOOKUP($A210,'CCRA3 Risks'!$A:$R,7,FALSE)</f>
        <v>England</v>
      </c>
      <c r="R210" s="206" t="str">
        <f>VLOOKUP($A210,'CCRA3 Risks'!$A:$R,8,FALSE)</f>
        <v>Medium</v>
      </c>
      <c r="S210" s="206" t="str">
        <f>VLOOKUP($A210,'CCRA3 Risks'!$A:$R,9,FALSE)</f>
        <v>High</v>
      </c>
      <c r="T210" s="206" t="str">
        <f>VLOOKUP($A210,'CCRA3 Risks'!$A:$R,10,FALSE)</f>
        <v>High</v>
      </c>
      <c r="U210" s="206" t="str">
        <f>VLOOKUP($A210,'CCRA3 Risks'!$A:$R,11,FALSE)</f>
        <v>High</v>
      </c>
      <c r="V210" s="206" t="str">
        <f>VLOOKUP($A210,'CCRA3 Risks'!$A:$R,12,FALSE)</f>
        <v>High</v>
      </c>
      <c r="W210" s="206" t="str">
        <f>VLOOKUP($A210,'CCRA3 Risks'!$A:$R,13,FALSE)</f>
        <v>Partially</v>
      </c>
      <c r="X210" s="206" t="str">
        <f>VLOOKUP($A210,'CCRA3 Risks'!$A:$R,14,FALSE)</f>
        <v>More action needed</v>
      </c>
      <c r="Y210" s="206" t="str">
        <f>VLOOKUP($A210,'CCRA3 Risks'!$A:$R,15,FALSE)</f>
        <v>More action needed</v>
      </c>
      <c r="Z210" s="206" t="str">
        <f>VLOOKUP($A210,'CCRA3 Risks'!$A:$R,16,FALSE)</f>
        <v>Low (1)</v>
      </c>
      <c r="AA210" s="206" t="str">
        <f>VLOOKUP($A210,'CCRA3 Risks'!$A:$R,17,FALSE)</f>
        <v>Low (Red)</v>
      </c>
      <c r="AB210" s="206" t="str">
        <f>VLOOKUP($A210,'CCRA3 Risks'!$A:$R,18,FALSE)</f>
        <v>High (New land management and rural support schemes, nature recovery policy reform)</v>
      </c>
      <c r="AC210" s="202">
        <f>VLOOKUP($A210,'CCRA3 Risks'!$A:$AG,19,FALSE)</f>
        <v>0</v>
      </c>
      <c r="AD210" s="123" t="str">
        <f>VLOOKUP($A210,'CCRA3 Risks'!$A:$AG,20,FALSE)</f>
        <v>Y</v>
      </c>
      <c r="AE210" s="123">
        <f>VLOOKUP($A210,'CCRA3 Risks'!$A:$AG,21,FALSE)</f>
        <v>0</v>
      </c>
      <c r="AF210" s="123">
        <f>VLOOKUP($A210,'CCRA3 Risks'!$A:$AG,22,FALSE)</f>
        <v>0</v>
      </c>
      <c r="AG210" s="123">
        <f>VLOOKUP($A210,'CCRA3 Risks'!$A:$AG,23,FALSE)</f>
        <v>0</v>
      </c>
      <c r="AH210" s="123">
        <f>VLOOKUP($A210,'CCRA3 Risks'!$A:$AG,24,FALSE)</f>
        <v>0</v>
      </c>
      <c r="AI210" s="123">
        <f>VLOOKUP($A210,'CCRA3 Risks'!$A:$AG,25,FALSE)</f>
        <v>0</v>
      </c>
      <c r="AJ210" s="123">
        <f>VLOOKUP($A210,'CCRA3 Risks'!$A:$AG,26,FALSE)</f>
        <v>0</v>
      </c>
      <c r="AK210" s="123">
        <f>VLOOKUP($A210,'CCRA3 Risks'!$A:$AG,27,FALSE)</f>
        <v>0</v>
      </c>
      <c r="AL210" s="123">
        <f>VLOOKUP($A210,'CCRA3 Risks'!$A:$AG,28,FALSE)</f>
        <v>0</v>
      </c>
      <c r="AM210" s="123">
        <f>VLOOKUP($A210,'CCRA3 Risks'!$A:$AG,29,FALSE)</f>
        <v>0</v>
      </c>
      <c r="AN210" s="123">
        <f>VLOOKUP($A210,'CCRA3 Risks'!$A:$AG,30,FALSE)</f>
        <v>0</v>
      </c>
      <c r="AO210" s="123">
        <f>VLOOKUP($A210,'CCRA3 Risks'!$A:$AG,31,FALSE)</f>
        <v>0</v>
      </c>
      <c r="AP210" s="123">
        <f>VLOOKUP($A210,'CCRA3 Risks'!$A:$AG,32,FALSE)</f>
        <v>0</v>
      </c>
      <c r="AQ210" s="123">
        <f>VLOOKUP($A210,'CCRA3 Risks'!$A:$AG,33,FALSE)</f>
        <v>0</v>
      </c>
    </row>
    <row r="211" spans="1:43" ht="140.25" x14ac:dyDescent="0.25">
      <c r="A211" s="88" t="s">
        <v>346</v>
      </c>
      <c r="B211" s="88" t="s">
        <v>1362</v>
      </c>
      <c r="C211" s="83" t="s">
        <v>1363</v>
      </c>
      <c r="D211" s="83" t="s">
        <v>461</v>
      </c>
      <c r="E211" s="88" t="s">
        <v>67</v>
      </c>
      <c r="F211" s="83" t="s">
        <v>396</v>
      </c>
      <c r="G211" s="83" t="s">
        <v>53</v>
      </c>
      <c r="H211" s="83" t="s">
        <v>1364</v>
      </c>
      <c r="I211" s="88"/>
      <c r="J211" s="88" t="s">
        <v>398</v>
      </c>
      <c r="K211" s="83" t="s">
        <v>1365</v>
      </c>
      <c r="L211" s="88" t="s">
        <v>480</v>
      </c>
      <c r="M211" s="88" t="s">
        <v>35</v>
      </c>
      <c r="N211" s="206" t="str">
        <f>VLOOKUP($A211,'CCRA3 Risks'!$A:$R,2,FALSE)</f>
        <v>N8 Risks to forestry from pests, pathogens and invasive species</v>
      </c>
      <c r="O211" s="206" t="str">
        <f>VLOOKUP($A211,'CCRA3 Risks'!$A:$R,3,FALSE)</f>
        <v>Yes</v>
      </c>
      <c r="P211" s="207">
        <f>VLOOKUP($A211,'CCRA3 Risks'!$A:$R,4,FALSE)</f>
        <v>3</v>
      </c>
      <c r="Q211" s="206" t="str">
        <f>VLOOKUP($A211,'CCRA3 Risks'!$A:$R,7,FALSE)</f>
        <v>England</v>
      </c>
      <c r="R211" s="206" t="str">
        <f>VLOOKUP($A211,'CCRA3 Risks'!$A:$R,8,FALSE)</f>
        <v>Medium</v>
      </c>
      <c r="S211" s="206" t="str">
        <f>VLOOKUP($A211,'CCRA3 Risks'!$A:$R,9,FALSE)</f>
        <v>High</v>
      </c>
      <c r="T211" s="206" t="str">
        <f>VLOOKUP($A211,'CCRA3 Risks'!$A:$R,10,FALSE)</f>
        <v>High</v>
      </c>
      <c r="U211" s="206" t="str">
        <f>VLOOKUP($A211,'CCRA3 Risks'!$A:$R,11,FALSE)</f>
        <v>High</v>
      </c>
      <c r="V211" s="206" t="str">
        <f>VLOOKUP($A211,'CCRA3 Risks'!$A:$R,12,FALSE)</f>
        <v>High</v>
      </c>
      <c r="W211" s="206" t="str">
        <f>VLOOKUP($A211,'CCRA3 Risks'!$A:$R,13,FALSE)</f>
        <v>Partially</v>
      </c>
      <c r="X211" s="206" t="str">
        <f>VLOOKUP($A211,'CCRA3 Risks'!$A:$R,14,FALSE)</f>
        <v>More action needed</v>
      </c>
      <c r="Y211" s="206" t="str">
        <f>VLOOKUP($A211,'CCRA3 Risks'!$A:$R,15,FALSE)</f>
        <v>More action needed</v>
      </c>
      <c r="Z211" s="206" t="str">
        <f>VLOOKUP($A211,'CCRA3 Risks'!$A:$R,16,FALSE)</f>
        <v>Medium (5)</v>
      </c>
      <c r="AA211" s="206" t="str">
        <f>VLOOKUP($A211,'CCRA3 Risks'!$A:$R,17,FALSE)</f>
        <v>Medium (Amber)</v>
      </c>
      <c r="AB211" s="206" t="str">
        <f>VLOOKUP($A211,'CCRA3 Risks'!$A:$R,18,FALSE)</f>
        <v>High (New land management and rural support schemes, nature recovery policy reform)</v>
      </c>
      <c r="AC211" s="202">
        <f>VLOOKUP($A211,'CCRA3 Risks'!$A:$AG,19,FALSE)</f>
        <v>0</v>
      </c>
      <c r="AD211" s="123" t="str">
        <f>VLOOKUP($A211,'CCRA3 Risks'!$A:$AG,20,FALSE)</f>
        <v>Y</v>
      </c>
      <c r="AE211" s="123">
        <f>VLOOKUP($A211,'CCRA3 Risks'!$A:$AG,21,FALSE)</f>
        <v>0</v>
      </c>
      <c r="AF211" s="123">
        <f>VLOOKUP($A211,'CCRA3 Risks'!$A:$AG,22,FALSE)</f>
        <v>0</v>
      </c>
      <c r="AG211" s="123">
        <f>VLOOKUP($A211,'CCRA3 Risks'!$A:$AG,23,FALSE)</f>
        <v>0</v>
      </c>
      <c r="AH211" s="123">
        <f>VLOOKUP($A211,'CCRA3 Risks'!$A:$AG,24,FALSE)</f>
        <v>0</v>
      </c>
      <c r="AI211" s="123">
        <f>VLOOKUP($A211,'CCRA3 Risks'!$A:$AG,25,FALSE)</f>
        <v>0</v>
      </c>
      <c r="AJ211" s="123">
        <f>VLOOKUP($A211,'CCRA3 Risks'!$A:$AG,26,FALSE)</f>
        <v>0</v>
      </c>
      <c r="AK211" s="123">
        <f>VLOOKUP($A211,'CCRA3 Risks'!$A:$AG,27,FALSE)</f>
        <v>0</v>
      </c>
      <c r="AL211" s="123">
        <f>VLOOKUP($A211,'CCRA3 Risks'!$A:$AG,28,FALSE)</f>
        <v>0</v>
      </c>
      <c r="AM211" s="123">
        <f>VLOOKUP($A211,'CCRA3 Risks'!$A:$AG,29,FALSE)</f>
        <v>0</v>
      </c>
      <c r="AN211" s="123">
        <f>VLOOKUP($A211,'CCRA3 Risks'!$A:$AG,30,FALSE)</f>
        <v>0</v>
      </c>
      <c r="AO211" s="123">
        <f>VLOOKUP($A211,'CCRA3 Risks'!$A:$AG,31,FALSE)</f>
        <v>0</v>
      </c>
      <c r="AP211" s="123">
        <f>VLOOKUP($A211,'CCRA3 Risks'!$A:$AG,32,FALSE)</f>
        <v>0</v>
      </c>
      <c r="AQ211" s="123">
        <f>VLOOKUP($A211,'CCRA3 Risks'!$A:$AG,33,FALSE)</f>
        <v>0</v>
      </c>
    </row>
    <row r="212" spans="1:43" ht="280.5" x14ac:dyDescent="0.25">
      <c r="A212" s="88" t="s">
        <v>346</v>
      </c>
      <c r="B212" s="88" t="s">
        <v>1366</v>
      </c>
      <c r="C212" s="83" t="s">
        <v>1367</v>
      </c>
      <c r="D212" s="83" t="s">
        <v>461</v>
      </c>
      <c r="E212" s="88" t="s">
        <v>67</v>
      </c>
      <c r="F212" s="83" t="s">
        <v>33</v>
      </c>
      <c r="G212" s="83" t="s">
        <v>30</v>
      </c>
      <c r="H212" s="83" t="s">
        <v>1368</v>
      </c>
      <c r="I212" s="88"/>
      <c r="J212" s="88" t="s">
        <v>405</v>
      </c>
      <c r="K212" s="83" t="s">
        <v>1369</v>
      </c>
      <c r="L212" s="88" t="s">
        <v>480</v>
      </c>
      <c r="M212" s="88" t="s">
        <v>480</v>
      </c>
      <c r="N212" s="206" t="str">
        <f>VLOOKUP($A212,'CCRA3 Risks'!$A:$R,2,FALSE)</f>
        <v>N8 Risks to forestry from pests, pathogens and invasive species</v>
      </c>
      <c r="O212" s="206" t="str">
        <f>VLOOKUP($A212,'CCRA3 Risks'!$A:$R,3,FALSE)</f>
        <v>Yes</v>
      </c>
      <c r="P212" s="207">
        <f>VLOOKUP($A212,'CCRA3 Risks'!$A:$R,4,FALSE)</f>
        <v>3</v>
      </c>
      <c r="Q212" s="206" t="str">
        <f>VLOOKUP($A212,'CCRA3 Risks'!$A:$R,7,FALSE)</f>
        <v>England</v>
      </c>
      <c r="R212" s="206" t="str">
        <f>VLOOKUP($A212,'CCRA3 Risks'!$A:$R,8,FALSE)</f>
        <v>Medium</v>
      </c>
      <c r="S212" s="206" t="str">
        <f>VLOOKUP($A212,'CCRA3 Risks'!$A:$R,9,FALSE)</f>
        <v>High</v>
      </c>
      <c r="T212" s="206" t="str">
        <f>VLOOKUP($A212,'CCRA3 Risks'!$A:$R,10,FALSE)</f>
        <v>High</v>
      </c>
      <c r="U212" s="206" t="str">
        <f>VLOOKUP($A212,'CCRA3 Risks'!$A:$R,11,FALSE)</f>
        <v>High</v>
      </c>
      <c r="V212" s="206" t="str">
        <f>VLOOKUP($A212,'CCRA3 Risks'!$A:$R,12,FALSE)</f>
        <v>High</v>
      </c>
      <c r="W212" s="206" t="str">
        <f>VLOOKUP($A212,'CCRA3 Risks'!$A:$R,13,FALSE)</f>
        <v>Partially</v>
      </c>
      <c r="X212" s="206" t="str">
        <f>VLOOKUP($A212,'CCRA3 Risks'!$A:$R,14,FALSE)</f>
        <v>More action needed</v>
      </c>
      <c r="Y212" s="206" t="str">
        <f>VLOOKUP($A212,'CCRA3 Risks'!$A:$R,15,FALSE)</f>
        <v>More action needed</v>
      </c>
      <c r="Z212" s="206" t="str">
        <f>VLOOKUP($A212,'CCRA3 Risks'!$A:$R,16,FALSE)</f>
        <v>Medium (5)</v>
      </c>
      <c r="AA212" s="206" t="str">
        <f>VLOOKUP($A212,'CCRA3 Risks'!$A:$R,17,FALSE)</f>
        <v>Medium (Amber)</v>
      </c>
      <c r="AB212" s="206" t="str">
        <f>VLOOKUP($A212,'CCRA3 Risks'!$A:$R,18,FALSE)</f>
        <v>High (New land management and rural support schemes, nature recovery policy reform)</v>
      </c>
      <c r="AC212" s="202">
        <f>VLOOKUP($A212,'CCRA3 Risks'!$A:$AG,19,FALSE)</f>
        <v>0</v>
      </c>
      <c r="AD212" s="123" t="str">
        <f>VLOOKUP($A212,'CCRA3 Risks'!$A:$AG,20,FALSE)</f>
        <v>Y</v>
      </c>
      <c r="AE212" s="123">
        <f>VLOOKUP($A212,'CCRA3 Risks'!$A:$AG,21,FALSE)</f>
        <v>0</v>
      </c>
      <c r="AF212" s="123">
        <f>VLOOKUP($A212,'CCRA3 Risks'!$A:$AG,22,FALSE)</f>
        <v>0</v>
      </c>
      <c r="AG212" s="123">
        <f>VLOOKUP($A212,'CCRA3 Risks'!$A:$AG,23,FALSE)</f>
        <v>0</v>
      </c>
      <c r="AH212" s="123">
        <f>VLOOKUP($A212,'CCRA3 Risks'!$A:$AG,24,FALSE)</f>
        <v>0</v>
      </c>
      <c r="AI212" s="123">
        <f>VLOOKUP($A212,'CCRA3 Risks'!$A:$AG,25,FALSE)</f>
        <v>0</v>
      </c>
      <c r="AJ212" s="123">
        <f>VLOOKUP($A212,'CCRA3 Risks'!$A:$AG,26,FALSE)</f>
        <v>0</v>
      </c>
      <c r="AK212" s="123">
        <f>VLOOKUP($A212,'CCRA3 Risks'!$A:$AG,27,FALSE)</f>
        <v>0</v>
      </c>
      <c r="AL212" s="123">
        <f>VLOOKUP($A212,'CCRA3 Risks'!$A:$AG,28,FALSE)</f>
        <v>0</v>
      </c>
      <c r="AM212" s="123">
        <f>VLOOKUP($A212,'CCRA3 Risks'!$A:$AG,29,FALSE)</f>
        <v>0</v>
      </c>
      <c r="AN212" s="123">
        <f>VLOOKUP($A212,'CCRA3 Risks'!$A:$AG,30,FALSE)</f>
        <v>0</v>
      </c>
      <c r="AO212" s="123">
        <f>VLOOKUP($A212,'CCRA3 Risks'!$A:$AG,31,FALSE)</f>
        <v>0</v>
      </c>
      <c r="AP212" s="123">
        <f>VLOOKUP($A212,'CCRA3 Risks'!$A:$AG,32,FALSE)</f>
        <v>0</v>
      </c>
      <c r="AQ212" s="123">
        <f>VLOOKUP($A212,'CCRA3 Risks'!$A:$AG,33,FALSE)</f>
        <v>0</v>
      </c>
    </row>
    <row r="213" spans="1:43" ht="102" x14ac:dyDescent="0.25">
      <c r="A213" s="88" t="s">
        <v>346</v>
      </c>
      <c r="B213" s="88" t="s">
        <v>1370</v>
      </c>
      <c r="C213" s="83" t="s">
        <v>1371</v>
      </c>
      <c r="D213" s="83" t="s">
        <v>461</v>
      </c>
      <c r="E213" s="88" t="s">
        <v>67</v>
      </c>
      <c r="F213" s="83" t="s">
        <v>396</v>
      </c>
      <c r="G213" s="83" t="s">
        <v>53</v>
      </c>
      <c r="H213" s="83" t="s">
        <v>1372</v>
      </c>
      <c r="I213" s="88"/>
      <c r="J213" s="88" t="s">
        <v>463</v>
      </c>
      <c r="K213" s="83" t="s">
        <v>1373</v>
      </c>
      <c r="L213" s="88" t="s">
        <v>480</v>
      </c>
      <c r="M213" s="88" t="s">
        <v>480</v>
      </c>
      <c r="N213" s="206" t="str">
        <f>VLOOKUP($A213,'CCRA3 Risks'!$A:$R,2,FALSE)</f>
        <v>N8 Risks to forestry from pests, pathogens and invasive species</v>
      </c>
      <c r="O213" s="206" t="str">
        <f>VLOOKUP($A213,'CCRA3 Risks'!$A:$R,3,FALSE)</f>
        <v>Yes</v>
      </c>
      <c r="P213" s="207">
        <f>VLOOKUP($A213,'CCRA3 Risks'!$A:$R,4,FALSE)</f>
        <v>3</v>
      </c>
      <c r="Q213" s="206" t="str">
        <f>VLOOKUP($A213,'CCRA3 Risks'!$A:$R,7,FALSE)</f>
        <v>England</v>
      </c>
      <c r="R213" s="206" t="str">
        <f>VLOOKUP($A213,'CCRA3 Risks'!$A:$R,8,FALSE)</f>
        <v>Medium</v>
      </c>
      <c r="S213" s="206" t="str">
        <f>VLOOKUP($A213,'CCRA3 Risks'!$A:$R,9,FALSE)</f>
        <v>High</v>
      </c>
      <c r="T213" s="206" t="str">
        <f>VLOOKUP($A213,'CCRA3 Risks'!$A:$R,10,FALSE)</f>
        <v>High</v>
      </c>
      <c r="U213" s="206" t="str">
        <f>VLOOKUP($A213,'CCRA3 Risks'!$A:$R,11,FALSE)</f>
        <v>High</v>
      </c>
      <c r="V213" s="206" t="str">
        <f>VLOOKUP($A213,'CCRA3 Risks'!$A:$R,12,FALSE)</f>
        <v>High</v>
      </c>
      <c r="W213" s="206" t="str">
        <f>VLOOKUP($A213,'CCRA3 Risks'!$A:$R,13,FALSE)</f>
        <v>Partially</v>
      </c>
      <c r="X213" s="206" t="str">
        <f>VLOOKUP($A213,'CCRA3 Risks'!$A:$R,14,FALSE)</f>
        <v>More action needed</v>
      </c>
      <c r="Y213" s="206" t="str">
        <f>VLOOKUP($A213,'CCRA3 Risks'!$A:$R,15,FALSE)</f>
        <v>More action needed</v>
      </c>
      <c r="Z213" s="206" t="str">
        <f>VLOOKUP($A213,'CCRA3 Risks'!$A:$R,16,FALSE)</f>
        <v>Medium (5)</v>
      </c>
      <c r="AA213" s="206" t="str">
        <f>VLOOKUP($A213,'CCRA3 Risks'!$A:$R,17,FALSE)</f>
        <v>Medium (Amber)</v>
      </c>
      <c r="AB213" s="206" t="str">
        <f>VLOOKUP($A213,'CCRA3 Risks'!$A:$R,18,FALSE)</f>
        <v>High (New land management and rural support schemes, nature recovery policy reform)</v>
      </c>
      <c r="AC213" s="202">
        <f>VLOOKUP($A213,'CCRA3 Risks'!$A:$AG,19,FALSE)</f>
        <v>0</v>
      </c>
      <c r="AD213" s="123" t="str">
        <f>VLOOKUP($A213,'CCRA3 Risks'!$A:$AG,20,FALSE)</f>
        <v>Y</v>
      </c>
      <c r="AE213" s="123">
        <f>VLOOKUP($A213,'CCRA3 Risks'!$A:$AG,21,FALSE)</f>
        <v>0</v>
      </c>
      <c r="AF213" s="123">
        <f>VLOOKUP($A213,'CCRA3 Risks'!$A:$AG,22,FALSE)</f>
        <v>0</v>
      </c>
      <c r="AG213" s="123">
        <f>VLOOKUP($A213,'CCRA3 Risks'!$A:$AG,23,FALSE)</f>
        <v>0</v>
      </c>
      <c r="AH213" s="123">
        <f>VLOOKUP($A213,'CCRA3 Risks'!$A:$AG,24,FALSE)</f>
        <v>0</v>
      </c>
      <c r="AI213" s="123">
        <f>VLOOKUP($A213,'CCRA3 Risks'!$A:$AG,25,FALSE)</f>
        <v>0</v>
      </c>
      <c r="AJ213" s="123">
        <f>VLOOKUP($A213,'CCRA3 Risks'!$A:$AG,26,FALSE)</f>
        <v>0</v>
      </c>
      <c r="AK213" s="123">
        <f>VLOOKUP($A213,'CCRA3 Risks'!$A:$AG,27,FALSE)</f>
        <v>0</v>
      </c>
      <c r="AL213" s="123">
        <f>VLOOKUP($A213,'CCRA3 Risks'!$A:$AG,28,FALSE)</f>
        <v>0</v>
      </c>
      <c r="AM213" s="123">
        <f>VLOOKUP($A213,'CCRA3 Risks'!$A:$AG,29,FALSE)</f>
        <v>0</v>
      </c>
      <c r="AN213" s="123">
        <f>VLOOKUP($A213,'CCRA3 Risks'!$A:$AG,30,FALSE)</f>
        <v>0</v>
      </c>
      <c r="AO213" s="123">
        <f>VLOOKUP($A213,'CCRA3 Risks'!$A:$AG,31,FALSE)</f>
        <v>0</v>
      </c>
      <c r="AP213" s="123">
        <f>VLOOKUP($A213,'CCRA3 Risks'!$A:$AG,32,FALSE)</f>
        <v>0</v>
      </c>
      <c r="AQ213" s="123">
        <f>VLOOKUP($A213,'CCRA3 Risks'!$A:$AG,33,FALSE)</f>
        <v>0</v>
      </c>
    </row>
    <row r="214" spans="1:43" ht="176.1" customHeight="1" x14ac:dyDescent="0.25">
      <c r="A214" s="88" t="s">
        <v>346</v>
      </c>
      <c r="B214" s="88" t="s">
        <v>1374</v>
      </c>
      <c r="C214" s="83" t="s">
        <v>1375</v>
      </c>
      <c r="D214" s="83" t="s">
        <v>461</v>
      </c>
      <c r="E214" s="88" t="s">
        <v>67</v>
      </c>
      <c r="F214" s="83" t="s">
        <v>396</v>
      </c>
      <c r="G214" s="83" t="s">
        <v>53</v>
      </c>
      <c r="H214" s="83" t="s">
        <v>1376</v>
      </c>
      <c r="I214" s="88"/>
      <c r="J214" s="88" t="s">
        <v>463</v>
      </c>
      <c r="K214" s="83" t="s">
        <v>1377</v>
      </c>
      <c r="L214" s="88" t="s">
        <v>480</v>
      </c>
      <c r="M214" s="88" t="s">
        <v>480</v>
      </c>
      <c r="N214" s="206" t="str">
        <f>VLOOKUP($A214,'CCRA3 Risks'!$A:$R,2,FALSE)</f>
        <v>N8 Risks to forestry from pests, pathogens and invasive species</v>
      </c>
      <c r="O214" s="206" t="str">
        <f>VLOOKUP($A214,'CCRA3 Risks'!$A:$R,3,FALSE)</f>
        <v>Yes</v>
      </c>
      <c r="P214" s="207">
        <f>VLOOKUP($A214,'CCRA3 Risks'!$A:$R,4,FALSE)</f>
        <v>3</v>
      </c>
      <c r="Q214" s="206" t="str">
        <f>VLOOKUP($A214,'CCRA3 Risks'!$A:$R,7,FALSE)</f>
        <v>England</v>
      </c>
      <c r="R214" s="206" t="str">
        <f>VLOOKUP($A214,'CCRA3 Risks'!$A:$R,8,FALSE)</f>
        <v>Medium</v>
      </c>
      <c r="S214" s="206" t="str">
        <f>VLOOKUP($A214,'CCRA3 Risks'!$A:$R,9,FALSE)</f>
        <v>High</v>
      </c>
      <c r="T214" s="206" t="str">
        <f>VLOOKUP($A214,'CCRA3 Risks'!$A:$R,10,FALSE)</f>
        <v>High</v>
      </c>
      <c r="U214" s="206" t="str">
        <f>VLOOKUP($A214,'CCRA3 Risks'!$A:$R,11,FALSE)</f>
        <v>High</v>
      </c>
      <c r="V214" s="206" t="str">
        <f>VLOOKUP($A214,'CCRA3 Risks'!$A:$R,12,FALSE)</f>
        <v>High</v>
      </c>
      <c r="W214" s="206" t="str">
        <f>VLOOKUP($A214,'CCRA3 Risks'!$A:$R,13,FALSE)</f>
        <v>Partially</v>
      </c>
      <c r="X214" s="206" t="str">
        <f>VLOOKUP($A214,'CCRA3 Risks'!$A:$R,14,FALSE)</f>
        <v>More action needed</v>
      </c>
      <c r="Y214" s="206" t="str">
        <f>VLOOKUP($A214,'CCRA3 Risks'!$A:$R,15,FALSE)</f>
        <v>More action needed</v>
      </c>
      <c r="Z214" s="206" t="str">
        <f>VLOOKUP($A214,'CCRA3 Risks'!$A:$R,16,FALSE)</f>
        <v>Medium (5)</v>
      </c>
      <c r="AA214" s="206" t="str">
        <f>VLOOKUP($A214,'CCRA3 Risks'!$A:$R,17,FALSE)</f>
        <v>Medium (Amber)</v>
      </c>
      <c r="AB214" s="206" t="str">
        <f>VLOOKUP($A214,'CCRA3 Risks'!$A:$R,18,FALSE)</f>
        <v>High (New land management and rural support schemes, nature recovery policy reform)</v>
      </c>
      <c r="AC214" s="202">
        <f>VLOOKUP($A214,'CCRA3 Risks'!$A:$AG,19,FALSE)</f>
        <v>0</v>
      </c>
      <c r="AD214" s="123" t="str">
        <f>VLOOKUP($A214,'CCRA3 Risks'!$A:$AG,20,FALSE)</f>
        <v>Y</v>
      </c>
      <c r="AE214" s="123">
        <f>VLOOKUP($A214,'CCRA3 Risks'!$A:$AG,21,FALSE)</f>
        <v>0</v>
      </c>
      <c r="AF214" s="123">
        <f>VLOOKUP($A214,'CCRA3 Risks'!$A:$AG,22,FALSE)</f>
        <v>0</v>
      </c>
      <c r="AG214" s="123">
        <f>VLOOKUP($A214,'CCRA3 Risks'!$A:$AG,23,FALSE)</f>
        <v>0</v>
      </c>
      <c r="AH214" s="123">
        <f>VLOOKUP($A214,'CCRA3 Risks'!$A:$AG,24,FALSE)</f>
        <v>0</v>
      </c>
      <c r="AI214" s="123">
        <f>VLOOKUP($A214,'CCRA3 Risks'!$A:$AG,25,FALSE)</f>
        <v>0</v>
      </c>
      <c r="AJ214" s="123">
        <f>VLOOKUP($A214,'CCRA3 Risks'!$A:$AG,26,FALSE)</f>
        <v>0</v>
      </c>
      <c r="AK214" s="123">
        <f>VLOOKUP($A214,'CCRA3 Risks'!$A:$AG,27,FALSE)</f>
        <v>0</v>
      </c>
      <c r="AL214" s="123">
        <f>VLOOKUP($A214,'CCRA3 Risks'!$A:$AG,28,FALSE)</f>
        <v>0</v>
      </c>
      <c r="AM214" s="123">
        <f>VLOOKUP($A214,'CCRA3 Risks'!$A:$AG,29,FALSE)</f>
        <v>0</v>
      </c>
      <c r="AN214" s="123">
        <f>VLOOKUP($A214,'CCRA3 Risks'!$A:$AG,30,FALSE)</f>
        <v>0</v>
      </c>
      <c r="AO214" s="123">
        <f>VLOOKUP($A214,'CCRA3 Risks'!$A:$AG,31,FALSE)</f>
        <v>0</v>
      </c>
      <c r="AP214" s="123">
        <f>VLOOKUP($A214,'CCRA3 Risks'!$A:$AG,32,FALSE)</f>
        <v>0</v>
      </c>
      <c r="AQ214" s="123">
        <f>VLOOKUP($A214,'CCRA3 Risks'!$A:$AG,33,FALSE)</f>
        <v>0</v>
      </c>
    </row>
    <row r="215" spans="1:43" ht="38.25" x14ac:dyDescent="0.25">
      <c r="A215" s="88" t="s">
        <v>346</v>
      </c>
      <c r="B215" s="88" t="s">
        <v>1378</v>
      </c>
      <c r="C215" s="83" t="s">
        <v>1379</v>
      </c>
      <c r="D215" s="83" t="s">
        <v>461</v>
      </c>
      <c r="E215" s="88" t="s">
        <v>67</v>
      </c>
      <c r="F215" s="83" t="s">
        <v>33</v>
      </c>
      <c r="G215" s="83" t="s">
        <v>20</v>
      </c>
      <c r="H215" s="83" t="s">
        <v>1380</v>
      </c>
      <c r="I215" s="88" t="s">
        <v>1218</v>
      </c>
      <c r="J215" s="88" t="s">
        <v>417</v>
      </c>
      <c r="K215" s="83" t="s">
        <v>1381</v>
      </c>
      <c r="L215" s="88" t="s">
        <v>480</v>
      </c>
      <c r="M215" s="88" t="s">
        <v>35</v>
      </c>
      <c r="N215" s="206" t="str">
        <f>VLOOKUP($A215,'CCRA3 Risks'!$A:$R,2,FALSE)</f>
        <v>N8 Risks to forestry from pests, pathogens and invasive species</v>
      </c>
      <c r="O215" s="206" t="str">
        <f>VLOOKUP($A215,'CCRA3 Risks'!$A:$R,3,FALSE)</f>
        <v>Yes</v>
      </c>
      <c r="P215" s="207">
        <f>VLOOKUP($A215,'CCRA3 Risks'!$A:$R,4,FALSE)</f>
        <v>3</v>
      </c>
      <c r="Q215" s="206" t="str">
        <f>VLOOKUP($A215,'CCRA3 Risks'!$A:$R,7,FALSE)</f>
        <v>England</v>
      </c>
      <c r="R215" s="206" t="str">
        <f>VLOOKUP($A215,'CCRA3 Risks'!$A:$R,8,FALSE)</f>
        <v>Medium</v>
      </c>
      <c r="S215" s="206" t="str">
        <f>VLOOKUP($A215,'CCRA3 Risks'!$A:$R,9,FALSE)</f>
        <v>High</v>
      </c>
      <c r="T215" s="206" t="str">
        <f>VLOOKUP($A215,'CCRA3 Risks'!$A:$R,10,FALSE)</f>
        <v>High</v>
      </c>
      <c r="U215" s="206" t="str">
        <f>VLOOKUP($A215,'CCRA3 Risks'!$A:$R,11,FALSE)</f>
        <v>High</v>
      </c>
      <c r="V215" s="206" t="str">
        <f>VLOOKUP($A215,'CCRA3 Risks'!$A:$R,12,FALSE)</f>
        <v>High</v>
      </c>
      <c r="W215" s="206" t="str">
        <f>VLOOKUP($A215,'CCRA3 Risks'!$A:$R,13,FALSE)</f>
        <v>Partially</v>
      </c>
      <c r="X215" s="206" t="str">
        <f>VLOOKUP($A215,'CCRA3 Risks'!$A:$R,14,FALSE)</f>
        <v>More action needed</v>
      </c>
      <c r="Y215" s="206" t="str">
        <f>VLOOKUP($A215,'CCRA3 Risks'!$A:$R,15,FALSE)</f>
        <v>More action needed</v>
      </c>
      <c r="Z215" s="206" t="str">
        <f>VLOOKUP($A215,'CCRA3 Risks'!$A:$R,16,FALSE)</f>
        <v>Medium (5)</v>
      </c>
      <c r="AA215" s="206" t="str">
        <f>VLOOKUP($A215,'CCRA3 Risks'!$A:$R,17,FALSE)</f>
        <v>Medium (Amber)</v>
      </c>
      <c r="AB215" s="206" t="str">
        <f>VLOOKUP($A215,'CCRA3 Risks'!$A:$R,18,FALSE)</f>
        <v>High (New land management and rural support schemes, nature recovery policy reform)</v>
      </c>
      <c r="AC215" s="202">
        <f>VLOOKUP($A215,'CCRA3 Risks'!$A:$AG,19,FALSE)</f>
        <v>0</v>
      </c>
      <c r="AD215" s="123" t="str">
        <f>VLOOKUP($A215,'CCRA3 Risks'!$A:$AG,20,FALSE)</f>
        <v>Y</v>
      </c>
      <c r="AE215" s="123">
        <f>VLOOKUP($A215,'CCRA3 Risks'!$A:$AG,21,FALSE)</f>
        <v>0</v>
      </c>
      <c r="AF215" s="123">
        <f>VLOOKUP($A215,'CCRA3 Risks'!$A:$AG,22,FALSE)</f>
        <v>0</v>
      </c>
      <c r="AG215" s="123">
        <f>VLOOKUP($A215,'CCRA3 Risks'!$A:$AG,23,FALSE)</f>
        <v>0</v>
      </c>
      <c r="AH215" s="123">
        <f>VLOOKUP($A215,'CCRA3 Risks'!$A:$AG,24,FALSE)</f>
        <v>0</v>
      </c>
      <c r="AI215" s="123">
        <f>VLOOKUP($A215,'CCRA3 Risks'!$A:$AG,25,FALSE)</f>
        <v>0</v>
      </c>
      <c r="AJ215" s="123">
        <f>VLOOKUP($A215,'CCRA3 Risks'!$A:$AG,26,FALSE)</f>
        <v>0</v>
      </c>
      <c r="AK215" s="123">
        <f>VLOOKUP($A215,'CCRA3 Risks'!$A:$AG,27,FALSE)</f>
        <v>0</v>
      </c>
      <c r="AL215" s="123">
        <f>VLOOKUP($A215,'CCRA3 Risks'!$A:$AG,28,FALSE)</f>
        <v>0</v>
      </c>
      <c r="AM215" s="123">
        <f>VLOOKUP($A215,'CCRA3 Risks'!$A:$AG,29,FALSE)</f>
        <v>0</v>
      </c>
      <c r="AN215" s="123">
        <f>VLOOKUP($A215,'CCRA3 Risks'!$A:$AG,30,FALSE)</f>
        <v>0</v>
      </c>
      <c r="AO215" s="123">
        <f>VLOOKUP($A215,'CCRA3 Risks'!$A:$AG,31,FALSE)</f>
        <v>0</v>
      </c>
      <c r="AP215" s="123">
        <f>VLOOKUP($A215,'CCRA3 Risks'!$A:$AG,32,FALSE)</f>
        <v>0</v>
      </c>
      <c r="AQ215" s="123">
        <f>VLOOKUP($A215,'CCRA3 Risks'!$A:$AG,33,FALSE)</f>
        <v>0</v>
      </c>
    </row>
    <row r="216" spans="1:43" ht="102" x14ac:dyDescent="0.25">
      <c r="A216" s="88" t="s">
        <v>349</v>
      </c>
      <c r="B216" s="88" t="s">
        <v>1382</v>
      </c>
      <c r="C216" s="83" t="s">
        <v>1383</v>
      </c>
      <c r="D216" s="83" t="s">
        <v>461</v>
      </c>
      <c r="E216" s="88" t="s">
        <v>67</v>
      </c>
      <c r="F216" s="83" t="s">
        <v>421</v>
      </c>
      <c r="G216" s="83" t="s">
        <v>53</v>
      </c>
      <c r="H216" s="83" t="s">
        <v>1384</v>
      </c>
      <c r="I216" s="88"/>
      <c r="J216" s="88" t="s">
        <v>411</v>
      </c>
      <c r="K216" s="83" t="s">
        <v>1385</v>
      </c>
      <c r="L216" s="83" t="s">
        <v>1272</v>
      </c>
      <c r="M216" s="83" t="s">
        <v>1300</v>
      </c>
      <c r="N216" s="206" t="str">
        <f>VLOOKUP($A216,'CCRA3 Risks'!$A:$R,2,FALSE)</f>
        <v xml:space="preserve">N9 Opportunities for agricultural and forestry productivity from new/alternative species becoming suitable. </v>
      </c>
      <c r="O216" s="206" t="str">
        <f>VLOOKUP($A216,'CCRA3 Risks'!$A:$R,3,FALSE)</f>
        <v>No</v>
      </c>
      <c r="P216" s="207">
        <f>VLOOKUP($A216,'CCRA3 Risks'!$A:$R,4,FALSE)</f>
        <v>3</v>
      </c>
      <c r="Q216" s="206" t="str">
        <f>VLOOKUP($A216,'CCRA3 Risks'!$A:$R,7,FALSE)</f>
        <v>England</v>
      </c>
      <c r="R216" s="206" t="str">
        <f>VLOOKUP($A216,'CCRA3 Risks'!$A:$R,8,FALSE)</f>
        <v>Medium</v>
      </c>
      <c r="S216" s="206" t="str">
        <f>VLOOKUP($A216,'CCRA3 Risks'!$A:$R,9,FALSE)</f>
        <v>High</v>
      </c>
      <c r="T216" s="206" t="str">
        <f>VLOOKUP($A216,'CCRA3 Risks'!$A:$R,10,FALSE)</f>
        <v>High</v>
      </c>
      <c r="U216" s="206" t="str">
        <f>VLOOKUP($A216,'CCRA3 Risks'!$A:$R,11,FALSE)</f>
        <v>High</v>
      </c>
      <c r="V216" s="206" t="str">
        <f>VLOOKUP($A216,'CCRA3 Risks'!$A:$R,12,FALSE)</f>
        <v>High</v>
      </c>
      <c r="W216" s="206" t="str">
        <f>VLOOKUP($A216,'CCRA3 Risks'!$A:$R,13,FALSE)</f>
        <v>No</v>
      </c>
      <c r="X216" s="206" t="str">
        <f>VLOOKUP($A216,'CCRA3 Risks'!$A:$R,14,FALSE)</f>
        <v>Further investigation</v>
      </c>
      <c r="Y216" s="206" t="str">
        <f>VLOOKUP($A216,'CCRA3 Risks'!$A:$R,15,FALSE)</f>
        <v>Further Investigation</v>
      </c>
      <c r="Z216" s="206" t="str">
        <f>VLOOKUP($A216,'CCRA3 Risks'!$A:$R,16,FALSE)</f>
        <v>Low (1)</v>
      </c>
      <c r="AA216" s="206" t="str">
        <f>VLOOKUP($A216,'CCRA3 Risks'!$A:$R,17,FALSE)</f>
        <v>N/A</v>
      </c>
      <c r="AB216" s="206" t="str">
        <f>VLOOKUP($A216,'CCRA3 Risks'!$A:$R,18,FALSE)</f>
        <v>Low (No key policies looking at opportunities in the next two years)</v>
      </c>
      <c r="AC216" s="202">
        <f>VLOOKUP($A216,'CCRA3 Risks'!$A:$AG,19,FALSE)</f>
        <v>0</v>
      </c>
      <c r="AD216" s="123" t="str">
        <f>VLOOKUP($A216,'CCRA3 Risks'!$A:$AG,20,FALSE)</f>
        <v>Y</v>
      </c>
      <c r="AE216" s="123">
        <f>VLOOKUP($A216,'CCRA3 Risks'!$A:$AG,21,FALSE)</f>
        <v>0</v>
      </c>
      <c r="AF216" s="123">
        <f>VLOOKUP($A216,'CCRA3 Risks'!$A:$AG,22,FALSE)</f>
        <v>0</v>
      </c>
      <c r="AG216" s="123">
        <f>VLOOKUP($A216,'CCRA3 Risks'!$A:$AG,23,FALSE)</f>
        <v>0</v>
      </c>
      <c r="AH216" s="123">
        <f>VLOOKUP($A216,'CCRA3 Risks'!$A:$AG,24,FALSE)</f>
        <v>0</v>
      </c>
      <c r="AI216" s="123">
        <f>VLOOKUP($A216,'CCRA3 Risks'!$A:$AG,25,FALSE)</f>
        <v>0</v>
      </c>
      <c r="AJ216" s="123">
        <f>VLOOKUP($A216,'CCRA3 Risks'!$A:$AG,26,FALSE)</f>
        <v>0</v>
      </c>
      <c r="AK216" s="123">
        <f>VLOOKUP($A216,'CCRA3 Risks'!$A:$AG,27,FALSE)</f>
        <v>0</v>
      </c>
      <c r="AL216" s="123">
        <f>VLOOKUP($A216,'CCRA3 Risks'!$A:$AG,28,FALSE)</f>
        <v>0</v>
      </c>
      <c r="AM216" s="123">
        <f>VLOOKUP($A216,'CCRA3 Risks'!$A:$AG,29,FALSE)</f>
        <v>0</v>
      </c>
      <c r="AN216" s="123">
        <f>VLOOKUP($A216,'CCRA3 Risks'!$A:$AG,30,FALSE)</f>
        <v>0</v>
      </c>
      <c r="AO216" s="123">
        <f>VLOOKUP($A216,'CCRA3 Risks'!$A:$AG,31,FALSE)</f>
        <v>0</v>
      </c>
      <c r="AP216" s="123">
        <f>VLOOKUP($A216,'CCRA3 Risks'!$A:$AG,32,FALSE)</f>
        <v>0</v>
      </c>
      <c r="AQ216" s="123">
        <f>VLOOKUP($A216,'CCRA3 Risks'!$A:$AG,33,FALSE)</f>
        <v>0</v>
      </c>
    </row>
    <row r="217" spans="1:43" ht="216.75" x14ac:dyDescent="0.25">
      <c r="A217" s="88" t="s">
        <v>349</v>
      </c>
      <c r="B217" s="88" t="s">
        <v>1386</v>
      </c>
      <c r="C217" s="83" t="s">
        <v>1387</v>
      </c>
      <c r="D217" s="83" t="s">
        <v>461</v>
      </c>
      <c r="E217" s="88" t="s">
        <v>67</v>
      </c>
      <c r="F217" s="83" t="s">
        <v>33</v>
      </c>
      <c r="G217" s="83" t="s">
        <v>30</v>
      </c>
      <c r="H217" s="83" t="s">
        <v>1388</v>
      </c>
      <c r="I217" s="88"/>
      <c r="J217" s="88" t="s">
        <v>463</v>
      </c>
      <c r="K217" s="83" t="s">
        <v>1389</v>
      </c>
      <c r="L217" s="83" t="s">
        <v>1272</v>
      </c>
      <c r="M217" s="83" t="s">
        <v>1278</v>
      </c>
      <c r="N217" s="206" t="str">
        <f>VLOOKUP($A217,'CCRA3 Risks'!$A:$R,2,FALSE)</f>
        <v xml:space="preserve">N9 Opportunities for agricultural and forestry productivity from new/alternative species becoming suitable. </v>
      </c>
      <c r="O217" s="206" t="str">
        <f>VLOOKUP($A217,'CCRA3 Risks'!$A:$R,3,FALSE)</f>
        <v>No</v>
      </c>
      <c r="P217" s="207">
        <f>VLOOKUP($A217,'CCRA3 Risks'!$A:$R,4,FALSE)</f>
        <v>3</v>
      </c>
      <c r="Q217" s="206" t="str">
        <f>VLOOKUP($A217,'CCRA3 Risks'!$A:$R,7,FALSE)</f>
        <v>England</v>
      </c>
      <c r="R217" s="206" t="str">
        <f>VLOOKUP($A217,'CCRA3 Risks'!$A:$R,8,FALSE)</f>
        <v>Medium</v>
      </c>
      <c r="S217" s="206" t="str">
        <f>VLOOKUP($A217,'CCRA3 Risks'!$A:$R,9,FALSE)</f>
        <v>High</v>
      </c>
      <c r="T217" s="206" t="str">
        <f>VLOOKUP($A217,'CCRA3 Risks'!$A:$R,10,FALSE)</f>
        <v>High</v>
      </c>
      <c r="U217" s="206" t="str">
        <f>VLOOKUP($A217,'CCRA3 Risks'!$A:$R,11,FALSE)</f>
        <v>High</v>
      </c>
      <c r="V217" s="206" t="str">
        <f>VLOOKUP($A217,'CCRA3 Risks'!$A:$R,12,FALSE)</f>
        <v>High</v>
      </c>
      <c r="W217" s="206" t="str">
        <f>VLOOKUP($A217,'CCRA3 Risks'!$A:$R,13,FALSE)</f>
        <v>No</v>
      </c>
      <c r="X217" s="206" t="str">
        <f>VLOOKUP($A217,'CCRA3 Risks'!$A:$R,14,FALSE)</f>
        <v>Further investigation</v>
      </c>
      <c r="Y217" s="206" t="str">
        <f>VLOOKUP($A217,'CCRA3 Risks'!$A:$R,15,FALSE)</f>
        <v>Further Investigation</v>
      </c>
      <c r="Z217" s="206" t="str">
        <f>VLOOKUP($A217,'CCRA3 Risks'!$A:$R,16,FALSE)</f>
        <v>Low (1)</v>
      </c>
      <c r="AA217" s="206" t="str">
        <f>VLOOKUP($A217,'CCRA3 Risks'!$A:$R,17,FALSE)</f>
        <v>N/A</v>
      </c>
      <c r="AB217" s="206" t="str">
        <f>VLOOKUP($A217,'CCRA3 Risks'!$A:$R,18,FALSE)</f>
        <v>Low (No key policies looking at opportunities in the next two years)</v>
      </c>
      <c r="AC217" s="202">
        <f>VLOOKUP($A217,'CCRA3 Risks'!$A:$AG,19,FALSE)</f>
        <v>0</v>
      </c>
      <c r="AD217" s="123" t="str">
        <f>VLOOKUP($A217,'CCRA3 Risks'!$A:$AG,20,FALSE)</f>
        <v>Y</v>
      </c>
      <c r="AE217" s="123">
        <f>VLOOKUP($A217,'CCRA3 Risks'!$A:$AG,21,FALSE)</f>
        <v>0</v>
      </c>
      <c r="AF217" s="123">
        <f>VLOOKUP($A217,'CCRA3 Risks'!$A:$AG,22,FALSE)</f>
        <v>0</v>
      </c>
      <c r="AG217" s="123">
        <f>VLOOKUP($A217,'CCRA3 Risks'!$A:$AG,23,FALSE)</f>
        <v>0</v>
      </c>
      <c r="AH217" s="123">
        <f>VLOOKUP($A217,'CCRA3 Risks'!$A:$AG,24,FALSE)</f>
        <v>0</v>
      </c>
      <c r="AI217" s="123">
        <f>VLOOKUP($A217,'CCRA3 Risks'!$A:$AG,25,FALSE)</f>
        <v>0</v>
      </c>
      <c r="AJ217" s="123">
        <f>VLOOKUP($A217,'CCRA3 Risks'!$A:$AG,26,FALSE)</f>
        <v>0</v>
      </c>
      <c r="AK217" s="123">
        <f>VLOOKUP($A217,'CCRA3 Risks'!$A:$AG,27,FALSE)</f>
        <v>0</v>
      </c>
      <c r="AL217" s="123">
        <f>VLOOKUP($A217,'CCRA3 Risks'!$A:$AG,28,FALSE)</f>
        <v>0</v>
      </c>
      <c r="AM217" s="123">
        <f>VLOOKUP($A217,'CCRA3 Risks'!$A:$AG,29,FALSE)</f>
        <v>0</v>
      </c>
      <c r="AN217" s="123">
        <f>VLOOKUP($A217,'CCRA3 Risks'!$A:$AG,30,FALSE)</f>
        <v>0</v>
      </c>
      <c r="AO217" s="123">
        <f>VLOOKUP($A217,'CCRA3 Risks'!$A:$AG,31,FALSE)</f>
        <v>0</v>
      </c>
      <c r="AP217" s="123">
        <f>VLOOKUP($A217,'CCRA3 Risks'!$A:$AG,32,FALSE)</f>
        <v>0</v>
      </c>
      <c r="AQ217" s="123">
        <f>VLOOKUP($A217,'CCRA3 Risks'!$A:$AG,33,FALSE)</f>
        <v>0</v>
      </c>
    </row>
    <row r="218" spans="1:43" ht="102" x14ac:dyDescent="0.25">
      <c r="A218" s="88" t="s">
        <v>349</v>
      </c>
      <c r="B218" s="88" t="s">
        <v>1390</v>
      </c>
      <c r="C218" s="83" t="s">
        <v>1391</v>
      </c>
      <c r="D218" s="83" t="s">
        <v>461</v>
      </c>
      <c r="E218" s="88" t="s">
        <v>67</v>
      </c>
      <c r="F218" s="83" t="s">
        <v>33</v>
      </c>
      <c r="G218" s="83" t="s">
        <v>30</v>
      </c>
      <c r="H218" s="83" t="s">
        <v>1392</v>
      </c>
      <c r="I218" s="88"/>
      <c r="J218" s="88" t="s">
        <v>417</v>
      </c>
      <c r="K218" s="83" t="s">
        <v>1393</v>
      </c>
      <c r="L218" s="83" t="s">
        <v>1272</v>
      </c>
      <c r="M218" s="83" t="s">
        <v>1287</v>
      </c>
      <c r="N218" s="206" t="str">
        <f>VLOOKUP($A218,'CCRA3 Risks'!$A:$R,2,FALSE)</f>
        <v xml:space="preserve">N9 Opportunities for agricultural and forestry productivity from new/alternative species becoming suitable. </v>
      </c>
      <c r="O218" s="206" t="str">
        <f>VLOOKUP($A218,'CCRA3 Risks'!$A:$R,3,FALSE)</f>
        <v>No</v>
      </c>
      <c r="P218" s="207">
        <f>VLOOKUP($A218,'CCRA3 Risks'!$A:$R,4,FALSE)</f>
        <v>3</v>
      </c>
      <c r="Q218" s="206" t="str">
        <f>VLOOKUP($A218,'CCRA3 Risks'!$A:$R,7,FALSE)</f>
        <v>England</v>
      </c>
      <c r="R218" s="206" t="str">
        <f>VLOOKUP($A218,'CCRA3 Risks'!$A:$R,8,FALSE)</f>
        <v>Medium</v>
      </c>
      <c r="S218" s="206" t="str">
        <f>VLOOKUP($A218,'CCRA3 Risks'!$A:$R,9,FALSE)</f>
        <v>High</v>
      </c>
      <c r="T218" s="206" t="str">
        <f>VLOOKUP($A218,'CCRA3 Risks'!$A:$R,10,FALSE)</f>
        <v>High</v>
      </c>
      <c r="U218" s="206" t="str">
        <f>VLOOKUP($A218,'CCRA3 Risks'!$A:$R,11,FALSE)</f>
        <v>High</v>
      </c>
      <c r="V218" s="206" t="str">
        <f>VLOOKUP($A218,'CCRA3 Risks'!$A:$R,12,FALSE)</f>
        <v>High</v>
      </c>
      <c r="W218" s="206" t="str">
        <f>VLOOKUP($A218,'CCRA3 Risks'!$A:$R,13,FALSE)</f>
        <v>No</v>
      </c>
      <c r="X218" s="206" t="str">
        <f>VLOOKUP($A218,'CCRA3 Risks'!$A:$R,14,FALSE)</f>
        <v>Further investigation</v>
      </c>
      <c r="Y218" s="206" t="str">
        <f>VLOOKUP($A218,'CCRA3 Risks'!$A:$R,15,FALSE)</f>
        <v>Further Investigation</v>
      </c>
      <c r="Z218" s="206" t="str">
        <f>VLOOKUP($A218,'CCRA3 Risks'!$A:$R,16,FALSE)</f>
        <v>Low (1)</v>
      </c>
      <c r="AA218" s="206" t="str">
        <f>VLOOKUP($A218,'CCRA3 Risks'!$A:$R,17,FALSE)</f>
        <v>N/A</v>
      </c>
      <c r="AB218" s="206" t="str">
        <f>VLOOKUP($A218,'CCRA3 Risks'!$A:$R,18,FALSE)</f>
        <v>Low (No key policies looking at opportunities in the next two years)</v>
      </c>
      <c r="AC218" s="202">
        <f>VLOOKUP($A218,'CCRA3 Risks'!$A:$AG,19,FALSE)</f>
        <v>0</v>
      </c>
      <c r="AD218" s="123" t="str">
        <f>VLOOKUP($A218,'CCRA3 Risks'!$A:$AG,20,FALSE)</f>
        <v>Y</v>
      </c>
      <c r="AE218" s="123">
        <f>VLOOKUP($A218,'CCRA3 Risks'!$A:$AG,21,FALSE)</f>
        <v>0</v>
      </c>
      <c r="AF218" s="123">
        <f>VLOOKUP($A218,'CCRA3 Risks'!$A:$AG,22,FALSE)</f>
        <v>0</v>
      </c>
      <c r="AG218" s="123">
        <f>VLOOKUP($A218,'CCRA3 Risks'!$A:$AG,23,FALSE)</f>
        <v>0</v>
      </c>
      <c r="AH218" s="123">
        <f>VLOOKUP($A218,'CCRA3 Risks'!$A:$AG,24,FALSE)</f>
        <v>0</v>
      </c>
      <c r="AI218" s="123">
        <f>VLOOKUP($A218,'CCRA3 Risks'!$A:$AG,25,FALSE)</f>
        <v>0</v>
      </c>
      <c r="AJ218" s="123">
        <f>VLOOKUP($A218,'CCRA3 Risks'!$A:$AG,26,FALSE)</f>
        <v>0</v>
      </c>
      <c r="AK218" s="123">
        <f>VLOOKUP($A218,'CCRA3 Risks'!$A:$AG,27,FALSE)</f>
        <v>0</v>
      </c>
      <c r="AL218" s="123">
        <f>VLOOKUP($A218,'CCRA3 Risks'!$A:$AG,28,FALSE)</f>
        <v>0</v>
      </c>
      <c r="AM218" s="123">
        <f>VLOOKUP($A218,'CCRA3 Risks'!$A:$AG,29,FALSE)</f>
        <v>0</v>
      </c>
      <c r="AN218" s="123">
        <f>VLOOKUP($A218,'CCRA3 Risks'!$A:$AG,30,FALSE)</f>
        <v>0</v>
      </c>
      <c r="AO218" s="123">
        <f>VLOOKUP($A218,'CCRA3 Risks'!$A:$AG,31,FALSE)</f>
        <v>0</v>
      </c>
      <c r="AP218" s="123">
        <f>VLOOKUP($A218,'CCRA3 Risks'!$A:$AG,32,FALSE)</f>
        <v>0</v>
      </c>
      <c r="AQ218" s="123">
        <f>VLOOKUP($A218,'CCRA3 Risks'!$A:$AG,33,FALSE)</f>
        <v>0</v>
      </c>
    </row>
    <row r="219" spans="1:43" ht="127.5" x14ac:dyDescent="0.25">
      <c r="A219" s="88" t="s">
        <v>352</v>
      </c>
      <c r="B219" s="88" t="s">
        <v>1394</v>
      </c>
      <c r="C219" s="83" t="s">
        <v>1395</v>
      </c>
      <c r="D219" s="83" t="s">
        <v>403</v>
      </c>
      <c r="E219" s="88" t="s">
        <v>67</v>
      </c>
      <c r="F219" s="83" t="s">
        <v>396</v>
      </c>
      <c r="G219" s="83" t="s">
        <v>53</v>
      </c>
      <c r="H219" s="83" t="s">
        <v>1396</v>
      </c>
      <c r="I219" s="88"/>
      <c r="J219" s="88" t="s">
        <v>398</v>
      </c>
      <c r="K219" s="83" t="s">
        <v>1397</v>
      </c>
      <c r="L219" s="88" t="s">
        <v>480</v>
      </c>
      <c r="M219" s="83" t="s">
        <v>635</v>
      </c>
      <c r="N219" s="206" t="str">
        <f>VLOOKUP($A219,'CCRA3 Risks'!$A:$R,2,FALSE)</f>
        <v>N10 Risks to aquifers and agricultural land from sea level rise, saltwater intrusion</v>
      </c>
      <c r="O219" s="206" t="str">
        <f>VLOOKUP($A219,'CCRA3 Risks'!$A:$R,3,FALSE)</f>
        <v>No</v>
      </c>
      <c r="P219" s="207">
        <f>VLOOKUP($A219,'CCRA3 Risks'!$A:$R,4,FALSE)</f>
        <v>3</v>
      </c>
      <c r="Q219" s="206" t="str">
        <f>VLOOKUP($A219,'CCRA3 Risks'!$A:$R,7,FALSE)</f>
        <v>England</v>
      </c>
      <c r="R219" s="206" t="str">
        <f>VLOOKUP($A219,'CCRA3 Risks'!$A:$R,8,FALSE)</f>
        <v>Low</v>
      </c>
      <c r="S219" s="206" t="str">
        <f>VLOOKUP($A219,'CCRA3 Risks'!$A:$R,9,FALSE)</f>
        <v>Low</v>
      </c>
      <c r="T219" s="206" t="str">
        <f>VLOOKUP($A219,'CCRA3 Risks'!$A:$R,10,FALSE)</f>
        <v>Low</v>
      </c>
      <c r="U219" s="206" t="str">
        <f>VLOOKUP($A219,'CCRA3 Risks'!$A:$R,11,FALSE)</f>
        <v>Low</v>
      </c>
      <c r="V219" s="206" t="str">
        <f>VLOOKUP($A219,'CCRA3 Risks'!$A:$R,12,FALSE)</f>
        <v>Unknown</v>
      </c>
      <c r="W219" s="206" t="str">
        <f>VLOOKUP($A219,'CCRA3 Risks'!$A:$R,13,FALSE)</f>
        <v>Yes</v>
      </c>
      <c r="X219" s="206" t="str">
        <f>VLOOKUP($A219,'CCRA3 Risks'!$A:$R,14,FALSE)</f>
        <v>Further investigation</v>
      </c>
      <c r="Y219" s="206" t="str">
        <f>VLOOKUP($A219,'CCRA3 Risks'!$A:$R,15,FALSE)</f>
        <v>Further Investigation</v>
      </c>
      <c r="Z219" s="206" t="str">
        <f>VLOOKUP($A219,'CCRA3 Risks'!$A:$R,16,FALSE)</f>
        <v>N/A</v>
      </c>
      <c r="AA219" s="206" t="str">
        <f>VLOOKUP($A219,'CCRA3 Risks'!$A:$R,17,FALSE)</f>
        <v>N/A</v>
      </c>
      <c r="AB219" s="206" t="str">
        <f>VLOOKUP($A219,'CCRA3 Risks'!$A:$R,18,FALSE)</f>
        <v>Low (no key policies in the next two years)</v>
      </c>
      <c r="AC219" s="202">
        <f>VLOOKUP($A219,'CCRA3 Risks'!$A:$AG,19,FALSE)</f>
        <v>0</v>
      </c>
      <c r="AD219" s="123" t="str">
        <f>VLOOKUP($A219,'CCRA3 Risks'!$A:$AG,20,FALSE)</f>
        <v>Y</v>
      </c>
      <c r="AE219" s="123" t="str">
        <f>VLOOKUP($A219,'CCRA3 Risks'!$A:$AG,21,FALSE)</f>
        <v>Y</v>
      </c>
      <c r="AF219" s="123">
        <f>VLOOKUP($A219,'CCRA3 Risks'!$A:$AG,22,FALSE)</f>
        <v>0</v>
      </c>
      <c r="AG219" s="123">
        <f>VLOOKUP($A219,'CCRA3 Risks'!$A:$AG,23,FALSE)</f>
        <v>0</v>
      </c>
      <c r="AH219" s="123">
        <f>VLOOKUP($A219,'CCRA3 Risks'!$A:$AG,24,FALSE)</f>
        <v>0</v>
      </c>
      <c r="AI219" s="123">
        <f>VLOOKUP($A219,'CCRA3 Risks'!$A:$AG,25,FALSE)</f>
        <v>0</v>
      </c>
      <c r="AJ219" s="123">
        <f>VLOOKUP($A219,'CCRA3 Risks'!$A:$AG,26,FALSE)</f>
        <v>0</v>
      </c>
      <c r="AK219" s="123">
        <f>VLOOKUP($A219,'CCRA3 Risks'!$A:$AG,27,FALSE)</f>
        <v>0</v>
      </c>
      <c r="AL219" s="123">
        <f>VLOOKUP($A219,'CCRA3 Risks'!$A:$AG,28,FALSE)</f>
        <v>0</v>
      </c>
      <c r="AM219" s="123">
        <f>VLOOKUP($A219,'CCRA3 Risks'!$A:$AG,29,FALSE)</f>
        <v>0</v>
      </c>
      <c r="AN219" s="123">
        <f>VLOOKUP($A219,'CCRA3 Risks'!$A:$AG,30,FALSE)</f>
        <v>0</v>
      </c>
      <c r="AO219" s="123">
        <f>VLOOKUP($A219,'CCRA3 Risks'!$A:$AG,31,FALSE)</f>
        <v>0</v>
      </c>
      <c r="AP219" s="123">
        <f>VLOOKUP($A219,'CCRA3 Risks'!$A:$AG,32,FALSE)</f>
        <v>0</v>
      </c>
      <c r="AQ219" s="123">
        <f>VLOOKUP($A219,'CCRA3 Risks'!$A:$AG,33,FALSE)</f>
        <v>0</v>
      </c>
    </row>
    <row r="220" spans="1:43" ht="114.75" x14ac:dyDescent="0.25">
      <c r="A220" s="88" t="s">
        <v>352</v>
      </c>
      <c r="B220" s="88" t="s">
        <v>1398</v>
      </c>
      <c r="C220" s="83" t="s">
        <v>1399</v>
      </c>
      <c r="D220" s="83" t="s">
        <v>461</v>
      </c>
      <c r="E220" s="88" t="s">
        <v>67</v>
      </c>
      <c r="F220" s="83" t="s">
        <v>33</v>
      </c>
      <c r="G220" s="83" t="s">
        <v>20</v>
      </c>
      <c r="H220" s="83" t="s">
        <v>1400</v>
      </c>
      <c r="I220" s="88"/>
      <c r="J220" s="88" t="s">
        <v>398</v>
      </c>
      <c r="K220" s="83" t="s">
        <v>1401</v>
      </c>
      <c r="L220" s="88" t="s">
        <v>480</v>
      </c>
      <c r="M220" s="88" t="s">
        <v>480</v>
      </c>
      <c r="N220" s="206" t="str">
        <f>VLOOKUP($A220,'CCRA3 Risks'!$A:$R,2,FALSE)</f>
        <v>N10 Risks to aquifers and agricultural land from sea level rise, saltwater intrusion</v>
      </c>
      <c r="O220" s="206" t="str">
        <f>VLOOKUP($A220,'CCRA3 Risks'!$A:$R,3,FALSE)</f>
        <v>No</v>
      </c>
      <c r="P220" s="207">
        <f>VLOOKUP($A220,'CCRA3 Risks'!$A:$R,4,FALSE)</f>
        <v>3</v>
      </c>
      <c r="Q220" s="206" t="str">
        <f>VLOOKUP($A220,'CCRA3 Risks'!$A:$R,7,FALSE)</f>
        <v>England</v>
      </c>
      <c r="R220" s="206" t="str">
        <f>VLOOKUP($A220,'CCRA3 Risks'!$A:$R,8,FALSE)</f>
        <v>Low</v>
      </c>
      <c r="S220" s="206" t="str">
        <f>VLOOKUP($A220,'CCRA3 Risks'!$A:$R,9,FALSE)</f>
        <v>Low</v>
      </c>
      <c r="T220" s="206" t="str">
        <f>VLOOKUP($A220,'CCRA3 Risks'!$A:$R,10,FALSE)</f>
        <v>Low</v>
      </c>
      <c r="U220" s="206" t="str">
        <f>VLOOKUP($A220,'CCRA3 Risks'!$A:$R,11,FALSE)</f>
        <v>Low</v>
      </c>
      <c r="V220" s="206" t="str">
        <f>VLOOKUP($A220,'CCRA3 Risks'!$A:$R,12,FALSE)</f>
        <v>Unknown</v>
      </c>
      <c r="W220" s="206" t="str">
        <f>VLOOKUP($A220,'CCRA3 Risks'!$A:$R,13,FALSE)</f>
        <v>Yes</v>
      </c>
      <c r="X220" s="206" t="str">
        <f>VLOOKUP($A220,'CCRA3 Risks'!$A:$R,14,FALSE)</f>
        <v>Further investigation</v>
      </c>
      <c r="Y220" s="206" t="str">
        <f>VLOOKUP($A220,'CCRA3 Risks'!$A:$R,15,FALSE)</f>
        <v>Further Investigation</v>
      </c>
      <c r="Z220" s="206" t="str">
        <f>VLOOKUP($A220,'CCRA3 Risks'!$A:$R,16,FALSE)</f>
        <v>N/A</v>
      </c>
      <c r="AA220" s="206" t="str">
        <f>VLOOKUP($A220,'CCRA3 Risks'!$A:$R,17,FALSE)</f>
        <v>N/A</v>
      </c>
      <c r="AB220" s="206" t="str">
        <f>VLOOKUP($A220,'CCRA3 Risks'!$A:$R,18,FALSE)</f>
        <v>Low (no key policies in the next two years)</v>
      </c>
      <c r="AC220" s="202">
        <f>VLOOKUP($A220,'CCRA3 Risks'!$A:$AG,19,FALSE)</f>
        <v>0</v>
      </c>
      <c r="AD220" s="123" t="str">
        <f>VLOOKUP($A220,'CCRA3 Risks'!$A:$AG,20,FALSE)</f>
        <v>Y</v>
      </c>
      <c r="AE220" s="123" t="str">
        <f>VLOOKUP($A220,'CCRA3 Risks'!$A:$AG,21,FALSE)</f>
        <v>Y</v>
      </c>
      <c r="AF220" s="123">
        <f>VLOOKUP($A220,'CCRA3 Risks'!$A:$AG,22,FALSE)</f>
        <v>0</v>
      </c>
      <c r="AG220" s="123">
        <f>VLOOKUP($A220,'CCRA3 Risks'!$A:$AG,23,FALSE)</f>
        <v>0</v>
      </c>
      <c r="AH220" s="123">
        <f>VLOOKUP($A220,'CCRA3 Risks'!$A:$AG,24,FALSE)</f>
        <v>0</v>
      </c>
      <c r="AI220" s="123">
        <f>VLOOKUP($A220,'CCRA3 Risks'!$A:$AG,25,FALSE)</f>
        <v>0</v>
      </c>
      <c r="AJ220" s="123">
        <f>VLOOKUP($A220,'CCRA3 Risks'!$A:$AG,26,FALSE)</f>
        <v>0</v>
      </c>
      <c r="AK220" s="123">
        <f>VLOOKUP($A220,'CCRA3 Risks'!$A:$AG,27,FALSE)</f>
        <v>0</v>
      </c>
      <c r="AL220" s="123">
        <f>VLOOKUP($A220,'CCRA3 Risks'!$A:$AG,28,FALSE)</f>
        <v>0</v>
      </c>
      <c r="AM220" s="123">
        <f>VLOOKUP($A220,'CCRA3 Risks'!$A:$AG,29,FALSE)</f>
        <v>0</v>
      </c>
      <c r="AN220" s="123">
        <f>VLOOKUP($A220,'CCRA3 Risks'!$A:$AG,30,FALSE)</f>
        <v>0</v>
      </c>
      <c r="AO220" s="123">
        <f>VLOOKUP($A220,'CCRA3 Risks'!$A:$AG,31,FALSE)</f>
        <v>0</v>
      </c>
      <c r="AP220" s="123">
        <f>VLOOKUP($A220,'CCRA3 Risks'!$A:$AG,32,FALSE)</f>
        <v>0</v>
      </c>
      <c r="AQ220" s="123">
        <f>VLOOKUP($A220,'CCRA3 Risks'!$A:$AG,33,FALSE)</f>
        <v>0</v>
      </c>
    </row>
    <row r="221" spans="1:43" ht="267.75" x14ac:dyDescent="0.25">
      <c r="A221" s="88" t="s">
        <v>355</v>
      </c>
      <c r="B221" s="88" t="s">
        <v>1402</v>
      </c>
      <c r="C221" s="83" t="s">
        <v>1403</v>
      </c>
      <c r="D221" s="83" t="s">
        <v>461</v>
      </c>
      <c r="E221" s="88" t="s">
        <v>67</v>
      </c>
      <c r="F221" s="83" t="s">
        <v>421</v>
      </c>
      <c r="G221" s="83" t="s">
        <v>53</v>
      </c>
      <c r="H221" s="83" t="s">
        <v>1404</v>
      </c>
      <c r="I221" s="88"/>
      <c r="J221" s="88" t="s">
        <v>463</v>
      </c>
      <c r="K221" s="83" t="s">
        <v>1405</v>
      </c>
      <c r="L221" s="88" t="s">
        <v>480</v>
      </c>
      <c r="M221" s="88" t="s">
        <v>480</v>
      </c>
      <c r="N221" s="206" t="str">
        <f>VLOOKUP($A221,'CCRA3 Risks'!$A:$R,2,FALSE)</f>
        <v xml:space="preserve">N11 Risks to freshwater species and habitats from changing climatic conditions and extreme events, including higher water temperatures,  flooding, water scarcity and phenological shifts. </v>
      </c>
      <c r="O221" s="206" t="str">
        <f>VLOOKUP($A221,'CCRA3 Risks'!$A:$R,3,FALSE)</f>
        <v>Yes</v>
      </c>
      <c r="P221" s="207">
        <f>VLOOKUP($A221,'CCRA3 Risks'!$A:$R,4,FALSE)</f>
        <v>3</v>
      </c>
      <c r="Q221" s="206" t="str">
        <f>VLOOKUP($A221,'CCRA3 Risks'!$A:$R,7,FALSE)</f>
        <v>England</v>
      </c>
      <c r="R221" s="206" t="str">
        <f>VLOOKUP($A221,'CCRA3 Risks'!$A:$R,8,FALSE)</f>
        <v>Medium</v>
      </c>
      <c r="S221" s="206" t="str">
        <f>VLOOKUP($A221,'CCRA3 Risks'!$A:$R,9,FALSE)</f>
        <v>Medium</v>
      </c>
      <c r="T221" s="206" t="str">
        <f>VLOOKUP($A221,'CCRA3 Risks'!$A:$R,10,FALSE)</f>
        <v>Medium</v>
      </c>
      <c r="U221" s="206" t="str">
        <f>VLOOKUP($A221,'CCRA3 Risks'!$A:$R,11,FALSE)</f>
        <v>Medium</v>
      </c>
      <c r="V221" s="206" t="str">
        <f>VLOOKUP($A221,'CCRA3 Risks'!$A:$R,12,FALSE)</f>
        <v>High</v>
      </c>
      <c r="W221" s="206" t="str">
        <f>VLOOKUP($A221,'CCRA3 Risks'!$A:$R,13,FALSE)</f>
        <v>Partially</v>
      </c>
      <c r="X221" s="206" t="str">
        <f>VLOOKUP($A221,'CCRA3 Risks'!$A:$R,14,FALSE)</f>
        <v>More action needed</v>
      </c>
      <c r="Y221" s="206" t="str">
        <f>VLOOKUP($A221,'CCRA3 Risks'!$A:$R,15,FALSE)</f>
        <v>More action needed</v>
      </c>
      <c r="Z221" s="206" t="str">
        <f>VLOOKUP($A221,'CCRA3 Risks'!$A:$R,16,FALSE)</f>
        <v>Medium (5)</v>
      </c>
      <c r="AA221" s="206" t="str">
        <f>VLOOKUP($A221,'CCRA3 Risks'!$A:$R,17,FALSE)</f>
        <v>Low (Red)</v>
      </c>
      <c r="AB221" s="206" t="str">
        <f>VLOOKUP($A221,'CCRA3 Risks'!$A:$R,18,FALSE)</f>
        <v>High (Replacement of the Water Framework Directive, nature recovery policies)</v>
      </c>
      <c r="AC221" s="202" t="str">
        <f>VLOOKUP($A221,'CCRA3 Risks'!$A:$AG,19,FALSE)</f>
        <v>Y</v>
      </c>
      <c r="AD221" s="123">
        <f>VLOOKUP($A221,'CCRA3 Risks'!$A:$AG,20,FALSE)</f>
        <v>0</v>
      </c>
      <c r="AE221" s="123">
        <f>VLOOKUP($A221,'CCRA3 Risks'!$A:$AG,21,FALSE)</f>
        <v>0</v>
      </c>
      <c r="AF221" s="123">
        <f>VLOOKUP($A221,'CCRA3 Risks'!$A:$AG,22,FALSE)</f>
        <v>0</v>
      </c>
      <c r="AG221" s="123">
        <f>VLOOKUP($A221,'CCRA3 Risks'!$A:$AG,23,FALSE)</f>
        <v>0</v>
      </c>
      <c r="AH221" s="123">
        <f>VLOOKUP($A221,'CCRA3 Risks'!$A:$AG,24,FALSE)</f>
        <v>0</v>
      </c>
      <c r="AI221" s="123">
        <f>VLOOKUP($A221,'CCRA3 Risks'!$A:$AG,25,FALSE)</f>
        <v>0</v>
      </c>
      <c r="AJ221" s="123">
        <f>VLOOKUP($A221,'CCRA3 Risks'!$A:$AG,26,FALSE)</f>
        <v>0</v>
      </c>
      <c r="AK221" s="123">
        <f>VLOOKUP($A221,'CCRA3 Risks'!$A:$AG,27,FALSE)</f>
        <v>0</v>
      </c>
      <c r="AL221" s="123">
        <f>VLOOKUP($A221,'CCRA3 Risks'!$A:$AG,28,FALSE)</f>
        <v>0</v>
      </c>
      <c r="AM221" s="123">
        <f>VLOOKUP($A221,'CCRA3 Risks'!$A:$AG,29,FALSE)</f>
        <v>0</v>
      </c>
      <c r="AN221" s="123">
        <f>VLOOKUP($A221,'CCRA3 Risks'!$A:$AG,30,FALSE)</f>
        <v>0</v>
      </c>
      <c r="AO221" s="123">
        <f>VLOOKUP($A221,'CCRA3 Risks'!$A:$AG,31,FALSE)</f>
        <v>0</v>
      </c>
      <c r="AP221" s="123">
        <f>VLOOKUP($A221,'CCRA3 Risks'!$A:$AG,32,FALSE)</f>
        <v>0</v>
      </c>
      <c r="AQ221" s="123">
        <f>VLOOKUP($A221,'CCRA3 Risks'!$A:$AG,33,FALSE)</f>
        <v>0</v>
      </c>
    </row>
    <row r="222" spans="1:43" ht="76.5" x14ac:dyDescent="0.25">
      <c r="A222" s="88" t="s">
        <v>355</v>
      </c>
      <c r="B222" s="88" t="s">
        <v>1406</v>
      </c>
      <c r="C222" s="83" t="s">
        <v>1407</v>
      </c>
      <c r="D222" s="83" t="s">
        <v>461</v>
      </c>
      <c r="E222" s="88" t="s">
        <v>67</v>
      </c>
      <c r="F222" s="83" t="s">
        <v>396</v>
      </c>
      <c r="G222" s="83" t="s">
        <v>53</v>
      </c>
      <c r="H222" s="83" t="s">
        <v>1408</v>
      </c>
      <c r="I222" s="83" t="s">
        <v>1409</v>
      </c>
      <c r="J222" s="88" t="s">
        <v>398</v>
      </c>
      <c r="K222" s="83" t="s">
        <v>1410</v>
      </c>
      <c r="L222" s="88" t="s">
        <v>480</v>
      </c>
      <c r="M222" s="88" t="s">
        <v>35</v>
      </c>
      <c r="N222" s="206" t="str">
        <f>VLOOKUP($A222,'CCRA3 Risks'!$A:$R,2,FALSE)</f>
        <v xml:space="preserve">N11 Risks to freshwater species and habitats from changing climatic conditions and extreme events, including higher water temperatures,  flooding, water scarcity and phenological shifts. </v>
      </c>
      <c r="O222" s="206" t="str">
        <f>VLOOKUP($A222,'CCRA3 Risks'!$A:$R,3,FALSE)</f>
        <v>Yes</v>
      </c>
      <c r="P222" s="207">
        <f>VLOOKUP($A222,'CCRA3 Risks'!$A:$R,4,FALSE)</f>
        <v>3</v>
      </c>
      <c r="Q222" s="206" t="str">
        <f>VLOOKUP($A222,'CCRA3 Risks'!$A:$R,7,FALSE)</f>
        <v>England</v>
      </c>
      <c r="R222" s="206" t="str">
        <f>VLOOKUP($A222,'CCRA3 Risks'!$A:$R,8,FALSE)</f>
        <v>Medium</v>
      </c>
      <c r="S222" s="206" t="str">
        <f>VLOOKUP($A222,'CCRA3 Risks'!$A:$R,9,FALSE)</f>
        <v>Medium</v>
      </c>
      <c r="T222" s="206" t="str">
        <f>VLOOKUP($A222,'CCRA3 Risks'!$A:$R,10,FALSE)</f>
        <v>Medium</v>
      </c>
      <c r="U222" s="206" t="str">
        <f>VLOOKUP($A222,'CCRA3 Risks'!$A:$R,11,FALSE)</f>
        <v>Medium</v>
      </c>
      <c r="V222" s="206" t="str">
        <f>VLOOKUP($A222,'CCRA3 Risks'!$A:$R,12,FALSE)</f>
        <v>High</v>
      </c>
      <c r="W222" s="206" t="str">
        <f>VLOOKUP($A222,'CCRA3 Risks'!$A:$R,13,FALSE)</f>
        <v>Partially</v>
      </c>
      <c r="X222" s="206" t="str">
        <f>VLOOKUP($A222,'CCRA3 Risks'!$A:$R,14,FALSE)</f>
        <v>More action needed</v>
      </c>
      <c r="Y222" s="206" t="str">
        <f>VLOOKUP($A222,'CCRA3 Risks'!$A:$R,15,FALSE)</f>
        <v>More action needed</v>
      </c>
      <c r="Z222" s="206" t="str">
        <f>VLOOKUP($A222,'CCRA3 Risks'!$A:$R,16,FALSE)</f>
        <v>Medium (5)</v>
      </c>
      <c r="AA222" s="206" t="str">
        <f>VLOOKUP($A222,'CCRA3 Risks'!$A:$R,17,FALSE)</f>
        <v>Low (Red)</v>
      </c>
      <c r="AB222" s="206" t="str">
        <f>VLOOKUP($A222,'CCRA3 Risks'!$A:$R,18,FALSE)</f>
        <v>High (Replacement of the Water Framework Directive, nature recovery policies)</v>
      </c>
      <c r="AC222" s="202" t="str">
        <f>VLOOKUP($A222,'CCRA3 Risks'!$A:$AG,19,FALSE)</f>
        <v>Y</v>
      </c>
      <c r="AD222" s="123">
        <f>VLOOKUP($A222,'CCRA3 Risks'!$A:$AG,20,FALSE)</f>
        <v>0</v>
      </c>
      <c r="AE222" s="123">
        <f>VLOOKUP($A222,'CCRA3 Risks'!$A:$AG,21,FALSE)</f>
        <v>0</v>
      </c>
      <c r="AF222" s="123">
        <f>VLOOKUP($A222,'CCRA3 Risks'!$A:$AG,22,FALSE)</f>
        <v>0</v>
      </c>
      <c r="AG222" s="123">
        <f>VLOOKUP($A222,'CCRA3 Risks'!$A:$AG,23,FALSE)</f>
        <v>0</v>
      </c>
      <c r="AH222" s="123">
        <f>VLOOKUP($A222,'CCRA3 Risks'!$A:$AG,24,FALSE)</f>
        <v>0</v>
      </c>
      <c r="AI222" s="123">
        <f>VLOOKUP($A222,'CCRA3 Risks'!$A:$AG,25,FALSE)</f>
        <v>0</v>
      </c>
      <c r="AJ222" s="123">
        <f>VLOOKUP($A222,'CCRA3 Risks'!$A:$AG,26,FALSE)</f>
        <v>0</v>
      </c>
      <c r="AK222" s="123">
        <f>VLOOKUP($A222,'CCRA3 Risks'!$A:$AG,27,FALSE)</f>
        <v>0</v>
      </c>
      <c r="AL222" s="123">
        <f>VLOOKUP($A222,'CCRA3 Risks'!$A:$AG,28,FALSE)</f>
        <v>0</v>
      </c>
      <c r="AM222" s="123">
        <f>VLOOKUP($A222,'CCRA3 Risks'!$A:$AG,29,FALSE)</f>
        <v>0</v>
      </c>
      <c r="AN222" s="123">
        <f>VLOOKUP($A222,'CCRA3 Risks'!$A:$AG,30,FALSE)</f>
        <v>0</v>
      </c>
      <c r="AO222" s="123">
        <f>VLOOKUP($A222,'CCRA3 Risks'!$A:$AG,31,FALSE)</f>
        <v>0</v>
      </c>
      <c r="AP222" s="123">
        <f>VLOOKUP($A222,'CCRA3 Risks'!$A:$AG,32,FALSE)</f>
        <v>0</v>
      </c>
      <c r="AQ222" s="123">
        <f>VLOOKUP($A222,'CCRA3 Risks'!$A:$AG,33,FALSE)</f>
        <v>0</v>
      </c>
    </row>
    <row r="223" spans="1:43" ht="76.5" x14ac:dyDescent="0.25">
      <c r="A223" s="88" t="s">
        <v>355</v>
      </c>
      <c r="B223" s="88" t="s">
        <v>1411</v>
      </c>
      <c r="C223" s="83" t="s">
        <v>1412</v>
      </c>
      <c r="D223" s="83" t="s">
        <v>403</v>
      </c>
      <c r="E223" s="88" t="s">
        <v>67</v>
      </c>
      <c r="F223" s="83" t="s">
        <v>421</v>
      </c>
      <c r="G223" s="83" t="s">
        <v>53</v>
      </c>
      <c r="H223" s="83" t="s">
        <v>1413</v>
      </c>
      <c r="I223" s="88"/>
      <c r="J223" s="88" t="s">
        <v>463</v>
      </c>
      <c r="K223" s="83" t="s">
        <v>1414</v>
      </c>
      <c r="L223" s="88" t="s">
        <v>480</v>
      </c>
      <c r="M223" s="88" t="s">
        <v>480</v>
      </c>
      <c r="N223" s="206" t="str">
        <f>VLOOKUP($A223,'CCRA3 Risks'!$A:$R,2,FALSE)</f>
        <v xml:space="preserve">N11 Risks to freshwater species and habitats from changing climatic conditions and extreme events, including higher water temperatures,  flooding, water scarcity and phenological shifts. </v>
      </c>
      <c r="O223" s="206" t="str">
        <f>VLOOKUP($A223,'CCRA3 Risks'!$A:$R,3,FALSE)</f>
        <v>Yes</v>
      </c>
      <c r="P223" s="207">
        <f>VLOOKUP($A223,'CCRA3 Risks'!$A:$R,4,FALSE)</f>
        <v>3</v>
      </c>
      <c r="Q223" s="206" t="str">
        <f>VLOOKUP($A223,'CCRA3 Risks'!$A:$R,7,FALSE)</f>
        <v>England</v>
      </c>
      <c r="R223" s="206" t="str">
        <f>VLOOKUP($A223,'CCRA3 Risks'!$A:$R,8,FALSE)</f>
        <v>Medium</v>
      </c>
      <c r="S223" s="206" t="str">
        <f>VLOOKUP($A223,'CCRA3 Risks'!$A:$R,9,FALSE)</f>
        <v>Medium</v>
      </c>
      <c r="T223" s="206" t="str">
        <f>VLOOKUP($A223,'CCRA3 Risks'!$A:$R,10,FALSE)</f>
        <v>Medium</v>
      </c>
      <c r="U223" s="206" t="str">
        <f>VLOOKUP($A223,'CCRA3 Risks'!$A:$R,11,FALSE)</f>
        <v>Medium</v>
      </c>
      <c r="V223" s="206" t="str">
        <f>VLOOKUP($A223,'CCRA3 Risks'!$A:$R,12,FALSE)</f>
        <v>High</v>
      </c>
      <c r="W223" s="206" t="str">
        <f>VLOOKUP($A223,'CCRA3 Risks'!$A:$R,13,FALSE)</f>
        <v>Partially</v>
      </c>
      <c r="X223" s="206" t="str">
        <f>VLOOKUP($A223,'CCRA3 Risks'!$A:$R,14,FALSE)</f>
        <v>More action needed</v>
      </c>
      <c r="Y223" s="206" t="str">
        <f>VLOOKUP($A223,'CCRA3 Risks'!$A:$R,15,FALSE)</f>
        <v>More action needed</v>
      </c>
      <c r="Z223" s="206" t="str">
        <f>VLOOKUP($A223,'CCRA3 Risks'!$A:$R,16,FALSE)</f>
        <v>Medium (5)</v>
      </c>
      <c r="AA223" s="206" t="str">
        <f>VLOOKUP($A223,'CCRA3 Risks'!$A:$R,17,FALSE)</f>
        <v>Low (Red)</v>
      </c>
      <c r="AB223" s="206" t="str">
        <f>VLOOKUP($A223,'CCRA3 Risks'!$A:$R,18,FALSE)</f>
        <v>High (Replacement of the Water Framework Directive, nature recovery policies)</v>
      </c>
      <c r="AC223" s="202" t="str">
        <f>VLOOKUP($A223,'CCRA3 Risks'!$A:$AG,19,FALSE)</f>
        <v>Y</v>
      </c>
      <c r="AD223" s="123">
        <f>VLOOKUP($A223,'CCRA3 Risks'!$A:$AG,20,FALSE)</f>
        <v>0</v>
      </c>
      <c r="AE223" s="123">
        <f>VLOOKUP($A223,'CCRA3 Risks'!$A:$AG,21,FALSE)</f>
        <v>0</v>
      </c>
      <c r="AF223" s="123">
        <f>VLOOKUP($A223,'CCRA3 Risks'!$A:$AG,22,FALSE)</f>
        <v>0</v>
      </c>
      <c r="AG223" s="123">
        <f>VLOOKUP($A223,'CCRA3 Risks'!$A:$AG,23,FALSE)</f>
        <v>0</v>
      </c>
      <c r="AH223" s="123">
        <f>VLOOKUP($A223,'CCRA3 Risks'!$A:$AG,24,FALSE)</f>
        <v>0</v>
      </c>
      <c r="AI223" s="123">
        <f>VLOOKUP($A223,'CCRA3 Risks'!$A:$AG,25,FALSE)</f>
        <v>0</v>
      </c>
      <c r="AJ223" s="123">
        <f>VLOOKUP($A223,'CCRA3 Risks'!$A:$AG,26,FALSE)</f>
        <v>0</v>
      </c>
      <c r="AK223" s="123">
        <f>VLOOKUP($A223,'CCRA3 Risks'!$A:$AG,27,FALSE)</f>
        <v>0</v>
      </c>
      <c r="AL223" s="123">
        <f>VLOOKUP($A223,'CCRA3 Risks'!$A:$AG,28,FALSE)</f>
        <v>0</v>
      </c>
      <c r="AM223" s="123">
        <f>VLOOKUP($A223,'CCRA3 Risks'!$A:$AG,29,FALSE)</f>
        <v>0</v>
      </c>
      <c r="AN223" s="123">
        <f>VLOOKUP($A223,'CCRA3 Risks'!$A:$AG,30,FALSE)</f>
        <v>0</v>
      </c>
      <c r="AO223" s="123">
        <f>VLOOKUP($A223,'CCRA3 Risks'!$A:$AG,31,FALSE)</f>
        <v>0</v>
      </c>
      <c r="AP223" s="123">
        <f>VLOOKUP($A223,'CCRA3 Risks'!$A:$AG,32,FALSE)</f>
        <v>0</v>
      </c>
      <c r="AQ223" s="123">
        <f>VLOOKUP($A223,'CCRA3 Risks'!$A:$AG,33,FALSE)</f>
        <v>0</v>
      </c>
    </row>
    <row r="224" spans="1:43" ht="318.75" x14ac:dyDescent="0.25">
      <c r="A224" s="88" t="s">
        <v>358</v>
      </c>
      <c r="B224" s="88" t="s">
        <v>1415</v>
      </c>
      <c r="C224" s="83" t="s">
        <v>1416</v>
      </c>
      <c r="D224" s="83" t="s">
        <v>461</v>
      </c>
      <c r="E224" s="83" t="s">
        <v>67</v>
      </c>
      <c r="F224" s="83" t="s">
        <v>396</v>
      </c>
      <c r="G224" s="83" t="s">
        <v>30</v>
      </c>
      <c r="H224" s="83" t="s">
        <v>1417</v>
      </c>
      <c r="I224" s="88"/>
      <c r="J224" s="88" t="s">
        <v>463</v>
      </c>
      <c r="K224" s="83" t="s">
        <v>1418</v>
      </c>
      <c r="L224" s="88" t="s">
        <v>480</v>
      </c>
      <c r="M224" s="83" t="s">
        <v>1419</v>
      </c>
      <c r="N224" s="206" t="str">
        <f>VLOOKUP($A224,'CCRA3 Risks'!$A:$R,2,FALSE)</f>
        <v>N12 Risks to freshwater species and habitats from pests, pathogens and invasive species</v>
      </c>
      <c r="O224" s="206" t="str">
        <f>VLOOKUP($A224,'CCRA3 Risks'!$A:$R,3,FALSE)</f>
        <v>Yes</v>
      </c>
      <c r="P224" s="207">
        <f>VLOOKUP($A224,'CCRA3 Risks'!$A:$R,4,FALSE)</f>
        <v>3</v>
      </c>
      <c r="Q224" s="206" t="str">
        <f>VLOOKUP($A224,'CCRA3 Risks'!$A:$R,7,FALSE)</f>
        <v>England</v>
      </c>
      <c r="R224" s="206" t="str">
        <f>VLOOKUP($A224,'CCRA3 Risks'!$A:$R,8,FALSE)</f>
        <v>High</v>
      </c>
      <c r="S224" s="206" t="str">
        <f>VLOOKUP($A224,'CCRA3 Risks'!$A:$R,9,FALSE)</f>
        <v>High</v>
      </c>
      <c r="T224" s="206" t="str">
        <f>VLOOKUP($A224,'CCRA3 Risks'!$A:$R,10,FALSE)</f>
        <v>High</v>
      </c>
      <c r="U224" s="206" t="str">
        <f>VLOOKUP($A224,'CCRA3 Risks'!$A:$R,11,FALSE)</f>
        <v>High</v>
      </c>
      <c r="V224" s="206" t="str">
        <f>VLOOKUP($A224,'CCRA3 Risks'!$A:$R,12,FALSE)</f>
        <v>High</v>
      </c>
      <c r="W224" s="206" t="str">
        <f>VLOOKUP($A224,'CCRA3 Risks'!$A:$R,13,FALSE)</f>
        <v>Partially</v>
      </c>
      <c r="X224" s="206" t="str">
        <f>VLOOKUP($A224,'CCRA3 Risks'!$A:$R,14,FALSE)</f>
        <v>More action needed</v>
      </c>
      <c r="Y224" s="206" t="str">
        <f>VLOOKUP($A224,'CCRA3 Risks'!$A:$R,15,FALSE)</f>
        <v>More action needed</v>
      </c>
      <c r="Z224" s="206" t="str">
        <f>VLOOKUP($A224,'CCRA3 Risks'!$A:$R,16,FALSE)</f>
        <v>Medium (5)</v>
      </c>
      <c r="AA224" s="206" t="str">
        <f>VLOOKUP($A224,'CCRA3 Risks'!$A:$R,17,FALSE)</f>
        <v>Low (Red)</v>
      </c>
      <c r="AB224" s="206" t="str">
        <f>VLOOKUP($A224,'CCRA3 Risks'!$A:$R,18,FALSE)</f>
        <v>High (Replacement of the Water Framework Directive, nature recovery policies)</v>
      </c>
      <c r="AC224" s="202" t="str">
        <f>VLOOKUP($A224,'CCRA3 Risks'!$A:$AG,19,FALSE)</f>
        <v>Y</v>
      </c>
      <c r="AD224" s="123">
        <f>VLOOKUP($A224,'CCRA3 Risks'!$A:$AG,20,FALSE)</f>
        <v>0</v>
      </c>
      <c r="AE224" s="123">
        <f>VLOOKUP($A224,'CCRA3 Risks'!$A:$AG,21,FALSE)</f>
        <v>0</v>
      </c>
      <c r="AF224" s="123">
        <f>VLOOKUP($A224,'CCRA3 Risks'!$A:$AG,22,FALSE)</f>
        <v>0</v>
      </c>
      <c r="AG224" s="123">
        <f>VLOOKUP($A224,'CCRA3 Risks'!$A:$AG,23,FALSE)</f>
        <v>0</v>
      </c>
      <c r="AH224" s="123">
        <f>VLOOKUP($A224,'CCRA3 Risks'!$A:$AG,24,FALSE)</f>
        <v>0</v>
      </c>
      <c r="AI224" s="123">
        <f>VLOOKUP($A224,'CCRA3 Risks'!$A:$AG,25,FALSE)</f>
        <v>0</v>
      </c>
      <c r="AJ224" s="123">
        <f>VLOOKUP($A224,'CCRA3 Risks'!$A:$AG,26,FALSE)</f>
        <v>0</v>
      </c>
      <c r="AK224" s="123">
        <f>VLOOKUP($A224,'CCRA3 Risks'!$A:$AG,27,FALSE)</f>
        <v>0</v>
      </c>
      <c r="AL224" s="123">
        <f>VLOOKUP($A224,'CCRA3 Risks'!$A:$AG,28,FALSE)</f>
        <v>0</v>
      </c>
      <c r="AM224" s="123">
        <f>VLOOKUP($A224,'CCRA3 Risks'!$A:$AG,29,FALSE)</f>
        <v>0</v>
      </c>
      <c r="AN224" s="123">
        <f>VLOOKUP($A224,'CCRA3 Risks'!$A:$AG,30,FALSE)</f>
        <v>0</v>
      </c>
      <c r="AO224" s="123">
        <f>VLOOKUP($A224,'CCRA3 Risks'!$A:$AG,31,FALSE)</f>
        <v>0</v>
      </c>
      <c r="AP224" s="123">
        <f>VLOOKUP($A224,'CCRA3 Risks'!$A:$AG,32,FALSE)</f>
        <v>0</v>
      </c>
      <c r="AQ224" s="123">
        <f>VLOOKUP($A224,'CCRA3 Risks'!$A:$AG,33,FALSE)</f>
        <v>0</v>
      </c>
    </row>
    <row r="225" spans="1:43" ht="153" x14ac:dyDescent="0.25">
      <c r="A225" s="88" t="s">
        <v>358</v>
      </c>
      <c r="B225" s="88" t="s">
        <v>1420</v>
      </c>
      <c r="C225" s="83" t="s">
        <v>1421</v>
      </c>
      <c r="D225" s="83" t="s">
        <v>461</v>
      </c>
      <c r="E225" s="88" t="s">
        <v>67</v>
      </c>
      <c r="F225" s="83" t="s">
        <v>396</v>
      </c>
      <c r="G225" s="83" t="s">
        <v>30</v>
      </c>
      <c r="H225" s="83" t="s">
        <v>1422</v>
      </c>
      <c r="I225" s="88"/>
      <c r="J225" s="88" t="s">
        <v>405</v>
      </c>
      <c r="K225" s="83" t="s">
        <v>1423</v>
      </c>
      <c r="L225" s="88" t="s">
        <v>480</v>
      </c>
      <c r="M225" s="88" t="s">
        <v>480</v>
      </c>
      <c r="N225" s="206" t="str">
        <f>VLOOKUP($A225,'CCRA3 Risks'!$A:$R,2,FALSE)</f>
        <v>N12 Risks to freshwater species and habitats from pests, pathogens and invasive species</v>
      </c>
      <c r="O225" s="206" t="str">
        <f>VLOOKUP($A225,'CCRA3 Risks'!$A:$R,3,FALSE)</f>
        <v>Yes</v>
      </c>
      <c r="P225" s="207">
        <f>VLOOKUP($A225,'CCRA3 Risks'!$A:$R,4,FALSE)</f>
        <v>3</v>
      </c>
      <c r="Q225" s="206" t="str">
        <f>VLOOKUP($A225,'CCRA3 Risks'!$A:$R,7,FALSE)</f>
        <v>England</v>
      </c>
      <c r="R225" s="206" t="str">
        <f>VLOOKUP($A225,'CCRA3 Risks'!$A:$R,8,FALSE)</f>
        <v>High</v>
      </c>
      <c r="S225" s="206" t="str">
        <f>VLOOKUP($A225,'CCRA3 Risks'!$A:$R,9,FALSE)</f>
        <v>High</v>
      </c>
      <c r="T225" s="206" t="str">
        <f>VLOOKUP($A225,'CCRA3 Risks'!$A:$R,10,FALSE)</f>
        <v>High</v>
      </c>
      <c r="U225" s="206" t="str">
        <f>VLOOKUP($A225,'CCRA3 Risks'!$A:$R,11,FALSE)</f>
        <v>High</v>
      </c>
      <c r="V225" s="206" t="str">
        <f>VLOOKUP($A225,'CCRA3 Risks'!$A:$R,12,FALSE)</f>
        <v>High</v>
      </c>
      <c r="W225" s="206" t="str">
        <f>VLOOKUP($A225,'CCRA3 Risks'!$A:$R,13,FALSE)</f>
        <v>Partially</v>
      </c>
      <c r="X225" s="206" t="str">
        <f>VLOOKUP($A225,'CCRA3 Risks'!$A:$R,14,FALSE)</f>
        <v>More action needed</v>
      </c>
      <c r="Y225" s="206" t="str">
        <f>VLOOKUP($A225,'CCRA3 Risks'!$A:$R,15,FALSE)</f>
        <v>More action needed</v>
      </c>
      <c r="Z225" s="206" t="str">
        <f>VLOOKUP($A225,'CCRA3 Risks'!$A:$R,16,FALSE)</f>
        <v>Medium (5)</v>
      </c>
      <c r="AA225" s="206" t="str">
        <f>VLOOKUP($A225,'CCRA3 Risks'!$A:$R,17,FALSE)</f>
        <v>Low (Red)</v>
      </c>
      <c r="AB225" s="206" t="str">
        <f>VLOOKUP($A225,'CCRA3 Risks'!$A:$R,18,FALSE)</f>
        <v>High (Replacement of the Water Framework Directive, nature recovery policies)</v>
      </c>
      <c r="AC225" s="202" t="str">
        <f>VLOOKUP($A225,'CCRA3 Risks'!$A:$AG,19,FALSE)</f>
        <v>Y</v>
      </c>
      <c r="AD225" s="123">
        <f>VLOOKUP($A225,'CCRA3 Risks'!$A:$AG,20,FALSE)</f>
        <v>0</v>
      </c>
      <c r="AE225" s="123">
        <f>VLOOKUP($A225,'CCRA3 Risks'!$A:$AG,21,FALSE)</f>
        <v>0</v>
      </c>
      <c r="AF225" s="123">
        <f>VLOOKUP($A225,'CCRA3 Risks'!$A:$AG,22,FALSE)</f>
        <v>0</v>
      </c>
      <c r="AG225" s="123">
        <f>VLOOKUP($A225,'CCRA3 Risks'!$A:$AG,23,FALSE)</f>
        <v>0</v>
      </c>
      <c r="AH225" s="123">
        <f>VLOOKUP($A225,'CCRA3 Risks'!$A:$AG,24,FALSE)</f>
        <v>0</v>
      </c>
      <c r="AI225" s="123">
        <f>VLOOKUP($A225,'CCRA3 Risks'!$A:$AG,25,FALSE)</f>
        <v>0</v>
      </c>
      <c r="AJ225" s="123">
        <f>VLOOKUP($A225,'CCRA3 Risks'!$A:$AG,26,FALSE)</f>
        <v>0</v>
      </c>
      <c r="AK225" s="123">
        <f>VLOOKUP($A225,'CCRA3 Risks'!$A:$AG,27,FALSE)</f>
        <v>0</v>
      </c>
      <c r="AL225" s="123">
        <f>VLOOKUP($A225,'CCRA3 Risks'!$A:$AG,28,FALSE)</f>
        <v>0</v>
      </c>
      <c r="AM225" s="123">
        <f>VLOOKUP($A225,'CCRA3 Risks'!$A:$AG,29,FALSE)</f>
        <v>0</v>
      </c>
      <c r="AN225" s="123">
        <f>VLOOKUP($A225,'CCRA3 Risks'!$A:$AG,30,FALSE)</f>
        <v>0</v>
      </c>
      <c r="AO225" s="123">
        <f>VLOOKUP($A225,'CCRA3 Risks'!$A:$AG,31,FALSE)</f>
        <v>0</v>
      </c>
      <c r="AP225" s="123">
        <f>VLOOKUP($A225,'CCRA3 Risks'!$A:$AG,32,FALSE)</f>
        <v>0</v>
      </c>
      <c r="AQ225" s="123">
        <f>VLOOKUP($A225,'CCRA3 Risks'!$A:$AG,33,FALSE)</f>
        <v>0</v>
      </c>
    </row>
    <row r="226" spans="1:43" ht="63.75" x14ac:dyDescent="0.25">
      <c r="A226" s="88" t="s">
        <v>361</v>
      </c>
      <c r="B226" s="88" t="s">
        <v>1424</v>
      </c>
      <c r="C226" s="83" t="s">
        <v>362</v>
      </c>
      <c r="D226" s="83" t="s">
        <v>461</v>
      </c>
      <c r="E226" s="88" t="s">
        <v>67</v>
      </c>
      <c r="F226" s="83" t="s">
        <v>1425</v>
      </c>
      <c r="G226" s="83" t="s">
        <v>20</v>
      </c>
      <c r="H226" s="83" t="s">
        <v>1426</v>
      </c>
      <c r="I226" s="88"/>
      <c r="J226" s="88" t="s">
        <v>411</v>
      </c>
      <c r="K226" s="83" t="s">
        <v>1427</v>
      </c>
      <c r="L226" s="88" t="s">
        <v>480</v>
      </c>
      <c r="M226" s="83" t="s">
        <v>1428</v>
      </c>
      <c r="N226" s="206" t="str">
        <f>VLOOKUP($A226,'CCRA3 Risks'!$A:$R,2,FALSE)</f>
        <v xml:space="preserve">N13 Opportunities to freshwater species and habitats from new species colonisations </v>
      </c>
      <c r="O226" s="206" t="str">
        <f>VLOOKUP($A226,'CCRA3 Risks'!$A:$R,3,FALSE)</f>
        <v>No</v>
      </c>
      <c r="P226" s="207">
        <f>VLOOKUP($A226,'CCRA3 Risks'!$A:$R,4,FALSE)</f>
        <v>3</v>
      </c>
      <c r="Q226" s="206" t="str">
        <f>VLOOKUP($A226,'CCRA3 Risks'!$A:$R,7,FALSE)</f>
        <v>England</v>
      </c>
      <c r="R226" s="206" t="str">
        <f>VLOOKUP($A226,'CCRA3 Risks'!$A:$R,8,FALSE)</f>
        <v>Low</v>
      </c>
      <c r="S226" s="206" t="str">
        <f>VLOOKUP($A226,'CCRA3 Risks'!$A:$R,9,FALSE)</f>
        <v>Low</v>
      </c>
      <c r="T226" s="206" t="str">
        <f>VLOOKUP($A226,'CCRA3 Risks'!$A:$R,10,FALSE)</f>
        <v>Low</v>
      </c>
      <c r="U226" s="206" t="str">
        <f>VLOOKUP($A226,'CCRA3 Risks'!$A:$R,11,FALSE)</f>
        <v>Low</v>
      </c>
      <c r="V226" s="206" t="str">
        <f>VLOOKUP($A226,'CCRA3 Risks'!$A:$R,12,FALSE)</f>
        <v>Low</v>
      </c>
      <c r="W226" s="206" t="str">
        <f>VLOOKUP($A226,'CCRA3 Risks'!$A:$R,13,FALSE)</f>
        <v>Partially</v>
      </c>
      <c r="X226" s="206" t="str">
        <f>VLOOKUP($A226,'CCRA3 Risks'!$A:$R,14,FALSE)</f>
        <v>Sustain current action</v>
      </c>
      <c r="Y226" s="206" t="str">
        <f>VLOOKUP($A226,'CCRA3 Risks'!$A:$R,15,FALSE)</f>
        <v>Sustain current action</v>
      </c>
      <c r="Z226" s="206" t="str">
        <f>VLOOKUP($A226,'CCRA3 Risks'!$A:$R,16,FALSE)</f>
        <v>Medium (5)</v>
      </c>
      <c r="AA226" s="206" t="str">
        <f>VLOOKUP($A226,'CCRA3 Risks'!$A:$R,17,FALSE)</f>
        <v>N/A</v>
      </c>
      <c r="AB226" s="206" t="str">
        <f>VLOOKUP($A226,'CCRA3 Risks'!$A:$R,18,FALSE)</f>
        <v>Low (No key policies looking at opportunities in the next two years)</v>
      </c>
      <c r="AC226" s="202" t="str">
        <f>VLOOKUP($A226,'CCRA3 Risks'!$A:$AG,19,FALSE)</f>
        <v>Y</v>
      </c>
      <c r="AD226" s="123">
        <f>VLOOKUP($A226,'CCRA3 Risks'!$A:$AG,20,FALSE)</f>
        <v>0</v>
      </c>
      <c r="AE226" s="123">
        <f>VLOOKUP($A226,'CCRA3 Risks'!$A:$AG,21,FALSE)</f>
        <v>0</v>
      </c>
      <c r="AF226" s="123">
        <f>VLOOKUP($A226,'CCRA3 Risks'!$A:$AG,22,FALSE)</f>
        <v>0</v>
      </c>
      <c r="AG226" s="123">
        <f>VLOOKUP($A226,'CCRA3 Risks'!$A:$AG,23,FALSE)</f>
        <v>0</v>
      </c>
      <c r="AH226" s="123">
        <f>VLOOKUP($A226,'CCRA3 Risks'!$A:$AG,24,FALSE)</f>
        <v>0</v>
      </c>
      <c r="AI226" s="123">
        <f>VLOOKUP($A226,'CCRA3 Risks'!$A:$AG,25,FALSE)</f>
        <v>0</v>
      </c>
      <c r="AJ226" s="123">
        <f>VLOOKUP($A226,'CCRA3 Risks'!$A:$AG,26,FALSE)</f>
        <v>0</v>
      </c>
      <c r="AK226" s="123">
        <f>VLOOKUP($A226,'CCRA3 Risks'!$A:$AG,27,FALSE)</f>
        <v>0</v>
      </c>
      <c r="AL226" s="123">
        <f>VLOOKUP($A226,'CCRA3 Risks'!$A:$AG,28,FALSE)</f>
        <v>0</v>
      </c>
      <c r="AM226" s="123">
        <f>VLOOKUP($A226,'CCRA3 Risks'!$A:$AG,29,FALSE)</f>
        <v>0</v>
      </c>
      <c r="AN226" s="123">
        <f>VLOOKUP($A226,'CCRA3 Risks'!$A:$AG,30,FALSE)</f>
        <v>0</v>
      </c>
      <c r="AO226" s="123">
        <f>VLOOKUP($A226,'CCRA3 Risks'!$A:$AG,31,FALSE)</f>
        <v>0</v>
      </c>
      <c r="AP226" s="123">
        <f>VLOOKUP($A226,'CCRA3 Risks'!$A:$AG,32,FALSE)</f>
        <v>0</v>
      </c>
      <c r="AQ226" s="123">
        <f>VLOOKUP($A226,'CCRA3 Risks'!$A:$AG,33,FALSE)</f>
        <v>0</v>
      </c>
    </row>
    <row r="227" spans="1:43" ht="345.95" customHeight="1" x14ac:dyDescent="0.25">
      <c r="A227" s="88" t="s">
        <v>364</v>
      </c>
      <c r="B227" s="88" t="s">
        <v>1429</v>
      </c>
      <c r="C227" s="83" t="s">
        <v>1430</v>
      </c>
      <c r="D227" s="83" t="s">
        <v>461</v>
      </c>
      <c r="E227" s="88" t="s">
        <v>67</v>
      </c>
      <c r="F227" s="83" t="s">
        <v>421</v>
      </c>
      <c r="G227" s="83" t="s">
        <v>53</v>
      </c>
      <c r="H227" s="83" t="s">
        <v>1431</v>
      </c>
      <c r="I227" s="88"/>
      <c r="J227" s="88" t="s">
        <v>463</v>
      </c>
      <c r="K227" s="83" t="s">
        <v>1432</v>
      </c>
      <c r="L227" s="88" t="s">
        <v>480</v>
      </c>
      <c r="M227" s="88" t="s">
        <v>480</v>
      </c>
      <c r="N227" s="206" t="str">
        <f>VLOOKUP($A227,'CCRA3 Risks'!$A:$R,2,FALSE)</f>
        <v>N14 Risks to marine species, habitats and fisheries from changing climatic conditions, including ocean acidification and higher water temperatures.</v>
      </c>
      <c r="O227" s="206" t="str">
        <f>VLOOKUP($A227,'CCRA3 Risks'!$A:$R,3,FALSE)</f>
        <v>No</v>
      </c>
      <c r="P227" s="207">
        <f>VLOOKUP($A227,'CCRA3 Risks'!$A:$R,4,FALSE)</f>
        <v>3</v>
      </c>
      <c r="Q227" s="206" t="str">
        <f>VLOOKUP($A227,'CCRA3 Risks'!$A:$R,7,FALSE)</f>
        <v>England</v>
      </c>
      <c r="R227" s="206" t="str">
        <f>VLOOKUP($A227,'CCRA3 Risks'!$A:$R,8,FALSE)</f>
        <v xml:space="preserve">Medium </v>
      </c>
      <c r="S227" s="206" t="str">
        <f>VLOOKUP($A227,'CCRA3 Risks'!$A:$R,9,FALSE)</f>
        <v>High</v>
      </c>
      <c r="T227" s="206" t="str">
        <f>VLOOKUP($A227,'CCRA3 Risks'!$A:$R,10,FALSE)</f>
        <v>High</v>
      </c>
      <c r="U227" s="206" t="str">
        <f>VLOOKUP($A227,'CCRA3 Risks'!$A:$R,11,FALSE)</f>
        <v>High</v>
      </c>
      <c r="V227" s="206" t="str">
        <f>VLOOKUP($A227,'CCRA3 Risks'!$A:$R,12,FALSE)</f>
        <v>High</v>
      </c>
      <c r="W227" s="206" t="str">
        <f>VLOOKUP($A227,'CCRA3 Risks'!$A:$R,13,FALSE)</f>
        <v>Partially</v>
      </c>
      <c r="X227" s="206" t="str">
        <f>VLOOKUP($A227,'CCRA3 Risks'!$A:$R,14,FALSE)</f>
        <v>More action needed</v>
      </c>
      <c r="Y227" s="206" t="str">
        <f>VLOOKUP($A227,'CCRA3 Risks'!$A:$R,15,FALSE)</f>
        <v>More action needed</v>
      </c>
      <c r="Z227" s="206" t="str">
        <f>VLOOKUP($A227,'CCRA3 Risks'!$A:$R,16,FALSE)</f>
        <v>Medium (5)</v>
      </c>
      <c r="AA227" s="206" t="str">
        <f>VLOOKUP($A227,'CCRA3 Risks'!$A:$R,17,FALSE)</f>
        <v>Medium (Amber)</v>
      </c>
      <c r="AB227" s="206" t="str">
        <f>VLOOKUP($A227,'CCRA3 Risks'!$A:$R,18,FALSE)</f>
        <v>Medium (implementation of MPA network and new fisheries policy)</v>
      </c>
      <c r="AC227" s="202" t="str">
        <f>VLOOKUP($A227,'CCRA3 Risks'!$A:$AG,19,FALSE)</f>
        <v>Y</v>
      </c>
      <c r="AD227" s="123" t="str">
        <f>VLOOKUP($A227,'CCRA3 Risks'!$A:$AG,20,FALSE)</f>
        <v>Y</v>
      </c>
      <c r="AE227" s="123">
        <f>VLOOKUP($A227,'CCRA3 Risks'!$A:$AG,21,FALSE)</f>
        <v>0</v>
      </c>
      <c r="AF227" s="123">
        <f>VLOOKUP($A227,'CCRA3 Risks'!$A:$AG,22,FALSE)</f>
        <v>0</v>
      </c>
      <c r="AG227" s="123">
        <f>VLOOKUP($A227,'CCRA3 Risks'!$A:$AG,23,FALSE)</f>
        <v>0</v>
      </c>
      <c r="AH227" s="123">
        <f>VLOOKUP($A227,'CCRA3 Risks'!$A:$AG,24,FALSE)</f>
        <v>0</v>
      </c>
      <c r="AI227" s="123">
        <f>VLOOKUP($A227,'CCRA3 Risks'!$A:$AG,25,FALSE)</f>
        <v>0</v>
      </c>
      <c r="AJ227" s="123">
        <f>VLOOKUP($A227,'CCRA3 Risks'!$A:$AG,26,FALSE)</f>
        <v>0</v>
      </c>
      <c r="AK227" s="123">
        <f>VLOOKUP($A227,'CCRA3 Risks'!$A:$AG,27,FALSE)</f>
        <v>0</v>
      </c>
      <c r="AL227" s="123">
        <f>VLOOKUP($A227,'CCRA3 Risks'!$A:$AG,28,FALSE)</f>
        <v>0</v>
      </c>
      <c r="AM227" s="123">
        <f>VLOOKUP($A227,'CCRA3 Risks'!$A:$AG,29,FALSE)</f>
        <v>0</v>
      </c>
      <c r="AN227" s="123">
        <f>VLOOKUP($A227,'CCRA3 Risks'!$A:$AG,30,FALSE)</f>
        <v>0</v>
      </c>
      <c r="AO227" s="123">
        <f>VLOOKUP($A227,'CCRA3 Risks'!$A:$AG,31,FALSE)</f>
        <v>0</v>
      </c>
      <c r="AP227" s="123">
        <f>VLOOKUP($A227,'CCRA3 Risks'!$A:$AG,32,FALSE)</f>
        <v>0</v>
      </c>
      <c r="AQ227" s="123">
        <f>VLOOKUP($A227,'CCRA3 Risks'!$A:$AG,33,FALSE)</f>
        <v>0</v>
      </c>
    </row>
    <row r="228" spans="1:43" ht="127.5" x14ac:dyDescent="0.25">
      <c r="A228" s="88" t="s">
        <v>364</v>
      </c>
      <c r="B228" s="88" t="s">
        <v>1433</v>
      </c>
      <c r="C228" s="83" t="s">
        <v>1434</v>
      </c>
      <c r="D228" s="83" t="s">
        <v>461</v>
      </c>
      <c r="E228" s="88" t="s">
        <v>67</v>
      </c>
      <c r="F228" s="83" t="s">
        <v>472</v>
      </c>
      <c r="G228" s="83" t="s">
        <v>53</v>
      </c>
      <c r="H228" s="83" t="s">
        <v>1435</v>
      </c>
      <c r="I228" s="88"/>
      <c r="J228" s="88" t="s">
        <v>463</v>
      </c>
      <c r="K228" s="83" t="s">
        <v>1436</v>
      </c>
      <c r="L228" s="88" t="s">
        <v>480</v>
      </c>
      <c r="M228" s="88" t="s">
        <v>480</v>
      </c>
      <c r="N228" s="206" t="str">
        <f>VLOOKUP($A228,'CCRA3 Risks'!$A:$R,2,FALSE)</f>
        <v>N14 Risks to marine species, habitats and fisheries from changing climatic conditions, including ocean acidification and higher water temperatures.</v>
      </c>
      <c r="O228" s="206" t="str">
        <f>VLOOKUP($A228,'CCRA3 Risks'!$A:$R,3,FALSE)</f>
        <v>No</v>
      </c>
      <c r="P228" s="207">
        <f>VLOOKUP($A228,'CCRA3 Risks'!$A:$R,4,FALSE)</f>
        <v>3</v>
      </c>
      <c r="Q228" s="206" t="str">
        <f>VLOOKUP($A228,'CCRA3 Risks'!$A:$R,7,FALSE)</f>
        <v>England</v>
      </c>
      <c r="R228" s="206" t="str">
        <f>VLOOKUP($A228,'CCRA3 Risks'!$A:$R,8,FALSE)</f>
        <v xml:space="preserve">Medium </v>
      </c>
      <c r="S228" s="206" t="str">
        <f>VLOOKUP($A228,'CCRA3 Risks'!$A:$R,9,FALSE)</f>
        <v>High</v>
      </c>
      <c r="T228" s="206" t="str">
        <f>VLOOKUP($A228,'CCRA3 Risks'!$A:$R,10,FALSE)</f>
        <v>High</v>
      </c>
      <c r="U228" s="206" t="str">
        <f>VLOOKUP($A228,'CCRA3 Risks'!$A:$R,11,FALSE)</f>
        <v>High</v>
      </c>
      <c r="V228" s="206" t="str">
        <f>VLOOKUP($A228,'CCRA3 Risks'!$A:$R,12,FALSE)</f>
        <v>High</v>
      </c>
      <c r="W228" s="206" t="str">
        <f>VLOOKUP($A228,'CCRA3 Risks'!$A:$R,13,FALSE)</f>
        <v>Partially</v>
      </c>
      <c r="X228" s="206" t="str">
        <f>VLOOKUP($A228,'CCRA3 Risks'!$A:$R,14,FALSE)</f>
        <v>More action needed</v>
      </c>
      <c r="Y228" s="206" t="str">
        <f>VLOOKUP($A228,'CCRA3 Risks'!$A:$R,15,FALSE)</f>
        <v>More action needed</v>
      </c>
      <c r="Z228" s="206" t="str">
        <f>VLOOKUP($A228,'CCRA3 Risks'!$A:$R,16,FALSE)</f>
        <v>Medium (5)</v>
      </c>
      <c r="AA228" s="206" t="str">
        <f>VLOOKUP($A228,'CCRA3 Risks'!$A:$R,17,FALSE)</f>
        <v>Medium (Amber)</v>
      </c>
      <c r="AB228" s="206" t="str">
        <f>VLOOKUP($A228,'CCRA3 Risks'!$A:$R,18,FALSE)</f>
        <v>Medium (implementation of MPA network and new fisheries policy)</v>
      </c>
      <c r="AC228" s="202" t="str">
        <f>VLOOKUP($A228,'CCRA3 Risks'!$A:$AG,19,FALSE)</f>
        <v>Y</v>
      </c>
      <c r="AD228" s="123" t="str">
        <f>VLOOKUP($A228,'CCRA3 Risks'!$A:$AG,20,FALSE)</f>
        <v>Y</v>
      </c>
      <c r="AE228" s="123">
        <f>VLOOKUP($A228,'CCRA3 Risks'!$A:$AG,21,FALSE)</f>
        <v>0</v>
      </c>
      <c r="AF228" s="123">
        <f>VLOOKUP($A228,'CCRA3 Risks'!$A:$AG,22,FALSE)</f>
        <v>0</v>
      </c>
      <c r="AG228" s="123">
        <f>VLOOKUP($A228,'CCRA3 Risks'!$A:$AG,23,FALSE)</f>
        <v>0</v>
      </c>
      <c r="AH228" s="123">
        <f>VLOOKUP($A228,'CCRA3 Risks'!$A:$AG,24,FALSE)</f>
        <v>0</v>
      </c>
      <c r="AI228" s="123">
        <f>VLOOKUP($A228,'CCRA3 Risks'!$A:$AG,25,FALSE)</f>
        <v>0</v>
      </c>
      <c r="AJ228" s="123">
        <f>VLOOKUP($A228,'CCRA3 Risks'!$A:$AG,26,FALSE)</f>
        <v>0</v>
      </c>
      <c r="AK228" s="123">
        <f>VLOOKUP($A228,'CCRA3 Risks'!$A:$AG,27,FALSE)</f>
        <v>0</v>
      </c>
      <c r="AL228" s="123">
        <f>VLOOKUP($A228,'CCRA3 Risks'!$A:$AG,28,FALSE)</f>
        <v>0</v>
      </c>
      <c r="AM228" s="123">
        <f>VLOOKUP($A228,'CCRA3 Risks'!$A:$AG,29,FALSE)</f>
        <v>0</v>
      </c>
      <c r="AN228" s="123">
        <f>VLOOKUP($A228,'CCRA3 Risks'!$A:$AG,30,FALSE)</f>
        <v>0</v>
      </c>
      <c r="AO228" s="123">
        <f>VLOOKUP($A228,'CCRA3 Risks'!$A:$AG,31,FALSE)</f>
        <v>0</v>
      </c>
      <c r="AP228" s="123">
        <f>VLOOKUP($A228,'CCRA3 Risks'!$A:$AG,32,FALSE)</f>
        <v>0</v>
      </c>
      <c r="AQ228" s="123">
        <f>VLOOKUP($A228,'CCRA3 Risks'!$A:$AG,33,FALSE)</f>
        <v>0</v>
      </c>
    </row>
    <row r="229" spans="1:43" ht="153" x14ac:dyDescent="0.25">
      <c r="A229" s="88" t="s">
        <v>364</v>
      </c>
      <c r="B229" s="88" t="s">
        <v>1437</v>
      </c>
      <c r="C229" s="83" t="s">
        <v>1438</v>
      </c>
      <c r="D229" s="83" t="s">
        <v>461</v>
      </c>
      <c r="E229" s="88" t="s">
        <v>67</v>
      </c>
      <c r="F229" s="83" t="s">
        <v>421</v>
      </c>
      <c r="G229" s="83" t="s">
        <v>53</v>
      </c>
      <c r="H229" s="83" t="s">
        <v>1439</v>
      </c>
      <c r="I229" s="88"/>
      <c r="J229" s="88" t="s">
        <v>398</v>
      </c>
      <c r="K229" s="83" t="s">
        <v>1440</v>
      </c>
      <c r="L229" s="88" t="s">
        <v>480</v>
      </c>
      <c r="M229" s="88" t="s">
        <v>480</v>
      </c>
      <c r="N229" s="206" t="str">
        <f>VLOOKUP($A229,'CCRA3 Risks'!$A:$R,2,FALSE)</f>
        <v>N14 Risks to marine species, habitats and fisheries from changing climatic conditions, including ocean acidification and higher water temperatures.</v>
      </c>
      <c r="O229" s="206" t="str">
        <f>VLOOKUP($A229,'CCRA3 Risks'!$A:$R,3,FALSE)</f>
        <v>No</v>
      </c>
      <c r="P229" s="207">
        <f>VLOOKUP($A229,'CCRA3 Risks'!$A:$R,4,FALSE)</f>
        <v>3</v>
      </c>
      <c r="Q229" s="206" t="str">
        <f>VLOOKUP($A229,'CCRA3 Risks'!$A:$R,7,FALSE)</f>
        <v>England</v>
      </c>
      <c r="R229" s="206" t="str">
        <f>VLOOKUP($A229,'CCRA3 Risks'!$A:$R,8,FALSE)</f>
        <v xml:space="preserve">Medium </v>
      </c>
      <c r="S229" s="206" t="str">
        <f>VLOOKUP($A229,'CCRA3 Risks'!$A:$R,9,FALSE)</f>
        <v>High</v>
      </c>
      <c r="T229" s="206" t="str">
        <f>VLOOKUP($A229,'CCRA3 Risks'!$A:$R,10,FALSE)</f>
        <v>High</v>
      </c>
      <c r="U229" s="206" t="str">
        <f>VLOOKUP($A229,'CCRA3 Risks'!$A:$R,11,FALSE)</f>
        <v>High</v>
      </c>
      <c r="V229" s="206" t="str">
        <f>VLOOKUP($A229,'CCRA3 Risks'!$A:$R,12,FALSE)</f>
        <v>High</v>
      </c>
      <c r="W229" s="206" t="str">
        <f>VLOOKUP($A229,'CCRA3 Risks'!$A:$R,13,FALSE)</f>
        <v>Partially</v>
      </c>
      <c r="X229" s="206" t="str">
        <f>VLOOKUP($A229,'CCRA3 Risks'!$A:$R,14,FALSE)</f>
        <v>More action needed</v>
      </c>
      <c r="Y229" s="206" t="str">
        <f>VLOOKUP($A229,'CCRA3 Risks'!$A:$R,15,FALSE)</f>
        <v>More action needed</v>
      </c>
      <c r="Z229" s="206" t="str">
        <f>VLOOKUP($A229,'CCRA3 Risks'!$A:$R,16,FALSE)</f>
        <v>Medium (5)</v>
      </c>
      <c r="AA229" s="206" t="str">
        <f>VLOOKUP($A229,'CCRA3 Risks'!$A:$R,17,FALSE)</f>
        <v>Medium (Amber)</v>
      </c>
      <c r="AB229" s="206" t="str">
        <f>VLOOKUP($A229,'CCRA3 Risks'!$A:$R,18,FALSE)</f>
        <v>Medium (implementation of MPA network and new fisheries policy)</v>
      </c>
      <c r="AC229" s="202" t="str">
        <f>VLOOKUP($A229,'CCRA3 Risks'!$A:$AG,19,FALSE)</f>
        <v>Y</v>
      </c>
      <c r="AD229" s="123" t="str">
        <f>VLOOKUP($A229,'CCRA3 Risks'!$A:$AG,20,FALSE)</f>
        <v>Y</v>
      </c>
      <c r="AE229" s="123">
        <f>VLOOKUP($A229,'CCRA3 Risks'!$A:$AG,21,FALSE)</f>
        <v>0</v>
      </c>
      <c r="AF229" s="123">
        <f>VLOOKUP($A229,'CCRA3 Risks'!$A:$AG,22,FALSE)</f>
        <v>0</v>
      </c>
      <c r="AG229" s="123">
        <f>VLOOKUP($A229,'CCRA3 Risks'!$A:$AG,23,FALSE)</f>
        <v>0</v>
      </c>
      <c r="AH229" s="123">
        <f>VLOOKUP($A229,'CCRA3 Risks'!$A:$AG,24,FALSE)</f>
        <v>0</v>
      </c>
      <c r="AI229" s="123">
        <f>VLOOKUP($A229,'CCRA3 Risks'!$A:$AG,25,FALSE)</f>
        <v>0</v>
      </c>
      <c r="AJ229" s="123">
        <f>VLOOKUP($A229,'CCRA3 Risks'!$A:$AG,26,FALSE)</f>
        <v>0</v>
      </c>
      <c r="AK229" s="123">
        <f>VLOOKUP($A229,'CCRA3 Risks'!$A:$AG,27,FALSE)</f>
        <v>0</v>
      </c>
      <c r="AL229" s="123">
        <f>VLOOKUP($A229,'CCRA3 Risks'!$A:$AG,28,FALSE)</f>
        <v>0</v>
      </c>
      <c r="AM229" s="123">
        <f>VLOOKUP($A229,'CCRA3 Risks'!$A:$AG,29,FALSE)</f>
        <v>0</v>
      </c>
      <c r="AN229" s="123">
        <f>VLOOKUP($A229,'CCRA3 Risks'!$A:$AG,30,FALSE)</f>
        <v>0</v>
      </c>
      <c r="AO229" s="123">
        <f>VLOOKUP($A229,'CCRA3 Risks'!$A:$AG,31,FALSE)</f>
        <v>0</v>
      </c>
      <c r="AP229" s="123">
        <f>VLOOKUP($A229,'CCRA3 Risks'!$A:$AG,32,FALSE)</f>
        <v>0</v>
      </c>
      <c r="AQ229" s="123">
        <f>VLOOKUP($A229,'CCRA3 Risks'!$A:$AG,33,FALSE)</f>
        <v>0</v>
      </c>
    </row>
    <row r="230" spans="1:43" ht="76.5" x14ac:dyDescent="0.25">
      <c r="A230" s="88" t="s">
        <v>364</v>
      </c>
      <c r="B230" s="88" t="s">
        <v>1441</v>
      </c>
      <c r="C230" s="83" t="s">
        <v>1442</v>
      </c>
      <c r="D230" s="83" t="s">
        <v>461</v>
      </c>
      <c r="E230" s="88" t="s">
        <v>67</v>
      </c>
      <c r="F230" s="83" t="s">
        <v>396</v>
      </c>
      <c r="G230" s="83" t="s">
        <v>53</v>
      </c>
      <c r="H230" s="83" t="s">
        <v>1443</v>
      </c>
      <c r="I230" s="88"/>
      <c r="J230" s="88" t="s">
        <v>417</v>
      </c>
      <c r="K230" s="83" t="s">
        <v>1444</v>
      </c>
      <c r="L230" s="88" t="s">
        <v>480</v>
      </c>
      <c r="M230" s="88" t="s">
        <v>35</v>
      </c>
      <c r="N230" s="206" t="str">
        <f>VLOOKUP($A230,'CCRA3 Risks'!$A:$R,2,FALSE)</f>
        <v>N14 Risks to marine species, habitats and fisheries from changing climatic conditions, including ocean acidification and higher water temperatures.</v>
      </c>
      <c r="O230" s="206" t="str">
        <f>VLOOKUP($A230,'CCRA3 Risks'!$A:$R,3,FALSE)</f>
        <v>No</v>
      </c>
      <c r="P230" s="207">
        <f>VLOOKUP($A230,'CCRA3 Risks'!$A:$R,4,FALSE)</f>
        <v>3</v>
      </c>
      <c r="Q230" s="206" t="str">
        <f>VLOOKUP($A230,'CCRA3 Risks'!$A:$R,7,FALSE)</f>
        <v>England</v>
      </c>
      <c r="R230" s="206" t="str">
        <f>VLOOKUP($A230,'CCRA3 Risks'!$A:$R,8,FALSE)</f>
        <v xml:space="preserve">Medium </v>
      </c>
      <c r="S230" s="206" t="str">
        <f>VLOOKUP($A230,'CCRA3 Risks'!$A:$R,9,FALSE)</f>
        <v>High</v>
      </c>
      <c r="T230" s="206" t="str">
        <f>VLOOKUP($A230,'CCRA3 Risks'!$A:$R,10,FALSE)</f>
        <v>High</v>
      </c>
      <c r="U230" s="206" t="str">
        <f>VLOOKUP($A230,'CCRA3 Risks'!$A:$R,11,FALSE)</f>
        <v>High</v>
      </c>
      <c r="V230" s="206" t="str">
        <f>VLOOKUP($A230,'CCRA3 Risks'!$A:$R,12,FALSE)</f>
        <v>High</v>
      </c>
      <c r="W230" s="206" t="str">
        <f>VLOOKUP($A230,'CCRA3 Risks'!$A:$R,13,FALSE)</f>
        <v>Partially</v>
      </c>
      <c r="X230" s="206" t="str">
        <f>VLOOKUP($A230,'CCRA3 Risks'!$A:$R,14,FALSE)</f>
        <v>More action needed</v>
      </c>
      <c r="Y230" s="206" t="str">
        <f>VLOOKUP($A230,'CCRA3 Risks'!$A:$R,15,FALSE)</f>
        <v>More action needed</v>
      </c>
      <c r="Z230" s="206" t="str">
        <f>VLOOKUP($A230,'CCRA3 Risks'!$A:$R,16,FALSE)</f>
        <v>Medium (5)</v>
      </c>
      <c r="AA230" s="206" t="str">
        <f>VLOOKUP($A230,'CCRA3 Risks'!$A:$R,17,FALSE)</f>
        <v>Medium (Amber)</v>
      </c>
      <c r="AB230" s="206" t="str">
        <f>VLOOKUP($A230,'CCRA3 Risks'!$A:$R,18,FALSE)</f>
        <v>Medium (implementation of MPA network and new fisheries policy)</v>
      </c>
      <c r="AC230" s="202" t="str">
        <f>VLOOKUP($A230,'CCRA3 Risks'!$A:$AG,19,FALSE)</f>
        <v>Y</v>
      </c>
      <c r="AD230" s="123" t="str">
        <f>VLOOKUP($A230,'CCRA3 Risks'!$A:$AG,20,FALSE)</f>
        <v>Y</v>
      </c>
      <c r="AE230" s="123">
        <f>VLOOKUP($A230,'CCRA3 Risks'!$A:$AG,21,FALSE)</f>
        <v>0</v>
      </c>
      <c r="AF230" s="123">
        <f>VLOOKUP($A230,'CCRA3 Risks'!$A:$AG,22,FALSE)</f>
        <v>0</v>
      </c>
      <c r="AG230" s="123">
        <f>VLOOKUP($A230,'CCRA3 Risks'!$A:$AG,23,FALSE)</f>
        <v>0</v>
      </c>
      <c r="AH230" s="123">
        <f>VLOOKUP($A230,'CCRA3 Risks'!$A:$AG,24,FALSE)</f>
        <v>0</v>
      </c>
      <c r="AI230" s="123">
        <f>VLOOKUP($A230,'CCRA3 Risks'!$A:$AG,25,FALSE)</f>
        <v>0</v>
      </c>
      <c r="AJ230" s="123">
        <f>VLOOKUP($A230,'CCRA3 Risks'!$A:$AG,26,FALSE)</f>
        <v>0</v>
      </c>
      <c r="AK230" s="123">
        <f>VLOOKUP($A230,'CCRA3 Risks'!$A:$AG,27,FALSE)</f>
        <v>0</v>
      </c>
      <c r="AL230" s="123">
        <f>VLOOKUP($A230,'CCRA3 Risks'!$A:$AG,28,FALSE)</f>
        <v>0</v>
      </c>
      <c r="AM230" s="123">
        <f>VLOOKUP($A230,'CCRA3 Risks'!$A:$AG,29,FALSE)</f>
        <v>0</v>
      </c>
      <c r="AN230" s="123">
        <f>VLOOKUP($A230,'CCRA3 Risks'!$A:$AG,30,FALSE)</f>
        <v>0</v>
      </c>
      <c r="AO230" s="123">
        <f>VLOOKUP($A230,'CCRA3 Risks'!$A:$AG,31,FALSE)</f>
        <v>0</v>
      </c>
      <c r="AP230" s="123">
        <f>VLOOKUP($A230,'CCRA3 Risks'!$A:$AG,32,FALSE)</f>
        <v>0</v>
      </c>
      <c r="AQ230" s="123">
        <f>VLOOKUP($A230,'CCRA3 Risks'!$A:$AG,33,FALSE)</f>
        <v>0</v>
      </c>
    </row>
    <row r="231" spans="1:43" ht="173.45" customHeight="1" x14ac:dyDescent="0.25">
      <c r="A231" s="88" t="s">
        <v>364</v>
      </c>
      <c r="B231" s="88" t="s">
        <v>1445</v>
      </c>
      <c r="C231" s="83" t="s">
        <v>1446</v>
      </c>
      <c r="D231" s="83" t="s">
        <v>461</v>
      </c>
      <c r="E231" s="88" t="s">
        <v>67</v>
      </c>
      <c r="F231" s="83" t="s">
        <v>421</v>
      </c>
      <c r="G231" s="83" t="s">
        <v>53</v>
      </c>
      <c r="H231" s="83" t="s">
        <v>1443</v>
      </c>
      <c r="I231" s="88"/>
      <c r="J231" s="88" t="s">
        <v>417</v>
      </c>
      <c r="K231" s="83" t="s">
        <v>1447</v>
      </c>
      <c r="L231" s="88" t="s">
        <v>480</v>
      </c>
      <c r="M231" s="88" t="s">
        <v>35</v>
      </c>
      <c r="N231" s="206" t="str">
        <f>VLOOKUP($A231,'CCRA3 Risks'!$A:$R,2,FALSE)</f>
        <v>N14 Risks to marine species, habitats and fisheries from changing climatic conditions, including ocean acidification and higher water temperatures.</v>
      </c>
      <c r="O231" s="206" t="str">
        <f>VLOOKUP($A231,'CCRA3 Risks'!$A:$R,3,FALSE)</f>
        <v>No</v>
      </c>
      <c r="P231" s="207">
        <f>VLOOKUP($A231,'CCRA3 Risks'!$A:$R,4,FALSE)</f>
        <v>3</v>
      </c>
      <c r="Q231" s="206" t="str">
        <f>VLOOKUP($A231,'CCRA3 Risks'!$A:$R,7,FALSE)</f>
        <v>England</v>
      </c>
      <c r="R231" s="206" t="str">
        <f>VLOOKUP($A231,'CCRA3 Risks'!$A:$R,8,FALSE)</f>
        <v xml:space="preserve">Medium </v>
      </c>
      <c r="S231" s="206" t="str">
        <f>VLOOKUP($A231,'CCRA3 Risks'!$A:$R,9,FALSE)</f>
        <v>High</v>
      </c>
      <c r="T231" s="206" t="str">
        <f>VLOOKUP($A231,'CCRA3 Risks'!$A:$R,10,FALSE)</f>
        <v>High</v>
      </c>
      <c r="U231" s="206" t="str">
        <f>VLOOKUP($A231,'CCRA3 Risks'!$A:$R,11,FALSE)</f>
        <v>High</v>
      </c>
      <c r="V231" s="206" t="str">
        <f>VLOOKUP($A231,'CCRA3 Risks'!$A:$R,12,FALSE)</f>
        <v>High</v>
      </c>
      <c r="W231" s="206" t="str">
        <f>VLOOKUP($A231,'CCRA3 Risks'!$A:$R,13,FALSE)</f>
        <v>Partially</v>
      </c>
      <c r="X231" s="206" t="str">
        <f>VLOOKUP($A231,'CCRA3 Risks'!$A:$R,14,FALSE)</f>
        <v>More action needed</v>
      </c>
      <c r="Y231" s="206" t="str">
        <f>VLOOKUP($A231,'CCRA3 Risks'!$A:$R,15,FALSE)</f>
        <v>More action needed</v>
      </c>
      <c r="Z231" s="206" t="str">
        <f>VLOOKUP($A231,'CCRA3 Risks'!$A:$R,16,FALSE)</f>
        <v>Medium (5)</v>
      </c>
      <c r="AA231" s="206" t="str">
        <f>VLOOKUP($A231,'CCRA3 Risks'!$A:$R,17,FALSE)</f>
        <v>Medium (Amber)</v>
      </c>
      <c r="AB231" s="206" t="str">
        <f>VLOOKUP($A231,'CCRA3 Risks'!$A:$R,18,FALSE)</f>
        <v>Medium (implementation of MPA network and new fisheries policy)</v>
      </c>
      <c r="AC231" s="202" t="str">
        <f>VLOOKUP($A231,'CCRA3 Risks'!$A:$AG,19,FALSE)</f>
        <v>Y</v>
      </c>
      <c r="AD231" s="123" t="str">
        <f>VLOOKUP($A231,'CCRA3 Risks'!$A:$AG,20,FALSE)</f>
        <v>Y</v>
      </c>
      <c r="AE231" s="123">
        <f>VLOOKUP($A231,'CCRA3 Risks'!$A:$AG,21,FALSE)</f>
        <v>0</v>
      </c>
      <c r="AF231" s="123">
        <f>VLOOKUP($A231,'CCRA3 Risks'!$A:$AG,22,FALSE)</f>
        <v>0</v>
      </c>
      <c r="AG231" s="123">
        <f>VLOOKUP($A231,'CCRA3 Risks'!$A:$AG,23,FALSE)</f>
        <v>0</v>
      </c>
      <c r="AH231" s="123">
        <f>VLOOKUP($A231,'CCRA3 Risks'!$A:$AG,24,FALSE)</f>
        <v>0</v>
      </c>
      <c r="AI231" s="123">
        <f>VLOOKUP($A231,'CCRA3 Risks'!$A:$AG,25,FALSE)</f>
        <v>0</v>
      </c>
      <c r="AJ231" s="123">
        <f>VLOOKUP($A231,'CCRA3 Risks'!$A:$AG,26,FALSE)</f>
        <v>0</v>
      </c>
      <c r="AK231" s="123">
        <f>VLOOKUP($A231,'CCRA3 Risks'!$A:$AG,27,FALSE)</f>
        <v>0</v>
      </c>
      <c r="AL231" s="123">
        <f>VLOOKUP($A231,'CCRA3 Risks'!$A:$AG,28,FALSE)</f>
        <v>0</v>
      </c>
      <c r="AM231" s="123">
        <f>VLOOKUP($A231,'CCRA3 Risks'!$A:$AG,29,FALSE)</f>
        <v>0</v>
      </c>
      <c r="AN231" s="123">
        <f>VLOOKUP($A231,'CCRA3 Risks'!$A:$AG,30,FALSE)</f>
        <v>0</v>
      </c>
      <c r="AO231" s="123">
        <f>VLOOKUP($A231,'CCRA3 Risks'!$A:$AG,31,FALSE)</f>
        <v>0</v>
      </c>
      <c r="AP231" s="123">
        <f>VLOOKUP($A231,'CCRA3 Risks'!$A:$AG,32,FALSE)</f>
        <v>0</v>
      </c>
      <c r="AQ231" s="123">
        <f>VLOOKUP($A231,'CCRA3 Risks'!$A:$AG,33,FALSE)</f>
        <v>0</v>
      </c>
    </row>
    <row r="232" spans="1:43" ht="153" x14ac:dyDescent="0.25">
      <c r="A232" s="88" t="s">
        <v>364</v>
      </c>
      <c r="B232" s="88" t="s">
        <v>1448</v>
      </c>
      <c r="C232" s="83" t="s">
        <v>1449</v>
      </c>
      <c r="D232" s="83" t="s">
        <v>461</v>
      </c>
      <c r="E232" s="88" t="s">
        <v>67</v>
      </c>
      <c r="F232" s="83" t="s">
        <v>472</v>
      </c>
      <c r="G232" s="83" t="s">
        <v>30</v>
      </c>
      <c r="H232" s="83" t="s">
        <v>1450</v>
      </c>
      <c r="I232" s="88"/>
      <c r="J232" s="88" t="s">
        <v>463</v>
      </c>
      <c r="K232" s="83" t="s">
        <v>1345</v>
      </c>
      <c r="L232" s="88" t="s">
        <v>480</v>
      </c>
      <c r="M232" s="88" t="s">
        <v>480</v>
      </c>
      <c r="N232" s="206" t="str">
        <f>VLOOKUP($A232,'CCRA3 Risks'!$A:$R,2,FALSE)</f>
        <v>N14 Risks to marine species, habitats and fisheries from changing climatic conditions, including ocean acidification and higher water temperatures.</v>
      </c>
      <c r="O232" s="206" t="str">
        <f>VLOOKUP($A232,'CCRA3 Risks'!$A:$R,3,FALSE)</f>
        <v>No</v>
      </c>
      <c r="P232" s="207">
        <f>VLOOKUP($A232,'CCRA3 Risks'!$A:$R,4,FALSE)</f>
        <v>3</v>
      </c>
      <c r="Q232" s="206" t="str">
        <f>VLOOKUP($A232,'CCRA3 Risks'!$A:$R,7,FALSE)</f>
        <v>England</v>
      </c>
      <c r="R232" s="206" t="str">
        <f>VLOOKUP($A232,'CCRA3 Risks'!$A:$R,8,FALSE)</f>
        <v xml:space="preserve">Medium </v>
      </c>
      <c r="S232" s="206" t="str">
        <f>VLOOKUP($A232,'CCRA3 Risks'!$A:$R,9,FALSE)</f>
        <v>High</v>
      </c>
      <c r="T232" s="206" t="str">
        <f>VLOOKUP($A232,'CCRA3 Risks'!$A:$R,10,FALSE)</f>
        <v>High</v>
      </c>
      <c r="U232" s="206" t="str">
        <f>VLOOKUP($A232,'CCRA3 Risks'!$A:$R,11,FALSE)</f>
        <v>High</v>
      </c>
      <c r="V232" s="206" t="str">
        <f>VLOOKUP($A232,'CCRA3 Risks'!$A:$R,12,FALSE)</f>
        <v>High</v>
      </c>
      <c r="W232" s="206" t="str">
        <f>VLOOKUP($A232,'CCRA3 Risks'!$A:$R,13,FALSE)</f>
        <v>Partially</v>
      </c>
      <c r="X232" s="206" t="str">
        <f>VLOOKUP($A232,'CCRA3 Risks'!$A:$R,14,FALSE)</f>
        <v>More action needed</v>
      </c>
      <c r="Y232" s="206" t="str">
        <f>VLOOKUP($A232,'CCRA3 Risks'!$A:$R,15,FALSE)</f>
        <v>More action needed</v>
      </c>
      <c r="Z232" s="206" t="str">
        <f>VLOOKUP($A232,'CCRA3 Risks'!$A:$R,16,FALSE)</f>
        <v>Medium (5)</v>
      </c>
      <c r="AA232" s="206" t="str">
        <f>VLOOKUP($A232,'CCRA3 Risks'!$A:$R,17,FALSE)</f>
        <v>Medium (Amber)</v>
      </c>
      <c r="AB232" s="206" t="str">
        <f>VLOOKUP($A232,'CCRA3 Risks'!$A:$R,18,FALSE)</f>
        <v>Medium (implementation of MPA network and new fisheries policy)</v>
      </c>
      <c r="AC232" s="202" t="str">
        <f>VLOOKUP($A232,'CCRA3 Risks'!$A:$AG,19,FALSE)</f>
        <v>Y</v>
      </c>
      <c r="AD232" s="123" t="str">
        <f>VLOOKUP($A232,'CCRA3 Risks'!$A:$AG,20,FALSE)</f>
        <v>Y</v>
      </c>
      <c r="AE232" s="123">
        <f>VLOOKUP($A232,'CCRA3 Risks'!$A:$AG,21,FALSE)</f>
        <v>0</v>
      </c>
      <c r="AF232" s="123">
        <f>VLOOKUP($A232,'CCRA3 Risks'!$A:$AG,22,FALSE)</f>
        <v>0</v>
      </c>
      <c r="AG232" s="123">
        <f>VLOOKUP($A232,'CCRA3 Risks'!$A:$AG,23,FALSE)</f>
        <v>0</v>
      </c>
      <c r="AH232" s="123">
        <f>VLOOKUP($A232,'CCRA3 Risks'!$A:$AG,24,FALSE)</f>
        <v>0</v>
      </c>
      <c r="AI232" s="123">
        <f>VLOOKUP($A232,'CCRA3 Risks'!$A:$AG,25,FALSE)</f>
        <v>0</v>
      </c>
      <c r="AJ232" s="123">
        <f>VLOOKUP($A232,'CCRA3 Risks'!$A:$AG,26,FALSE)</f>
        <v>0</v>
      </c>
      <c r="AK232" s="123">
        <f>VLOOKUP($A232,'CCRA3 Risks'!$A:$AG,27,FALSE)</f>
        <v>0</v>
      </c>
      <c r="AL232" s="123">
        <f>VLOOKUP($A232,'CCRA3 Risks'!$A:$AG,28,FALSE)</f>
        <v>0</v>
      </c>
      <c r="AM232" s="123">
        <f>VLOOKUP($A232,'CCRA3 Risks'!$A:$AG,29,FALSE)</f>
        <v>0</v>
      </c>
      <c r="AN232" s="123">
        <f>VLOOKUP($A232,'CCRA3 Risks'!$A:$AG,30,FALSE)</f>
        <v>0</v>
      </c>
      <c r="AO232" s="123">
        <f>VLOOKUP($A232,'CCRA3 Risks'!$A:$AG,31,FALSE)</f>
        <v>0</v>
      </c>
      <c r="AP232" s="123">
        <f>VLOOKUP($A232,'CCRA3 Risks'!$A:$AG,32,FALSE)</f>
        <v>0</v>
      </c>
      <c r="AQ232" s="123">
        <f>VLOOKUP($A232,'CCRA3 Risks'!$A:$AG,33,FALSE)</f>
        <v>0</v>
      </c>
    </row>
    <row r="233" spans="1:43" ht="127.5" x14ac:dyDescent="0.25">
      <c r="A233" s="88" t="s">
        <v>367</v>
      </c>
      <c r="B233" s="88" t="s">
        <v>1451</v>
      </c>
      <c r="C233" s="83" t="s">
        <v>1452</v>
      </c>
      <c r="D233" s="83" t="s">
        <v>461</v>
      </c>
      <c r="E233" s="88" t="s">
        <v>67</v>
      </c>
      <c r="F233" s="83" t="s">
        <v>33</v>
      </c>
      <c r="G233" s="83" t="s">
        <v>20</v>
      </c>
      <c r="H233" s="83" t="s">
        <v>1453</v>
      </c>
      <c r="I233" s="88"/>
      <c r="J233" s="88" t="s">
        <v>463</v>
      </c>
      <c r="K233" s="83" t="s">
        <v>1454</v>
      </c>
      <c r="L233" s="88" t="s">
        <v>480</v>
      </c>
      <c r="M233" s="88" t="s">
        <v>480</v>
      </c>
      <c r="N233" s="206" t="str">
        <f>VLOOKUP($A233,'CCRA3 Risks'!$A:$R,2,FALSE)</f>
        <v>N15 Opportunities to marine species, habitats and fisheries from changing climatic conditions</v>
      </c>
      <c r="O233" s="206" t="str">
        <f>VLOOKUP($A233,'CCRA3 Risks'!$A:$R,3,FALSE)</f>
        <v>No</v>
      </c>
      <c r="P233" s="207">
        <f>VLOOKUP($A233,'CCRA3 Risks'!$A:$R,4,FALSE)</f>
        <v>3</v>
      </c>
      <c r="Q233" s="206" t="str">
        <f>VLOOKUP($A233,'CCRA3 Risks'!$A:$R,7,FALSE)</f>
        <v>England</v>
      </c>
      <c r="R233" s="206" t="str">
        <f>VLOOKUP($A233,'CCRA3 Risks'!$A:$R,8,FALSE)</f>
        <v>Medium</v>
      </c>
      <c r="S233" s="206" t="str">
        <f>VLOOKUP($A233,'CCRA3 Risks'!$A:$R,9,FALSE)</f>
        <v>High</v>
      </c>
      <c r="T233" s="206" t="str">
        <f>VLOOKUP($A233,'CCRA3 Risks'!$A:$R,10,FALSE)</f>
        <v>High</v>
      </c>
      <c r="U233" s="206" t="str">
        <f>VLOOKUP($A233,'CCRA3 Risks'!$A:$R,11,FALSE)</f>
        <v>High</v>
      </c>
      <c r="V233" s="206" t="str">
        <f>VLOOKUP($A233,'CCRA3 Risks'!$A:$R,12,FALSE)</f>
        <v>High</v>
      </c>
      <c r="W233" s="206" t="str">
        <f>VLOOKUP($A233,'CCRA3 Risks'!$A:$R,13,FALSE)</f>
        <v>No</v>
      </c>
      <c r="X233" s="206" t="str">
        <f>VLOOKUP($A233,'CCRA3 Risks'!$A:$R,14,FALSE)</f>
        <v>Further investigation</v>
      </c>
      <c r="Y233" s="206" t="str">
        <f>VLOOKUP($A233,'CCRA3 Risks'!$A:$R,15,FALSE)</f>
        <v>Further Investigation</v>
      </c>
      <c r="Z233" s="206" t="str">
        <f>VLOOKUP($A233,'CCRA3 Risks'!$A:$R,16,FALSE)</f>
        <v>Medium (5)</v>
      </c>
      <c r="AA233" s="206" t="str">
        <f>VLOOKUP($A233,'CCRA3 Risks'!$A:$R,17,FALSE)</f>
        <v>N/A</v>
      </c>
      <c r="AB233" s="206" t="str">
        <f>VLOOKUP($A233,'CCRA3 Risks'!$A:$R,18,FALSE)</f>
        <v>Medium (implementation of MPA network and new fisheries policy)</v>
      </c>
      <c r="AC233" s="202" t="str">
        <f>VLOOKUP($A233,'CCRA3 Risks'!$A:$AG,19,FALSE)</f>
        <v>Y</v>
      </c>
      <c r="AD233" s="123" t="str">
        <f>VLOOKUP($A233,'CCRA3 Risks'!$A:$AG,20,FALSE)</f>
        <v>Y</v>
      </c>
      <c r="AE233" s="123">
        <f>VLOOKUP($A233,'CCRA3 Risks'!$A:$AG,21,FALSE)</f>
        <v>0</v>
      </c>
      <c r="AF233" s="123">
        <f>VLOOKUP($A233,'CCRA3 Risks'!$A:$AG,22,FALSE)</f>
        <v>0</v>
      </c>
      <c r="AG233" s="123">
        <f>VLOOKUP($A233,'CCRA3 Risks'!$A:$AG,23,FALSE)</f>
        <v>0</v>
      </c>
      <c r="AH233" s="123">
        <f>VLOOKUP($A233,'CCRA3 Risks'!$A:$AG,24,FALSE)</f>
        <v>0</v>
      </c>
      <c r="AI233" s="123">
        <f>VLOOKUP($A233,'CCRA3 Risks'!$A:$AG,25,FALSE)</f>
        <v>0</v>
      </c>
      <c r="AJ233" s="123">
        <f>VLOOKUP($A233,'CCRA3 Risks'!$A:$AG,26,FALSE)</f>
        <v>0</v>
      </c>
      <c r="AK233" s="123">
        <f>VLOOKUP($A233,'CCRA3 Risks'!$A:$AG,27,FALSE)</f>
        <v>0</v>
      </c>
      <c r="AL233" s="123">
        <f>VLOOKUP($A233,'CCRA3 Risks'!$A:$AG,28,FALSE)</f>
        <v>0</v>
      </c>
      <c r="AM233" s="123">
        <f>VLOOKUP($A233,'CCRA3 Risks'!$A:$AG,29,FALSE)</f>
        <v>0</v>
      </c>
      <c r="AN233" s="123">
        <f>VLOOKUP($A233,'CCRA3 Risks'!$A:$AG,30,FALSE)</f>
        <v>0</v>
      </c>
      <c r="AO233" s="123">
        <f>VLOOKUP($A233,'CCRA3 Risks'!$A:$AG,31,FALSE)</f>
        <v>0</v>
      </c>
      <c r="AP233" s="123">
        <f>VLOOKUP($A233,'CCRA3 Risks'!$A:$AG,32,FALSE)</f>
        <v>0</v>
      </c>
      <c r="AQ233" s="123">
        <f>VLOOKUP($A233,'CCRA3 Risks'!$A:$AG,33,FALSE)</f>
        <v>0</v>
      </c>
    </row>
    <row r="234" spans="1:43" ht="140.25" x14ac:dyDescent="0.25">
      <c r="A234" s="88" t="s">
        <v>367</v>
      </c>
      <c r="B234" s="88" t="s">
        <v>1455</v>
      </c>
      <c r="C234" s="83" t="s">
        <v>1456</v>
      </c>
      <c r="D234" s="83" t="s">
        <v>461</v>
      </c>
      <c r="E234" s="88" t="s">
        <v>67</v>
      </c>
      <c r="F234" s="83" t="s">
        <v>421</v>
      </c>
      <c r="G234" s="83" t="s">
        <v>30</v>
      </c>
      <c r="H234" s="83" t="s">
        <v>1457</v>
      </c>
      <c r="I234" s="88"/>
      <c r="J234" s="88" t="s">
        <v>411</v>
      </c>
      <c r="K234" s="83" t="s">
        <v>1458</v>
      </c>
      <c r="L234" s="88" t="s">
        <v>480</v>
      </c>
      <c r="M234" s="88" t="s">
        <v>480</v>
      </c>
      <c r="N234" s="206" t="str">
        <f>VLOOKUP($A234,'CCRA3 Risks'!$A:$R,2,FALSE)</f>
        <v>N15 Opportunities to marine species, habitats and fisheries from changing climatic conditions</v>
      </c>
      <c r="O234" s="206" t="str">
        <f>VLOOKUP($A234,'CCRA3 Risks'!$A:$R,3,FALSE)</f>
        <v>No</v>
      </c>
      <c r="P234" s="207">
        <f>VLOOKUP($A234,'CCRA3 Risks'!$A:$R,4,FALSE)</f>
        <v>3</v>
      </c>
      <c r="Q234" s="206" t="str">
        <f>VLOOKUP($A234,'CCRA3 Risks'!$A:$R,7,FALSE)</f>
        <v>England</v>
      </c>
      <c r="R234" s="206" t="str">
        <f>VLOOKUP($A234,'CCRA3 Risks'!$A:$R,8,FALSE)</f>
        <v>Medium</v>
      </c>
      <c r="S234" s="206" t="str">
        <f>VLOOKUP($A234,'CCRA3 Risks'!$A:$R,9,FALSE)</f>
        <v>High</v>
      </c>
      <c r="T234" s="206" t="str">
        <f>VLOOKUP($A234,'CCRA3 Risks'!$A:$R,10,FALSE)</f>
        <v>High</v>
      </c>
      <c r="U234" s="206" t="str">
        <f>VLOOKUP($A234,'CCRA3 Risks'!$A:$R,11,FALSE)</f>
        <v>High</v>
      </c>
      <c r="V234" s="206" t="str">
        <f>VLOOKUP($A234,'CCRA3 Risks'!$A:$R,12,FALSE)</f>
        <v>High</v>
      </c>
      <c r="W234" s="206" t="str">
        <f>VLOOKUP($A234,'CCRA3 Risks'!$A:$R,13,FALSE)</f>
        <v>No</v>
      </c>
      <c r="X234" s="206" t="str">
        <f>VLOOKUP($A234,'CCRA3 Risks'!$A:$R,14,FALSE)</f>
        <v>Further investigation</v>
      </c>
      <c r="Y234" s="206" t="str">
        <f>VLOOKUP($A234,'CCRA3 Risks'!$A:$R,15,FALSE)</f>
        <v>Further Investigation</v>
      </c>
      <c r="Z234" s="206" t="str">
        <f>VLOOKUP($A234,'CCRA3 Risks'!$A:$R,16,FALSE)</f>
        <v>Medium (5)</v>
      </c>
      <c r="AA234" s="206" t="str">
        <f>VLOOKUP($A234,'CCRA3 Risks'!$A:$R,17,FALSE)</f>
        <v>N/A</v>
      </c>
      <c r="AB234" s="206" t="str">
        <f>VLOOKUP($A234,'CCRA3 Risks'!$A:$R,18,FALSE)</f>
        <v>Medium (implementation of MPA network and new fisheries policy)</v>
      </c>
      <c r="AC234" s="202" t="str">
        <f>VLOOKUP($A234,'CCRA3 Risks'!$A:$AG,19,FALSE)</f>
        <v>Y</v>
      </c>
      <c r="AD234" s="123" t="str">
        <f>VLOOKUP($A234,'CCRA3 Risks'!$A:$AG,20,FALSE)</f>
        <v>Y</v>
      </c>
      <c r="AE234" s="123">
        <f>VLOOKUP($A234,'CCRA3 Risks'!$A:$AG,21,FALSE)</f>
        <v>0</v>
      </c>
      <c r="AF234" s="123">
        <f>VLOOKUP($A234,'CCRA3 Risks'!$A:$AG,22,FALSE)</f>
        <v>0</v>
      </c>
      <c r="AG234" s="123">
        <f>VLOOKUP($A234,'CCRA3 Risks'!$A:$AG,23,FALSE)</f>
        <v>0</v>
      </c>
      <c r="AH234" s="123">
        <f>VLOOKUP($A234,'CCRA3 Risks'!$A:$AG,24,FALSE)</f>
        <v>0</v>
      </c>
      <c r="AI234" s="123">
        <f>VLOOKUP($A234,'CCRA3 Risks'!$A:$AG,25,FALSE)</f>
        <v>0</v>
      </c>
      <c r="AJ234" s="123">
        <f>VLOOKUP($A234,'CCRA3 Risks'!$A:$AG,26,FALSE)</f>
        <v>0</v>
      </c>
      <c r="AK234" s="123">
        <f>VLOOKUP($A234,'CCRA3 Risks'!$A:$AG,27,FALSE)</f>
        <v>0</v>
      </c>
      <c r="AL234" s="123">
        <f>VLOOKUP($A234,'CCRA3 Risks'!$A:$AG,28,FALSE)</f>
        <v>0</v>
      </c>
      <c r="AM234" s="123">
        <f>VLOOKUP($A234,'CCRA3 Risks'!$A:$AG,29,FALSE)</f>
        <v>0</v>
      </c>
      <c r="AN234" s="123">
        <f>VLOOKUP($A234,'CCRA3 Risks'!$A:$AG,30,FALSE)</f>
        <v>0</v>
      </c>
      <c r="AO234" s="123">
        <f>VLOOKUP($A234,'CCRA3 Risks'!$A:$AG,31,FALSE)</f>
        <v>0</v>
      </c>
      <c r="AP234" s="123">
        <f>VLOOKUP($A234,'CCRA3 Risks'!$A:$AG,32,FALSE)</f>
        <v>0</v>
      </c>
      <c r="AQ234" s="123">
        <f>VLOOKUP($A234,'CCRA3 Risks'!$A:$AG,33,FALSE)</f>
        <v>0</v>
      </c>
    </row>
    <row r="235" spans="1:43" ht="114.75" x14ac:dyDescent="0.25">
      <c r="A235" s="88" t="s">
        <v>367</v>
      </c>
      <c r="B235" s="88" t="s">
        <v>1459</v>
      </c>
      <c r="C235" s="83" t="s">
        <v>1460</v>
      </c>
      <c r="D235" s="83" t="s">
        <v>461</v>
      </c>
      <c r="E235" s="88" t="s">
        <v>67</v>
      </c>
      <c r="F235" s="83" t="s">
        <v>421</v>
      </c>
      <c r="G235" s="83" t="s">
        <v>53</v>
      </c>
      <c r="H235" s="83" t="s">
        <v>1461</v>
      </c>
      <c r="I235" s="88"/>
      <c r="J235" s="88" t="s">
        <v>398</v>
      </c>
      <c r="K235" s="83" t="s">
        <v>1462</v>
      </c>
      <c r="L235" s="88" t="s">
        <v>480</v>
      </c>
      <c r="M235" s="88" t="s">
        <v>480</v>
      </c>
      <c r="N235" s="206" t="str">
        <f>VLOOKUP($A235,'CCRA3 Risks'!$A:$R,2,FALSE)</f>
        <v>N15 Opportunities to marine species, habitats and fisheries from changing climatic conditions</v>
      </c>
      <c r="O235" s="206" t="str">
        <f>VLOOKUP($A235,'CCRA3 Risks'!$A:$R,3,FALSE)</f>
        <v>No</v>
      </c>
      <c r="P235" s="207">
        <f>VLOOKUP($A235,'CCRA3 Risks'!$A:$R,4,FALSE)</f>
        <v>3</v>
      </c>
      <c r="Q235" s="206" t="str">
        <f>VLOOKUP($A235,'CCRA3 Risks'!$A:$R,7,FALSE)</f>
        <v>England</v>
      </c>
      <c r="R235" s="206" t="str">
        <f>VLOOKUP($A235,'CCRA3 Risks'!$A:$R,8,FALSE)</f>
        <v>Medium</v>
      </c>
      <c r="S235" s="206" t="str">
        <f>VLOOKUP($A235,'CCRA3 Risks'!$A:$R,9,FALSE)</f>
        <v>High</v>
      </c>
      <c r="T235" s="206" t="str">
        <f>VLOOKUP($A235,'CCRA3 Risks'!$A:$R,10,FALSE)</f>
        <v>High</v>
      </c>
      <c r="U235" s="206" t="str">
        <f>VLOOKUP($A235,'CCRA3 Risks'!$A:$R,11,FALSE)</f>
        <v>High</v>
      </c>
      <c r="V235" s="206" t="str">
        <f>VLOOKUP($A235,'CCRA3 Risks'!$A:$R,12,FALSE)</f>
        <v>High</v>
      </c>
      <c r="W235" s="206" t="str">
        <f>VLOOKUP($A235,'CCRA3 Risks'!$A:$R,13,FALSE)</f>
        <v>No</v>
      </c>
      <c r="X235" s="206" t="str">
        <f>VLOOKUP($A235,'CCRA3 Risks'!$A:$R,14,FALSE)</f>
        <v>Further investigation</v>
      </c>
      <c r="Y235" s="206" t="str">
        <f>VLOOKUP($A235,'CCRA3 Risks'!$A:$R,15,FALSE)</f>
        <v>Further Investigation</v>
      </c>
      <c r="Z235" s="206" t="str">
        <f>VLOOKUP($A235,'CCRA3 Risks'!$A:$R,16,FALSE)</f>
        <v>Medium (5)</v>
      </c>
      <c r="AA235" s="206" t="str">
        <f>VLOOKUP($A235,'CCRA3 Risks'!$A:$R,17,FALSE)</f>
        <v>N/A</v>
      </c>
      <c r="AB235" s="206" t="str">
        <f>VLOOKUP($A235,'CCRA3 Risks'!$A:$R,18,FALSE)</f>
        <v>Medium (implementation of MPA network and new fisheries policy)</v>
      </c>
      <c r="AC235" s="202" t="str">
        <f>VLOOKUP($A235,'CCRA3 Risks'!$A:$AG,19,FALSE)</f>
        <v>Y</v>
      </c>
      <c r="AD235" s="123" t="str">
        <f>VLOOKUP($A235,'CCRA3 Risks'!$A:$AG,20,FALSE)</f>
        <v>Y</v>
      </c>
      <c r="AE235" s="123">
        <f>VLOOKUP($A235,'CCRA3 Risks'!$A:$AG,21,FALSE)</f>
        <v>0</v>
      </c>
      <c r="AF235" s="123">
        <f>VLOOKUP($A235,'CCRA3 Risks'!$A:$AG,22,FALSE)</f>
        <v>0</v>
      </c>
      <c r="AG235" s="123">
        <f>VLOOKUP($A235,'CCRA3 Risks'!$A:$AG,23,FALSE)</f>
        <v>0</v>
      </c>
      <c r="AH235" s="123">
        <f>VLOOKUP($A235,'CCRA3 Risks'!$A:$AG,24,FALSE)</f>
        <v>0</v>
      </c>
      <c r="AI235" s="123">
        <f>VLOOKUP($A235,'CCRA3 Risks'!$A:$AG,25,FALSE)</f>
        <v>0</v>
      </c>
      <c r="AJ235" s="123">
        <f>VLOOKUP($A235,'CCRA3 Risks'!$A:$AG,26,FALSE)</f>
        <v>0</v>
      </c>
      <c r="AK235" s="123">
        <f>VLOOKUP($A235,'CCRA3 Risks'!$A:$AG,27,FALSE)</f>
        <v>0</v>
      </c>
      <c r="AL235" s="123">
        <f>VLOOKUP($A235,'CCRA3 Risks'!$A:$AG,28,FALSE)</f>
        <v>0</v>
      </c>
      <c r="AM235" s="123">
        <f>VLOOKUP($A235,'CCRA3 Risks'!$A:$AG,29,FALSE)</f>
        <v>0</v>
      </c>
      <c r="AN235" s="123">
        <f>VLOOKUP($A235,'CCRA3 Risks'!$A:$AG,30,FALSE)</f>
        <v>0</v>
      </c>
      <c r="AO235" s="123">
        <f>VLOOKUP($A235,'CCRA3 Risks'!$A:$AG,31,FALSE)</f>
        <v>0</v>
      </c>
      <c r="AP235" s="123">
        <f>VLOOKUP($A235,'CCRA3 Risks'!$A:$AG,32,FALSE)</f>
        <v>0</v>
      </c>
      <c r="AQ235" s="123">
        <f>VLOOKUP($A235,'CCRA3 Risks'!$A:$AG,33,FALSE)</f>
        <v>0</v>
      </c>
    </row>
    <row r="236" spans="1:43" ht="114.75" x14ac:dyDescent="0.25">
      <c r="A236" s="88" t="s">
        <v>370</v>
      </c>
      <c r="B236" s="88" t="s">
        <v>1463</v>
      </c>
      <c r="C236" s="83" t="s">
        <v>1464</v>
      </c>
      <c r="D236" s="83" t="s">
        <v>461</v>
      </c>
      <c r="E236" s="88" t="s">
        <v>67</v>
      </c>
      <c r="F236" s="83" t="s">
        <v>421</v>
      </c>
      <c r="G236" s="83" t="s">
        <v>30</v>
      </c>
      <c r="H236" s="83" t="s">
        <v>1465</v>
      </c>
      <c r="I236" s="88"/>
      <c r="J236" s="88" t="s">
        <v>411</v>
      </c>
      <c r="K236" s="83" t="s">
        <v>1466</v>
      </c>
      <c r="L236" s="88" t="s">
        <v>480</v>
      </c>
      <c r="M236" s="88" t="s">
        <v>480</v>
      </c>
      <c r="N236" s="206" t="str">
        <f>VLOOKUP($A236,'CCRA3 Risks'!$A:$R,2,FALSE)</f>
        <v>N16 Risks to marine species and habitats from pests, pathogens and invasive species</v>
      </c>
      <c r="O236" s="206" t="str">
        <f>VLOOKUP($A236,'CCRA3 Risks'!$A:$R,3,FALSE)</f>
        <v>No</v>
      </c>
      <c r="P236" s="207">
        <f>VLOOKUP($A236,'CCRA3 Risks'!$A:$R,4,FALSE)</f>
        <v>3</v>
      </c>
      <c r="Q236" s="206" t="str">
        <f>VLOOKUP($A236,'CCRA3 Risks'!$A:$R,7,FALSE)</f>
        <v>England</v>
      </c>
      <c r="R236" s="206" t="str">
        <f>VLOOKUP($A236,'CCRA3 Risks'!$A:$R,8,FALSE)</f>
        <v xml:space="preserve">Medium </v>
      </c>
      <c r="S236" s="206" t="str">
        <f>VLOOKUP($A236,'CCRA3 Risks'!$A:$R,9,FALSE)</f>
        <v>High</v>
      </c>
      <c r="T236" s="206" t="str">
        <f>VLOOKUP($A236,'CCRA3 Risks'!$A:$R,10,FALSE)</f>
        <v>High</v>
      </c>
      <c r="U236" s="206" t="str">
        <f>VLOOKUP($A236,'CCRA3 Risks'!$A:$R,11,FALSE)</f>
        <v>High</v>
      </c>
      <c r="V236" s="206" t="str">
        <f>VLOOKUP($A236,'CCRA3 Risks'!$A:$R,12,FALSE)</f>
        <v>High</v>
      </c>
      <c r="W236" s="206" t="str">
        <f>VLOOKUP($A236,'CCRA3 Risks'!$A:$R,13,FALSE)</f>
        <v>Partially</v>
      </c>
      <c r="X236" s="206" t="str">
        <f>VLOOKUP($A236,'CCRA3 Risks'!$A:$R,14,FALSE)</f>
        <v>More action needed</v>
      </c>
      <c r="Y236" s="206" t="str">
        <f>VLOOKUP($A236,'CCRA3 Risks'!$A:$R,15,FALSE)</f>
        <v>More action needed</v>
      </c>
      <c r="Z236" s="206" t="str">
        <f>VLOOKUP($A236,'CCRA3 Risks'!$A:$R,16,FALSE)</f>
        <v>Medium (5)</v>
      </c>
      <c r="AA236" s="206" t="str">
        <f>VLOOKUP($A236,'CCRA3 Risks'!$A:$R,17,FALSE)</f>
        <v>Medium (Amber)</v>
      </c>
      <c r="AB236" s="206" t="str">
        <f>VLOOKUP($A236,'CCRA3 Risks'!$A:$R,18,FALSE)</f>
        <v>Medium (implementation of MPA network and new fisheries policy)</v>
      </c>
      <c r="AC236" s="202" t="str">
        <f>VLOOKUP($A236,'CCRA3 Risks'!$A:$AG,19,FALSE)</f>
        <v>Y</v>
      </c>
      <c r="AD236" s="123" t="str">
        <f>VLOOKUP($A236,'CCRA3 Risks'!$A:$AG,20,FALSE)</f>
        <v>Y</v>
      </c>
      <c r="AE236" s="123">
        <f>VLOOKUP($A236,'CCRA3 Risks'!$A:$AG,21,FALSE)</f>
        <v>0</v>
      </c>
      <c r="AF236" s="123">
        <f>VLOOKUP($A236,'CCRA3 Risks'!$A:$AG,22,FALSE)</f>
        <v>0</v>
      </c>
      <c r="AG236" s="123">
        <f>VLOOKUP($A236,'CCRA3 Risks'!$A:$AG,23,FALSE)</f>
        <v>0</v>
      </c>
      <c r="AH236" s="123">
        <f>VLOOKUP($A236,'CCRA3 Risks'!$A:$AG,24,FALSE)</f>
        <v>0</v>
      </c>
      <c r="AI236" s="123">
        <f>VLOOKUP($A236,'CCRA3 Risks'!$A:$AG,25,FALSE)</f>
        <v>0</v>
      </c>
      <c r="AJ236" s="123">
        <f>VLOOKUP($A236,'CCRA3 Risks'!$A:$AG,26,FALSE)</f>
        <v>0</v>
      </c>
      <c r="AK236" s="123">
        <f>VLOOKUP($A236,'CCRA3 Risks'!$A:$AG,27,FALSE)</f>
        <v>0</v>
      </c>
      <c r="AL236" s="123">
        <f>VLOOKUP($A236,'CCRA3 Risks'!$A:$AG,28,FALSE)</f>
        <v>0</v>
      </c>
      <c r="AM236" s="123">
        <f>VLOOKUP($A236,'CCRA3 Risks'!$A:$AG,29,FALSE)</f>
        <v>0</v>
      </c>
      <c r="AN236" s="123">
        <f>VLOOKUP($A236,'CCRA3 Risks'!$A:$AG,30,FALSE)</f>
        <v>0</v>
      </c>
      <c r="AO236" s="123">
        <f>VLOOKUP($A236,'CCRA3 Risks'!$A:$AG,31,FALSE)</f>
        <v>0</v>
      </c>
      <c r="AP236" s="123">
        <f>VLOOKUP($A236,'CCRA3 Risks'!$A:$AG,32,FALSE)</f>
        <v>0</v>
      </c>
      <c r="AQ236" s="123">
        <f>VLOOKUP($A236,'CCRA3 Risks'!$A:$AG,33,FALSE)</f>
        <v>0</v>
      </c>
    </row>
    <row r="237" spans="1:43" ht="140.25" x14ac:dyDescent="0.25">
      <c r="A237" s="88" t="s">
        <v>370</v>
      </c>
      <c r="B237" s="88" t="s">
        <v>1467</v>
      </c>
      <c r="C237" s="83" t="s">
        <v>1468</v>
      </c>
      <c r="D237" s="83" t="s">
        <v>403</v>
      </c>
      <c r="E237" s="88" t="s">
        <v>67</v>
      </c>
      <c r="F237" s="83" t="s">
        <v>33</v>
      </c>
      <c r="G237" s="83" t="s">
        <v>20</v>
      </c>
      <c r="H237" s="83" t="s">
        <v>1469</v>
      </c>
      <c r="I237" s="88"/>
      <c r="J237" s="88" t="s">
        <v>463</v>
      </c>
      <c r="K237" s="83" t="s">
        <v>1470</v>
      </c>
      <c r="L237" s="88" t="s">
        <v>480</v>
      </c>
      <c r="M237" s="83" t="s">
        <v>1419</v>
      </c>
      <c r="N237" s="206" t="str">
        <f>VLOOKUP($A237,'CCRA3 Risks'!$A:$R,2,FALSE)</f>
        <v>N16 Risks to marine species and habitats from pests, pathogens and invasive species</v>
      </c>
      <c r="O237" s="206" t="str">
        <f>VLOOKUP($A237,'CCRA3 Risks'!$A:$R,3,FALSE)</f>
        <v>No</v>
      </c>
      <c r="P237" s="207">
        <f>VLOOKUP($A237,'CCRA3 Risks'!$A:$R,4,FALSE)</f>
        <v>3</v>
      </c>
      <c r="Q237" s="206" t="str">
        <f>VLOOKUP($A237,'CCRA3 Risks'!$A:$R,7,FALSE)</f>
        <v>England</v>
      </c>
      <c r="R237" s="206" t="str">
        <f>VLOOKUP($A237,'CCRA3 Risks'!$A:$R,8,FALSE)</f>
        <v xml:space="preserve">Medium </v>
      </c>
      <c r="S237" s="206" t="str">
        <f>VLOOKUP($A237,'CCRA3 Risks'!$A:$R,9,FALSE)</f>
        <v>High</v>
      </c>
      <c r="T237" s="206" t="str">
        <f>VLOOKUP($A237,'CCRA3 Risks'!$A:$R,10,FALSE)</f>
        <v>High</v>
      </c>
      <c r="U237" s="206" t="str">
        <f>VLOOKUP($A237,'CCRA3 Risks'!$A:$R,11,FALSE)</f>
        <v>High</v>
      </c>
      <c r="V237" s="206" t="str">
        <f>VLOOKUP($A237,'CCRA3 Risks'!$A:$R,12,FALSE)</f>
        <v>High</v>
      </c>
      <c r="W237" s="206" t="str">
        <f>VLOOKUP($A237,'CCRA3 Risks'!$A:$R,13,FALSE)</f>
        <v>Partially</v>
      </c>
      <c r="X237" s="206" t="str">
        <f>VLOOKUP($A237,'CCRA3 Risks'!$A:$R,14,FALSE)</f>
        <v>More action needed</v>
      </c>
      <c r="Y237" s="206" t="str">
        <f>VLOOKUP($A237,'CCRA3 Risks'!$A:$R,15,FALSE)</f>
        <v>More action needed</v>
      </c>
      <c r="Z237" s="206" t="str">
        <f>VLOOKUP($A237,'CCRA3 Risks'!$A:$R,16,FALSE)</f>
        <v>Medium (5)</v>
      </c>
      <c r="AA237" s="206" t="str">
        <f>VLOOKUP($A237,'CCRA3 Risks'!$A:$R,17,FALSE)</f>
        <v>Medium (Amber)</v>
      </c>
      <c r="AB237" s="206" t="str">
        <f>VLOOKUP($A237,'CCRA3 Risks'!$A:$R,18,FALSE)</f>
        <v>Medium (implementation of MPA network and new fisheries policy)</v>
      </c>
      <c r="AC237" s="202" t="str">
        <f>VLOOKUP($A237,'CCRA3 Risks'!$A:$AG,19,FALSE)</f>
        <v>Y</v>
      </c>
      <c r="AD237" s="123" t="str">
        <f>VLOOKUP($A237,'CCRA3 Risks'!$A:$AG,20,FALSE)</f>
        <v>Y</v>
      </c>
      <c r="AE237" s="123">
        <f>VLOOKUP($A237,'CCRA3 Risks'!$A:$AG,21,FALSE)</f>
        <v>0</v>
      </c>
      <c r="AF237" s="123">
        <f>VLOOKUP($A237,'CCRA3 Risks'!$A:$AG,22,FALSE)</f>
        <v>0</v>
      </c>
      <c r="AG237" s="123">
        <f>VLOOKUP($A237,'CCRA3 Risks'!$A:$AG,23,FALSE)</f>
        <v>0</v>
      </c>
      <c r="AH237" s="123">
        <f>VLOOKUP($A237,'CCRA3 Risks'!$A:$AG,24,FALSE)</f>
        <v>0</v>
      </c>
      <c r="AI237" s="123">
        <f>VLOOKUP($A237,'CCRA3 Risks'!$A:$AG,25,FALSE)</f>
        <v>0</v>
      </c>
      <c r="AJ237" s="123">
        <f>VLOOKUP($A237,'CCRA3 Risks'!$A:$AG,26,FALSE)</f>
        <v>0</v>
      </c>
      <c r="AK237" s="123">
        <f>VLOOKUP($A237,'CCRA3 Risks'!$A:$AG,27,FALSE)</f>
        <v>0</v>
      </c>
      <c r="AL237" s="123">
        <f>VLOOKUP($A237,'CCRA3 Risks'!$A:$AG,28,FALSE)</f>
        <v>0</v>
      </c>
      <c r="AM237" s="123">
        <f>VLOOKUP($A237,'CCRA3 Risks'!$A:$AG,29,FALSE)</f>
        <v>0</v>
      </c>
      <c r="AN237" s="123">
        <f>VLOOKUP($A237,'CCRA3 Risks'!$A:$AG,30,FALSE)</f>
        <v>0</v>
      </c>
      <c r="AO237" s="123">
        <f>VLOOKUP($A237,'CCRA3 Risks'!$A:$AG,31,FALSE)</f>
        <v>0</v>
      </c>
      <c r="AP237" s="123">
        <f>VLOOKUP($A237,'CCRA3 Risks'!$A:$AG,32,FALSE)</f>
        <v>0</v>
      </c>
      <c r="AQ237" s="123">
        <f>VLOOKUP($A237,'CCRA3 Risks'!$A:$AG,33,FALSE)</f>
        <v>0</v>
      </c>
    </row>
    <row r="238" spans="1:43" ht="140.25" x14ac:dyDescent="0.25">
      <c r="A238" s="88" t="s">
        <v>370</v>
      </c>
      <c r="B238" s="88" t="s">
        <v>1471</v>
      </c>
      <c r="C238" s="83" t="s">
        <v>1472</v>
      </c>
      <c r="D238" s="83" t="s">
        <v>403</v>
      </c>
      <c r="E238" s="88" t="s">
        <v>67</v>
      </c>
      <c r="F238" s="83" t="s">
        <v>421</v>
      </c>
      <c r="G238" s="83" t="s">
        <v>30</v>
      </c>
      <c r="H238" s="83" t="s">
        <v>1473</v>
      </c>
      <c r="I238" s="88"/>
      <c r="J238" s="88" t="s">
        <v>411</v>
      </c>
      <c r="K238" s="83" t="s">
        <v>1474</v>
      </c>
      <c r="L238" s="88" t="s">
        <v>480</v>
      </c>
      <c r="M238" s="88" t="s">
        <v>480</v>
      </c>
      <c r="N238" s="206" t="str">
        <f>VLOOKUP($A238,'CCRA3 Risks'!$A:$R,2,FALSE)</f>
        <v>N16 Risks to marine species and habitats from pests, pathogens and invasive species</v>
      </c>
      <c r="O238" s="206" t="str">
        <f>VLOOKUP($A238,'CCRA3 Risks'!$A:$R,3,FALSE)</f>
        <v>No</v>
      </c>
      <c r="P238" s="207">
        <f>VLOOKUP($A238,'CCRA3 Risks'!$A:$R,4,FALSE)</f>
        <v>3</v>
      </c>
      <c r="Q238" s="206" t="str">
        <f>VLOOKUP($A238,'CCRA3 Risks'!$A:$R,7,FALSE)</f>
        <v>England</v>
      </c>
      <c r="R238" s="206" t="str">
        <f>VLOOKUP($A238,'CCRA3 Risks'!$A:$R,8,FALSE)</f>
        <v xml:space="preserve">Medium </v>
      </c>
      <c r="S238" s="206" t="str">
        <f>VLOOKUP($A238,'CCRA3 Risks'!$A:$R,9,FALSE)</f>
        <v>High</v>
      </c>
      <c r="T238" s="206" t="str">
        <f>VLOOKUP($A238,'CCRA3 Risks'!$A:$R,10,FALSE)</f>
        <v>High</v>
      </c>
      <c r="U238" s="206" t="str">
        <f>VLOOKUP($A238,'CCRA3 Risks'!$A:$R,11,FALSE)</f>
        <v>High</v>
      </c>
      <c r="V238" s="206" t="str">
        <f>VLOOKUP($A238,'CCRA3 Risks'!$A:$R,12,FALSE)</f>
        <v>High</v>
      </c>
      <c r="W238" s="206" t="str">
        <f>VLOOKUP($A238,'CCRA3 Risks'!$A:$R,13,FALSE)</f>
        <v>Partially</v>
      </c>
      <c r="X238" s="206" t="str">
        <f>VLOOKUP($A238,'CCRA3 Risks'!$A:$R,14,FALSE)</f>
        <v>More action needed</v>
      </c>
      <c r="Y238" s="206" t="str">
        <f>VLOOKUP($A238,'CCRA3 Risks'!$A:$R,15,FALSE)</f>
        <v>More action needed</v>
      </c>
      <c r="Z238" s="206" t="str">
        <f>VLOOKUP($A238,'CCRA3 Risks'!$A:$R,16,FALSE)</f>
        <v>Medium (5)</v>
      </c>
      <c r="AA238" s="206" t="str">
        <f>VLOOKUP($A238,'CCRA3 Risks'!$A:$R,17,FALSE)</f>
        <v>Medium (Amber)</v>
      </c>
      <c r="AB238" s="206" t="str">
        <f>VLOOKUP($A238,'CCRA3 Risks'!$A:$R,18,FALSE)</f>
        <v>Medium (implementation of MPA network and new fisheries policy)</v>
      </c>
      <c r="AC238" s="202" t="str">
        <f>VLOOKUP($A238,'CCRA3 Risks'!$A:$AG,19,FALSE)</f>
        <v>Y</v>
      </c>
      <c r="AD238" s="123" t="str">
        <f>VLOOKUP($A238,'CCRA3 Risks'!$A:$AG,20,FALSE)</f>
        <v>Y</v>
      </c>
      <c r="AE238" s="123">
        <f>VLOOKUP($A238,'CCRA3 Risks'!$A:$AG,21,FALSE)</f>
        <v>0</v>
      </c>
      <c r="AF238" s="123">
        <f>VLOOKUP($A238,'CCRA3 Risks'!$A:$AG,22,FALSE)</f>
        <v>0</v>
      </c>
      <c r="AG238" s="123">
        <f>VLOOKUP($A238,'CCRA3 Risks'!$A:$AG,23,FALSE)</f>
        <v>0</v>
      </c>
      <c r="AH238" s="123">
        <f>VLOOKUP($A238,'CCRA3 Risks'!$A:$AG,24,FALSE)</f>
        <v>0</v>
      </c>
      <c r="AI238" s="123">
        <f>VLOOKUP($A238,'CCRA3 Risks'!$A:$AG,25,FALSE)</f>
        <v>0</v>
      </c>
      <c r="AJ238" s="123">
        <f>VLOOKUP($A238,'CCRA3 Risks'!$A:$AG,26,FALSE)</f>
        <v>0</v>
      </c>
      <c r="AK238" s="123">
        <f>VLOOKUP($A238,'CCRA3 Risks'!$A:$AG,27,FALSE)</f>
        <v>0</v>
      </c>
      <c r="AL238" s="123">
        <f>VLOOKUP($A238,'CCRA3 Risks'!$A:$AG,28,FALSE)</f>
        <v>0</v>
      </c>
      <c r="AM238" s="123">
        <f>VLOOKUP($A238,'CCRA3 Risks'!$A:$AG,29,FALSE)</f>
        <v>0</v>
      </c>
      <c r="AN238" s="123">
        <f>VLOOKUP($A238,'CCRA3 Risks'!$A:$AG,30,FALSE)</f>
        <v>0</v>
      </c>
      <c r="AO238" s="123">
        <f>VLOOKUP($A238,'CCRA3 Risks'!$A:$AG,31,FALSE)</f>
        <v>0</v>
      </c>
      <c r="AP238" s="123">
        <f>VLOOKUP($A238,'CCRA3 Risks'!$A:$AG,32,FALSE)</f>
        <v>0</v>
      </c>
      <c r="AQ238" s="123">
        <f>VLOOKUP($A238,'CCRA3 Risks'!$A:$AG,33,FALSE)</f>
        <v>0</v>
      </c>
    </row>
    <row r="239" spans="1:43" ht="76.5" x14ac:dyDescent="0.25">
      <c r="A239" s="88" t="s">
        <v>370</v>
      </c>
      <c r="B239" s="88" t="s">
        <v>1475</v>
      </c>
      <c r="C239" s="83" t="s">
        <v>1476</v>
      </c>
      <c r="D239" s="83" t="s">
        <v>461</v>
      </c>
      <c r="E239" s="88" t="s">
        <v>67</v>
      </c>
      <c r="F239" s="83" t="s">
        <v>396</v>
      </c>
      <c r="G239" s="83" t="s">
        <v>30</v>
      </c>
      <c r="H239" s="83" t="s">
        <v>1477</v>
      </c>
      <c r="I239" s="88"/>
      <c r="J239" s="88" t="s">
        <v>398</v>
      </c>
      <c r="K239" s="83" t="s">
        <v>1478</v>
      </c>
      <c r="L239" s="88" t="s">
        <v>480</v>
      </c>
      <c r="M239" s="88" t="s">
        <v>480</v>
      </c>
      <c r="N239" s="206" t="str">
        <f>VLOOKUP($A239,'CCRA3 Risks'!$A:$R,2,FALSE)</f>
        <v>N16 Risks to marine species and habitats from pests, pathogens and invasive species</v>
      </c>
      <c r="O239" s="206" t="str">
        <f>VLOOKUP($A239,'CCRA3 Risks'!$A:$R,3,FALSE)</f>
        <v>No</v>
      </c>
      <c r="P239" s="207">
        <f>VLOOKUP($A239,'CCRA3 Risks'!$A:$R,4,FALSE)</f>
        <v>3</v>
      </c>
      <c r="Q239" s="206" t="str">
        <f>VLOOKUP($A239,'CCRA3 Risks'!$A:$R,7,FALSE)</f>
        <v>England</v>
      </c>
      <c r="R239" s="206" t="str">
        <f>VLOOKUP($A239,'CCRA3 Risks'!$A:$R,8,FALSE)</f>
        <v xml:space="preserve">Medium </v>
      </c>
      <c r="S239" s="206" t="str">
        <f>VLOOKUP($A239,'CCRA3 Risks'!$A:$R,9,FALSE)</f>
        <v>High</v>
      </c>
      <c r="T239" s="206" t="str">
        <f>VLOOKUP($A239,'CCRA3 Risks'!$A:$R,10,FALSE)</f>
        <v>High</v>
      </c>
      <c r="U239" s="206" t="str">
        <f>VLOOKUP($A239,'CCRA3 Risks'!$A:$R,11,FALSE)</f>
        <v>High</v>
      </c>
      <c r="V239" s="206" t="str">
        <f>VLOOKUP($A239,'CCRA3 Risks'!$A:$R,12,FALSE)</f>
        <v>High</v>
      </c>
      <c r="W239" s="206" t="str">
        <f>VLOOKUP($A239,'CCRA3 Risks'!$A:$R,13,FALSE)</f>
        <v>Partially</v>
      </c>
      <c r="X239" s="206" t="str">
        <f>VLOOKUP($A239,'CCRA3 Risks'!$A:$R,14,FALSE)</f>
        <v>More action needed</v>
      </c>
      <c r="Y239" s="206" t="str">
        <f>VLOOKUP($A239,'CCRA3 Risks'!$A:$R,15,FALSE)</f>
        <v>More action needed</v>
      </c>
      <c r="Z239" s="206" t="str">
        <f>VLOOKUP($A239,'CCRA3 Risks'!$A:$R,16,FALSE)</f>
        <v>Medium (5)</v>
      </c>
      <c r="AA239" s="206" t="str">
        <f>VLOOKUP($A239,'CCRA3 Risks'!$A:$R,17,FALSE)</f>
        <v>Medium (Amber)</v>
      </c>
      <c r="AB239" s="206" t="str">
        <f>VLOOKUP($A239,'CCRA3 Risks'!$A:$R,18,FALSE)</f>
        <v>Medium (implementation of MPA network and new fisheries policy)</v>
      </c>
      <c r="AC239" s="202" t="str">
        <f>VLOOKUP($A239,'CCRA3 Risks'!$A:$AG,19,FALSE)</f>
        <v>Y</v>
      </c>
      <c r="AD239" s="123" t="str">
        <f>VLOOKUP($A239,'CCRA3 Risks'!$A:$AG,20,FALSE)</f>
        <v>Y</v>
      </c>
      <c r="AE239" s="123">
        <f>VLOOKUP($A239,'CCRA3 Risks'!$A:$AG,21,FALSE)</f>
        <v>0</v>
      </c>
      <c r="AF239" s="123">
        <f>VLOOKUP($A239,'CCRA3 Risks'!$A:$AG,22,FALSE)</f>
        <v>0</v>
      </c>
      <c r="AG239" s="123">
        <f>VLOOKUP($A239,'CCRA3 Risks'!$A:$AG,23,FALSE)</f>
        <v>0</v>
      </c>
      <c r="AH239" s="123">
        <f>VLOOKUP($A239,'CCRA3 Risks'!$A:$AG,24,FALSE)</f>
        <v>0</v>
      </c>
      <c r="AI239" s="123">
        <f>VLOOKUP($A239,'CCRA3 Risks'!$A:$AG,25,FALSE)</f>
        <v>0</v>
      </c>
      <c r="AJ239" s="123">
        <f>VLOOKUP($A239,'CCRA3 Risks'!$A:$AG,26,FALSE)</f>
        <v>0</v>
      </c>
      <c r="AK239" s="123">
        <f>VLOOKUP($A239,'CCRA3 Risks'!$A:$AG,27,FALSE)</f>
        <v>0</v>
      </c>
      <c r="AL239" s="123">
        <f>VLOOKUP($A239,'CCRA3 Risks'!$A:$AG,28,FALSE)</f>
        <v>0</v>
      </c>
      <c r="AM239" s="123">
        <f>VLOOKUP($A239,'CCRA3 Risks'!$A:$AG,29,FALSE)</f>
        <v>0</v>
      </c>
      <c r="AN239" s="123">
        <f>VLOOKUP($A239,'CCRA3 Risks'!$A:$AG,30,FALSE)</f>
        <v>0</v>
      </c>
      <c r="AO239" s="123">
        <f>VLOOKUP($A239,'CCRA3 Risks'!$A:$AG,31,FALSE)</f>
        <v>0</v>
      </c>
      <c r="AP239" s="123">
        <f>VLOOKUP($A239,'CCRA3 Risks'!$A:$AG,32,FALSE)</f>
        <v>0</v>
      </c>
      <c r="AQ239" s="123">
        <f>VLOOKUP($A239,'CCRA3 Risks'!$A:$AG,33,FALSE)</f>
        <v>0</v>
      </c>
    </row>
    <row r="240" spans="1:43" ht="127.5" x14ac:dyDescent="0.25">
      <c r="A240" s="88" t="s">
        <v>373</v>
      </c>
      <c r="B240" s="88" t="s">
        <v>1479</v>
      </c>
      <c r="C240" s="83" t="s">
        <v>1480</v>
      </c>
      <c r="D240" s="83" t="s">
        <v>461</v>
      </c>
      <c r="E240" s="88" t="s">
        <v>67</v>
      </c>
      <c r="F240" s="83" t="s">
        <v>396</v>
      </c>
      <c r="G240" s="83" t="s">
        <v>53</v>
      </c>
      <c r="H240" s="83" t="s">
        <v>1481</v>
      </c>
      <c r="I240" s="88" t="s">
        <v>1218</v>
      </c>
      <c r="J240" s="88" t="s">
        <v>398</v>
      </c>
      <c r="K240" s="83" t="s">
        <v>1482</v>
      </c>
      <c r="L240" s="88" t="s">
        <v>480</v>
      </c>
      <c r="M240" s="88" t="s">
        <v>480</v>
      </c>
      <c r="N240" s="206" t="str">
        <f>VLOOKUP($A240,'CCRA3 Risks'!$A:$R,2,FALSE)</f>
        <v>N17 Risks and opportunities to coastal species and habitats due to coastal flooding, erosion and climate factors</v>
      </c>
      <c r="O240" s="206" t="str">
        <f>VLOOKUP($A240,'CCRA3 Risks'!$A:$R,3,FALSE)</f>
        <v>No</v>
      </c>
      <c r="P240" s="207">
        <f>VLOOKUP($A240,'CCRA3 Risks'!$A:$R,4,FALSE)</f>
        <v>3</v>
      </c>
      <c r="Q240" s="206" t="str">
        <f>VLOOKUP($A240,'CCRA3 Risks'!$A:$R,7,FALSE)</f>
        <v>England</v>
      </c>
      <c r="R240" s="206" t="str">
        <f>VLOOKUP($A240,'CCRA3 Risks'!$A:$R,8,FALSE)</f>
        <v xml:space="preserve">Medium </v>
      </c>
      <c r="S240" s="206" t="str">
        <f>VLOOKUP($A240,'CCRA3 Risks'!$A:$R,9,FALSE)</f>
        <v>High</v>
      </c>
      <c r="T240" s="206" t="str">
        <f>VLOOKUP($A240,'CCRA3 Risks'!$A:$R,10,FALSE)</f>
        <v>High</v>
      </c>
      <c r="U240" s="206" t="str">
        <f>VLOOKUP($A240,'CCRA3 Risks'!$A:$R,11,FALSE)</f>
        <v>High</v>
      </c>
      <c r="V240" s="206" t="str">
        <f>VLOOKUP($A240,'CCRA3 Risks'!$A:$R,12,FALSE)</f>
        <v>High</v>
      </c>
      <c r="W240" s="206" t="str">
        <f>VLOOKUP($A240,'CCRA3 Risks'!$A:$R,13,FALSE)</f>
        <v>Partially</v>
      </c>
      <c r="X240" s="206" t="str">
        <f>VLOOKUP($A240,'CCRA3 Risks'!$A:$R,14,FALSE)</f>
        <v>More action needed</v>
      </c>
      <c r="Y240" s="206" t="str">
        <f>VLOOKUP($A240,'CCRA3 Risks'!$A:$R,15,FALSE)</f>
        <v>More action needed</v>
      </c>
      <c r="Z240" s="206" t="str">
        <f>VLOOKUP($A240,'CCRA3 Risks'!$A:$R,16,FALSE)</f>
        <v>N/A</v>
      </c>
      <c r="AA240" s="206" t="str">
        <f>VLOOKUP($A240,'CCRA3 Risks'!$A:$R,17,FALSE)</f>
        <v>Medium (Amber)</v>
      </c>
      <c r="AB240" s="206" t="str">
        <f>VLOOKUP($A240,'CCRA3 Risks'!$A:$R,18,FALSE)</f>
        <v>Medium (New or reviewed coastal policies and implementation of renewed flood policies)</v>
      </c>
      <c r="AC240" s="202" t="str">
        <f>VLOOKUP($A240,'CCRA3 Risks'!$A:$AG,19,FALSE)</f>
        <v>Y</v>
      </c>
      <c r="AD240" s="123">
        <f>VLOOKUP($A240,'CCRA3 Risks'!$A:$AG,20,FALSE)</f>
        <v>0</v>
      </c>
      <c r="AE240" s="123">
        <f>VLOOKUP($A240,'CCRA3 Risks'!$A:$AG,21,FALSE)</f>
        <v>0</v>
      </c>
      <c r="AF240" s="123">
        <f>VLOOKUP($A240,'CCRA3 Risks'!$A:$AG,22,FALSE)</f>
        <v>0</v>
      </c>
      <c r="AG240" s="123">
        <f>VLOOKUP($A240,'CCRA3 Risks'!$A:$AG,23,FALSE)</f>
        <v>0</v>
      </c>
      <c r="AH240" s="123">
        <f>VLOOKUP($A240,'CCRA3 Risks'!$A:$AG,24,FALSE)</f>
        <v>0</v>
      </c>
      <c r="AI240" s="123">
        <f>VLOOKUP($A240,'CCRA3 Risks'!$A:$AG,25,FALSE)</f>
        <v>0</v>
      </c>
      <c r="AJ240" s="123">
        <f>VLOOKUP($A240,'CCRA3 Risks'!$A:$AG,26,FALSE)</f>
        <v>0</v>
      </c>
      <c r="AK240" s="123">
        <f>VLOOKUP($A240,'CCRA3 Risks'!$A:$AG,27,FALSE)</f>
        <v>0</v>
      </c>
      <c r="AL240" s="123">
        <f>VLOOKUP($A240,'CCRA3 Risks'!$A:$AG,28,FALSE)</f>
        <v>0</v>
      </c>
      <c r="AM240" s="123">
        <f>VLOOKUP($A240,'CCRA3 Risks'!$A:$AG,29,FALSE)</f>
        <v>0</v>
      </c>
      <c r="AN240" s="123">
        <f>VLOOKUP($A240,'CCRA3 Risks'!$A:$AG,30,FALSE)</f>
        <v>0</v>
      </c>
      <c r="AO240" s="123">
        <f>VLOOKUP($A240,'CCRA3 Risks'!$A:$AG,31,FALSE)</f>
        <v>0</v>
      </c>
      <c r="AP240" s="123">
        <f>VLOOKUP($A240,'CCRA3 Risks'!$A:$AG,32,FALSE)</f>
        <v>0</v>
      </c>
      <c r="AQ240" s="123">
        <f>VLOOKUP($A240,'CCRA3 Risks'!$A:$AG,33,FALSE)</f>
        <v>0</v>
      </c>
    </row>
    <row r="241" spans="1:43" ht="102" x14ac:dyDescent="0.25">
      <c r="A241" s="88" t="s">
        <v>373</v>
      </c>
      <c r="B241" s="88" t="s">
        <v>1483</v>
      </c>
      <c r="C241" s="83" t="s">
        <v>1484</v>
      </c>
      <c r="D241" s="83" t="s">
        <v>403</v>
      </c>
      <c r="E241" s="88" t="s">
        <v>67</v>
      </c>
      <c r="F241" s="83" t="s">
        <v>472</v>
      </c>
      <c r="G241" s="83" t="s">
        <v>30</v>
      </c>
      <c r="H241" s="83" t="s">
        <v>1485</v>
      </c>
      <c r="I241" s="88" t="s">
        <v>1486</v>
      </c>
      <c r="J241" s="88" t="s">
        <v>405</v>
      </c>
      <c r="K241" s="83" t="s">
        <v>1487</v>
      </c>
      <c r="L241" s="88" t="s">
        <v>480</v>
      </c>
      <c r="M241" s="88" t="s">
        <v>35</v>
      </c>
      <c r="N241" s="206" t="str">
        <f>VLOOKUP($A241,'CCRA3 Risks'!$A:$R,2,FALSE)</f>
        <v>N17 Risks and opportunities to coastal species and habitats due to coastal flooding, erosion and climate factors</v>
      </c>
      <c r="O241" s="206" t="str">
        <f>VLOOKUP($A241,'CCRA3 Risks'!$A:$R,3,FALSE)</f>
        <v>No</v>
      </c>
      <c r="P241" s="207">
        <f>VLOOKUP($A241,'CCRA3 Risks'!$A:$R,4,FALSE)</f>
        <v>3</v>
      </c>
      <c r="Q241" s="206" t="str">
        <f>VLOOKUP($A241,'CCRA3 Risks'!$A:$R,7,FALSE)</f>
        <v>England</v>
      </c>
      <c r="R241" s="206" t="str">
        <f>VLOOKUP($A241,'CCRA3 Risks'!$A:$R,8,FALSE)</f>
        <v xml:space="preserve">Medium </v>
      </c>
      <c r="S241" s="206" t="str">
        <f>VLOOKUP($A241,'CCRA3 Risks'!$A:$R,9,FALSE)</f>
        <v>High</v>
      </c>
      <c r="T241" s="206" t="str">
        <f>VLOOKUP($A241,'CCRA3 Risks'!$A:$R,10,FALSE)</f>
        <v>High</v>
      </c>
      <c r="U241" s="206" t="str">
        <f>VLOOKUP($A241,'CCRA3 Risks'!$A:$R,11,FALSE)</f>
        <v>High</v>
      </c>
      <c r="V241" s="206" t="str">
        <f>VLOOKUP($A241,'CCRA3 Risks'!$A:$R,12,FALSE)</f>
        <v>High</v>
      </c>
      <c r="W241" s="206" t="str">
        <f>VLOOKUP($A241,'CCRA3 Risks'!$A:$R,13,FALSE)</f>
        <v>Partially</v>
      </c>
      <c r="X241" s="206" t="str">
        <f>VLOOKUP($A241,'CCRA3 Risks'!$A:$R,14,FALSE)</f>
        <v>More action needed</v>
      </c>
      <c r="Y241" s="206" t="str">
        <f>VLOOKUP($A241,'CCRA3 Risks'!$A:$R,15,FALSE)</f>
        <v>More action needed</v>
      </c>
      <c r="Z241" s="206" t="str">
        <f>VLOOKUP($A241,'CCRA3 Risks'!$A:$R,16,FALSE)</f>
        <v>N/A</v>
      </c>
      <c r="AA241" s="206" t="str">
        <f>VLOOKUP($A241,'CCRA3 Risks'!$A:$R,17,FALSE)</f>
        <v>Medium (Amber)</v>
      </c>
      <c r="AB241" s="206" t="str">
        <f>VLOOKUP($A241,'CCRA3 Risks'!$A:$R,18,FALSE)</f>
        <v>Medium (New or reviewed coastal policies and implementation of renewed flood policies)</v>
      </c>
      <c r="AC241" s="202" t="str">
        <f>VLOOKUP($A241,'CCRA3 Risks'!$A:$AG,19,FALSE)</f>
        <v>Y</v>
      </c>
      <c r="AD241" s="123">
        <f>VLOOKUP($A241,'CCRA3 Risks'!$A:$AG,20,FALSE)</f>
        <v>0</v>
      </c>
      <c r="AE241" s="123">
        <f>VLOOKUP($A241,'CCRA3 Risks'!$A:$AG,21,FALSE)</f>
        <v>0</v>
      </c>
      <c r="AF241" s="123">
        <f>VLOOKUP($A241,'CCRA3 Risks'!$A:$AG,22,FALSE)</f>
        <v>0</v>
      </c>
      <c r="AG241" s="123">
        <f>VLOOKUP($A241,'CCRA3 Risks'!$A:$AG,23,FALSE)</f>
        <v>0</v>
      </c>
      <c r="AH241" s="123">
        <f>VLOOKUP($A241,'CCRA3 Risks'!$A:$AG,24,FALSE)</f>
        <v>0</v>
      </c>
      <c r="AI241" s="123">
        <f>VLOOKUP($A241,'CCRA3 Risks'!$A:$AG,25,FALSE)</f>
        <v>0</v>
      </c>
      <c r="AJ241" s="123">
        <f>VLOOKUP($A241,'CCRA3 Risks'!$A:$AG,26,FALSE)</f>
        <v>0</v>
      </c>
      <c r="AK241" s="123">
        <f>VLOOKUP($A241,'CCRA3 Risks'!$A:$AG,27,FALSE)</f>
        <v>0</v>
      </c>
      <c r="AL241" s="123">
        <f>VLOOKUP($A241,'CCRA3 Risks'!$A:$AG,28,FALSE)</f>
        <v>0</v>
      </c>
      <c r="AM241" s="123">
        <f>VLOOKUP($A241,'CCRA3 Risks'!$A:$AG,29,FALSE)</f>
        <v>0</v>
      </c>
      <c r="AN241" s="123">
        <f>VLOOKUP($A241,'CCRA3 Risks'!$A:$AG,30,FALSE)</f>
        <v>0</v>
      </c>
      <c r="AO241" s="123">
        <f>VLOOKUP($A241,'CCRA3 Risks'!$A:$AG,31,FALSE)</f>
        <v>0</v>
      </c>
      <c r="AP241" s="123">
        <f>VLOOKUP($A241,'CCRA3 Risks'!$A:$AG,32,FALSE)</f>
        <v>0</v>
      </c>
      <c r="AQ241" s="123">
        <f>VLOOKUP($A241,'CCRA3 Risks'!$A:$AG,33,FALSE)</f>
        <v>0</v>
      </c>
    </row>
    <row r="242" spans="1:43" ht="102" x14ac:dyDescent="0.25">
      <c r="A242" s="88" t="s">
        <v>373</v>
      </c>
      <c r="B242" s="88" t="s">
        <v>1488</v>
      </c>
      <c r="C242" s="83" t="s">
        <v>1489</v>
      </c>
      <c r="D242" s="83" t="s">
        <v>461</v>
      </c>
      <c r="E242" s="88" t="s">
        <v>67</v>
      </c>
      <c r="F242" s="83" t="s">
        <v>33</v>
      </c>
      <c r="G242" s="83" t="s">
        <v>20</v>
      </c>
      <c r="H242" s="83" t="s">
        <v>1490</v>
      </c>
      <c r="I242" s="88"/>
      <c r="J242" s="88" t="s">
        <v>398</v>
      </c>
      <c r="K242" s="83" t="s">
        <v>1491</v>
      </c>
      <c r="L242" s="88" t="s">
        <v>480</v>
      </c>
      <c r="M242" s="88" t="s">
        <v>35</v>
      </c>
      <c r="N242" s="206" t="str">
        <f>VLOOKUP($A242,'CCRA3 Risks'!$A:$R,2,FALSE)</f>
        <v>N17 Risks and opportunities to coastal species and habitats due to coastal flooding, erosion and climate factors</v>
      </c>
      <c r="O242" s="206" t="str">
        <f>VLOOKUP($A242,'CCRA3 Risks'!$A:$R,3,FALSE)</f>
        <v>No</v>
      </c>
      <c r="P242" s="207">
        <f>VLOOKUP($A242,'CCRA3 Risks'!$A:$R,4,FALSE)</f>
        <v>3</v>
      </c>
      <c r="Q242" s="206" t="str">
        <f>VLOOKUP($A242,'CCRA3 Risks'!$A:$R,7,FALSE)</f>
        <v>England</v>
      </c>
      <c r="R242" s="206" t="str">
        <f>VLOOKUP($A242,'CCRA3 Risks'!$A:$R,8,FALSE)</f>
        <v xml:space="preserve">Medium </v>
      </c>
      <c r="S242" s="206" t="str">
        <f>VLOOKUP($A242,'CCRA3 Risks'!$A:$R,9,FALSE)</f>
        <v>High</v>
      </c>
      <c r="T242" s="206" t="str">
        <f>VLOOKUP($A242,'CCRA3 Risks'!$A:$R,10,FALSE)</f>
        <v>High</v>
      </c>
      <c r="U242" s="206" t="str">
        <f>VLOOKUP($A242,'CCRA3 Risks'!$A:$R,11,FALSE)</f>
        <v>High</v>
      </c>
      <c r="V242" s="206" t="str">
        <f>VLOOKUP($A242,'CCRA3 Risks'!$A:$R,12,FALSE)</f>
        <v>High</v>
      </c>
      <c r="W242" s="206" t="str">
        <f>VLOOKUP($A242,'CCRA3 Risks'!$A:$R,13,FALSE)</f>
        <v>Partially</v>
      </c>
      <c r="X242" s="206" t="str">
        <f>VLOOKUP($A242,'CCRA3 Risks'!$A:$R,14,FALSE)</f>
        <v>More action needed</v>
      </c>
      <c r="Y242" s="206" t="str">
        <f>VLOOKUP($A242,'CCRA3 Risks'!$A:$R,15,FALSE)</f>
        <v>More action needed</v>
      </c>
      <c r="Z242" s="206" t="str">
        <f>VLOOKUP($A242,'CCRA3 Risks'!$A:$R,16,FALSE)</f>
        <v>N/A</v>
      </c>
      <c r="AA242" s="206" t="str">
        <f>VLOOKUP($A242,'CCRA3 Risks'!$A:$R,17,FALSE)</f>
        <v>Medium (Amber)</v>
      </c>
      <c r="AB242" s="206" t="str">
        <f>VLOOKUP($A242,'CCRA3 Risks'!$A:$R,18,FALSE)</f>
        <v>Medium (New or reviewed coastal policies and implementation of renewed flood policies)</v>
      </c>
      <c r="AC242" s="202" t="str">
        <f>VLOOKUP($A242,'CCRA3 Risks'!$A:$AG,19,FALSE)</f>
        <v>Y</v>
      </c>
      <c r="AD242" s="123">
        <f>VLOOKUP($A242,'CCRA3 Risks'!$A:$AG,20,FALSE)</f>
        <v>0</v>
      </c>
      <c r="AE242" s="123">
        <f>VLOOKUP($A242,'CCRA3 Risks'!$A:$AG,21,FALSE)</f>
        <v>0</v>
      </c>
      <c r="AF242" s="123">
        <f>VLOOKUP($A242,'CCRA3 Risks'!$A:$AG,22,FALSE)</f>
        <v>0</v>
      </c>
      <c r="AG242" s="123">
        <f>VLOOKUP($A242,'CCRA3 Risks'!$A:$AG,23,FALSE)</f>
        <v>0</v>
      </c>
      <c r="AH242" s="123">
        <f>VLOOKUP($A242,'CCRA3 Risks'!$A:$AG,24,FALSE)</f>
        <v>0</v>
      </c>
      <c r="AI242" s="123">
        <f>VLOOKUP($A242,'CCRA3 Risks'!$A:$AG,25,FALSE)</f>
        <v>0</v>
      </c>
      <c r="AJ242" s="123">
        <f>VLOOKUP($A242,'CCRA3 Risks'!$A:$AG,26,FALSE)</f>
        <v>0</v>
      </c>
      <c r="AK242" s="123">
        <f>VLOOKUP($A242,'CCRA3 Risks'!$A:$AG,27,FALSE)</f>
        <v>0</v>
      </c>
      <c r="AL242" s="123">
        <f>VLOOKUP($A242,'CCRA3 Risks'!$A:$AG,28,FALSE)</f>
        <v>0</v>
      </c>
      <c r="AM242" s="123">
        <f>VLOOKUP($A242,'CCRA3 Risks'!$A:$AG,29,FALSE)</f>
        <v>0</v>
      </c>
      <c r="AN242" s="123">
        <f>VLOOKUP($A242,'CCRA3 Risks'!$A:$AG,30,FALSE)</f>
        <v>0</v>
      </c>
      <c r="AO242" s="123">
        <f>VLOOKUP($A242,'CCRA3 Risks'!$A:$AG,31,FALSE)</f>
        <v>0</v>
      </c>
      <c r="AP242" s="123">
        <f>VLOOKUP($A242,'CCRA3 Risks'!$A:$AG,32,FALSE)</f>
        <v>0</v>
      </c>
      <c r="AQ242" s="123">
        <f>VLOOKUP($A242,'CCRA3 Risks'!$A:$AG,33,FALSE)</f>
        <v>0</v>
      </c>
    </row>
    <row r="243" spans="1:43" ht="51" x14ac:dyDescent="0.25">
      <c r="A243" s="88" t="s">
        <v>373</v>
      </c>
      <c r="B243" s="88" t="s">
        <v>1492</v>
      </c>
      <c r="C243" s="83" t="s">
        <v>1493</v>
      </c>
      <c r="D243" s="83" t="s">
        <v>461</v>
      </c>
      <c r="E243" s="88" t="s">
        <v>67</v>
      </c>
      <c r="F243" s="83" t="s">
        <v>396</v>
      </c>
      <c r="G243" s="83" t="s">
        <v>30</v>
      </c>
      <c r="H243" s="83" t="s">
        <v>1494</v>
      </c>
      <c r="I243" s="88" t="s">
        <v>1486</v>
      </c>
      <c r="J243" s="88" t="s">
        <v>417</v>
      </c>
      <c r="K243" s="83" t="s">
        <v>1495</v>
      </c>
      <c r="L243" s="88" t="s">
        <v>480</v>
      </c>
      <c r="M243" s="88" t="s">
        <v>35</v>
      </c>
      <c r="N243" s="206" t="str">
        <f>VLOOKUP($A243,'CCRA3 Risks'!$A:$R,2,FALSE)</f>
        <v>N17 Risks and opportunities to coastal species and habitats due to coastal flooding, erosion and climate factors</v>
      </c>
      <c r="O243" s="206" t="str">
        <f>VLOOKUP($A243,'CCRA3 Risks'!$A:$R,3,FALSE)</f>
        <v>No</v>
      </c>
      <c r="P243" s="207">
        <f>VLOOKUP($A243,'CCRA3 Risks'!$A:$R,4,FALSE)</f>
        <v>3</v>
      </c>
      <c r="Q243" s="206" t="str">
        <f>VLOOKUP($A243,'CCRA3 Risks'!$A:$R,7,FALSE)</f>
        <v>England</v>
      </c>
      <c r="R243" s="206" t="str">
        <f>VLOOKUP($A243,'CCRA3 Risks'!$A:$R,8,FALSE)</f>
        <v xml:space="preserve">Medium </v>
      </c>
      <c r="S243" s="206" t="str">
        <f>VLOOKUP($A243,'CCRA3 Risks'!$A:$R,9,FALSE)</f>
        <v>High</v>
      </c>
      <c r="T243" s="206" t="str">
        <f>VLOOKUP($A243,'CCRA3 Risks'!$A:$R,10,FALSE)</f>
        <v>High</v>
      </c>
      <c r="U243" s="206" t="str">
        <f>VLOOKUP($A243,'CCRA3 Risks'!$A:$R,11,FALSE)</f>
        <v>High</v>
      </c>
      <c r="V243" s="206" t="str">
        <f>VLOOKUP($A243,'CCRA3 Risks'!$A:$R,12,FALSE)</f>
        <v>High</v>
      </c>
      <c r="W243" s="206" t="str">
        <f>VLOOKUP($A243,'CCRA3 Risks'!$A:$R,13,FALSE)</f>
        <v>Partially</v>
      </c>
      <c r="X243" s="206" t="str">
        <f>VLOOKUP($A243,'CCRA3 Risks'!$A:$R,14,FALSE)</f>
        <v>More action needed</v>
      </c>
      <c r="Y243" s="206" t="str">
        <f>VLOOKUP($A243,'CCRA3 Risks'!$A:$R,15,FALSE)</f>
        <v>More action needed</v>
      </c>
      <c r="Z243" s="206" t="str">
        <f>VLOOKUP($A243,'CCRA3 Risks'!$A:$R,16,FALSE)</f>
        <v>N/A</v>
      </c>
      <c r="AA243" s="206" t="str">
        <f>VLOOKUP($A243,'CCRA3 Risks'!$A:$R,17,FALSE)</f>
        <v>Medium (Amber)</v>
      </c>
      <c r="AB243" s="206" t="str">
        <f>VLOOKUP($A243,'CCRA3 Risks'!$A:$R,18,FALSE)</f>
        <v>Medium (New or reviewed coastal policies and implementation of renewed flood policies)</v>
      </c>
      <c r="AC243" s="202" t="str">
        <f>VLOOKUP($A243,'CCRA3 Risks'!$A:$AG,19,FALSE)</f>
        <v>Y</v>
      </c>
      <c r="AD243" s="123">
        <f>VLOOKUP($A243,'CCRA3 Risks'!$A:$AG,20,FALSE)</f>
        <v>0</v>
      </c>
      <c r="AE243" s="123">
        <f>VLOOKUP($A243,'CCRA3 Risks'!$A:$AG,21,FALSE)</f>
        <v>0</v>
      </c>
      <c r="AF243" s="123">
        <f>VLOOKUP($A243,'CCRA3 Risks'!$A:$AG,22,FALSE)</f>
        <v>0</v>
      </c>
      <c r="AG243" s="123">
        <f>VLOOKUP($A243,'CCRA3 Risks'!$A:$AG,23,FALSE)</f>
        <v>0</v>
      </c>
      <c r="AH243" s="123">
        <f>VLOOKUP($A243,'CCRA3 Risks'!$A:$AG,24,FALSE)</f>
        <v>0</v>
      </c>
      <c r="AI243" s="123">
        <f>VLOOKUP($A243,'CCRA3 Risks'!$A:$AG,25,FALSE)</f>
        <v>0</v>
      </c>
      <c r="AJ243" s="123">
        <f>VLOOKUP($A243,'CCRA3 Risks'!$A:$AG,26,FALSE)</f>
        <v>0</v>
      </c>
      <c r="AK243" s="123">
        <f>VLOOKUP($A243,'CCRA3 Risks'!$A:$AG,27,FALSE)</f>
        <v>0</v>
      </c>
      <c r="AL243" s="123">
        <f>VLOOKUP($A243,'CCRA3 Risks'!$A:$AG,28,FALSE)</f>
        <v>0</v>
      </c>
      <c r="AM243" s="123">
        <f>VLOOKUP($A243,'CCRA3 Risks'!$A:$AG,29,FALSE)</f>
        <v>0</v>
      </c>
      <c r="AN243" s="123">
        <f>VLOOKUP($A243,'CCRA3 Risks'!$A:$AG,30,FALSE)</f>
        <v>0</v>
      </c>
      <c r="AO243" s="123">
        <f>VLOOKUP($A243,'CCRA3 Risks'!$A:$AG,31,FALSE)</f>
        <v>0</v>
      </c>
      <c r="AP243" s="123">
        <f>VLOOKUP($A243,'CCRA3 Risks'!$A:$AG,32,FALSE)</f>
        <v>0</v>
      </c>
      <c r="AQ243" s="123">
        <f>VLOOKUP($A243,'CCRA3 Risks'!$A:$AG,33,FALSE)</f>
        <v>0</v>
      </c>
    </row>
    <row r="244" spans="1:43" ht="49.5" customHeight="1" x14ac:dyDescent="0.25">
      <c r="A244" s="88" t="s">
        <v>373</v>
      </c>
      <c r="B244" s="88" t="s">
        <v>1496</v>
      </c>
      <c r="C244" s="83" t="s">
        <v>1497</v>
      </c>
      <c r="D244" s="83" t="s">
        <v>461</v>
      </c>
      <c r="E244" s="83" t="s">
        <v>67</v>
      </c>
      <c r="F244" s="83" t="s">
        <v>396</v>
      </c>
      <c r="G244" s="83" t="s">
        <v>30</v>
      </c>
      <c r="H244" s="83" t="s">
        <v>1494</v>
      </c>
      <c r="I244" s="88"/>
      <c r="J244" s="88" t="s">
        <v>417</v>
      </c>
      <c r="K244" s="83" t="s">
        <v>1498</v>
      </c>
      <c r="L244" s="88" t="s">
        <v>480</v>
      </c>
      <c r="M244" s="88" t="s">
        <v>35</v>
      </c>
      <c r="N244" s="206" t="str">
        <f>VLOOKUP($A244,'CCRA3 Risks'!$A:$R,2,FALSE)</f>
        <v>N17 Risks and opportunities to coastal species and habitats due to coastal flooding, erosion and climate factors</v>
      </c>
      <c r="O244" s="206" t="str">
        <f>VLOOKUP($A244,'CCRA3 Risks'!$A:$R,3,FALSE)</f>
        <v>No</v>
      </c>
      <c r="P244" s="207">
        <f>VLOOKUP($A244,'CCRA3 Risks'!$A:$R,4,FALSE)</f>
        <v>3</v>
      </c>
      <c r="Q244" s="206" t="str">
        <f>VLOOKUP($A244,'CCRA3 Risks'!$A:$R,7,FALSE)</f>
        <v>England</v>
      </c>
      <c r="R244" s="206" t="str">
        <f>VLOOKUP($A244,'CCRA3 Risks'!$A:$R,8,FALSE)</f>
        <v xml:space="preserve">Medium </v>
      </c>
      <c r="S244" s="206" t="str">
        <f>VLOOKUP($A244,'CCRA3 Risks'!$A:$R,9,FALSE)</f>
        <v>High</v>
      </c>
      <c r="T244" s="206" t="str">
        <f>VLOOKUP($A244,'CCRA3 Risks'!$A:$R,10,FALSE)</f>
        <v>High</v>
      </c>
      <c r="U244" s="206" t="str">
        <f>VLOOKUP($A244,'CCRA3 Risks'!$A:$R,11,FALSE)</f>
        <v>High</v>
      </c>
      <c r="V244" s="206" t="str">
        <f>VLOOKUP($A244,'CCRA3 Risks'!$A:$R,12,FALSE)</f>
        <v>High</v>
      </c>
      <c r="W244" s="206" t="str">
        <f>VLOOKUP($A244,'CCRA3 Risks'!$A:$R,13,FALSE)</f>
        <v>Partially</v>
      </c>
      <c r="X244" s="206" t="str">
        <f>VLOOKUP($A244,'CCRA3 Risks'!$A:$R,14,FALSE)</f>
        <v>More action needed</v>
      </c>
      <c r="Y244" s="206" t="str">
        <f>VLOOKUP($A244,'CCRA3 Risks'!$A:$R,15,FALSE)</f>
        <v>More action needed</v>
      </c>
      <c r="Z244" s="206" t="str">
        <f>VLOOKUP($A244,'CCRA3 Risks'!$A:$R,16,FALSE)</f>
        <v>N/A</v>
      </c>
      <c r="AA244" s="206" t="str">
        <f>VLOOKUP($A244,'CCRA3 Risks'!$A:$R,17,FALSE)</f>
        <v>Medium (Amber)</v>
      </c>
      <c r="AB244" s="206" t="str">
        <f>VLOOKUP($A244,'CCRA3 Risks'!$A:$R,18,FALSE)</f>
        <v>Medium (New or reviewed coastal policies and implementation of renewed flood policies)</v>
      </c>
      <c r="AC244" s="202" t="str">
        <f>VLOOKUP($A244,'CCRA3 Risks'!$A:$AG,19,FALSE)</f>
        <v>Y</v>
      </c>
      <c r="AD244" s="123">
        <f>VLOOKUP($A244,'CCRA3 Risks'!$A:$AG,20,FALSE)</f>
        <v>0</v>
      </c>
      <c r="AE244" s="123">
        <f>VLOOKUP($A244,'CCRA3 Risks'!$A:$AG,21,FALSE)</f>
        <v>0</v>
      </c>
      <c r="AF244" s="123">
        <f>VLOOKUP($A244,'CCRA3 Risks'!$A:$AG,22,FALSE)</f>
        <v>0</v>
      </c>
      <c r="AG244" s="123">
        <f>VLOOKUP($A244,'CCRA3 Risks'!$A:$AG,23,FALSE)</f>
        <v>0</v>
      </c>
      <c r="AH244" s="123">
        <f>VLOOKUP($A244,'CCRA3 Risks'!$A:$AG,24,FALSE)</f>
        <v>0</v>
      </c>
      <c r="AI244" s="123">
        <f>VLOOKUP($A244,'CCRA3 Risks'!$A:$AG,25,FALSE)</f>
        <v>0</v>
      </c>
      <c r="AJ244" s="123">
        <f>VLOOKUP($A244,'CCRA3 Risks'!$A:$AG,26,FALSE)</f>
        <v>0</v>
      </c>
      <c r="AK244" s="123">
        <f>VLOOKUP($A244,'CCRA3 Risks'!$A:$AG,27,FALSE)</f>
        <v>0</v>
      </c>
      <c r="AL244" s="123">
        <f>VLOOKUP($A244,'CCRA3 Risks'!$A:$AG,28,FALSE)</f>
        <v>0</v>
      </c>
      <c r="AM244" s="123">
        <f>VLOOKUP($A244,'CCRA3 Risks'!$A:$AG,29,FALSE)</f>
        <v>0</v>
      </c>
      <c r="AN244" s="123">
        <f>VLOOKUP($A244,'CCRA3 Risks'!$A:$AG,30,FALSE)</f>
        <v>0</v>
      </c>
      <c r="AO244" s="123">
        <f>VLOOKUP($A244,'CCRA3 Risks'!$A:$AG,31,FALSE)</f>
        <v>0</v>
      </c>
      <c r="AP244" s="123">
        <f>VLOOKUP($A244,'CCRA3 Risks'!$A:$AG,32,FALSE)</f>
        <v>0</v>
      </c>
      <c r="AQ244" s="123">
        <f>VLOOKUP($A244,'CCRA3 Risks'!$A:$AG,33,FALSE)</f>
        <v>0</v>
      </c>
    </row>
    <row r="245" spans="1:43" ht="76.5" x14ac:dyDescent="0.25">
      <c r="A245" s="88" t="s">
        <v>373</v>
      </c>
      <c r="B245" s="88" t="s">
        <v>1499</v>
      </c>
      <c r="C245" s="83" t="s">
        <v>1500</v>
      </c>
      <c r="D245" s="83" t="s">
        <v>461</v>
      </c>
      <c r="E245" s="88" t="s">
        <v>67</v>
      </c>
      <c r="F245" s="83" t="s">
        <v>396</v>
      </c>
      <c r="G245" s="83" t="s">
        <v>53</v>
      </c>
      <c r="H245" s="83" t="s">
        <v>1501</v>
      </c>
      <c r="I245" s="88"/>
      <c r="J245" s="88" t="s">
        <v>411</v>
      </c>
      <c r="K245" s="83" t="s">
        <v>1502</v>
      </c>
      <c r="L245" s="88" t="s">
        <v>480</v>
      </c>
      <c r="M245" s="88" t="s">
        <v>1503</v>
      </c>
      <c r="N245" s="206" t="str">
        <f>VLOOKUP($A245,'CCRA3 Risks'!$A:$R,2,FALSE)</f>
        <v>N17 Risks and opportunities to coastal species and habitats due to coastal flooding, erosion and climate factors</v>
      </c>
      <c r="O245" s="206" t="str">
        <f>VLOOKUP($A245,'CCRA3 Risks'!$A:$R,3,FALSE)</f>
        <v>No</v>
      </c>
      <c r="P245" s="207">
        <f>VLOOKUP($A245,'CCRA3 Risks'!$A:$R,4,FALSE)</f>
        <v>3</v>
      </c>
      <c r="Q245" s="206" t="str">
        <f>VLOOKUP($A245,'CCRA3 Risks'!$A:$R,7,FALSE)</f>
        <v>England</v>
      </c>
      <c r="R245" s="206" t="str">
        <f>VLOOKUP($A245,'CCRA3 Risks'!$A:$R,8,FALSE)</f>
        <v xml:space="preserve">Medium </v>
      </c>
      <c r="S245" s="206" t="str">
        <f>VLOOKUP($A245,'CCRA3 Risks'!$A:$R,9,FALSE)</f>
        <v>High</v>
      </c>
      <c r="T245" s="206" t="str">
        <f>VLOOKUP($A245,'CCRA3 Risks'!$A:$R,10,FALSE)</f>
        <v>High</v>
      </c>
      <c r="U245" s="206" t="str">
        <f>VLOOKUP($A245,'CCRA3 Risks'!$A:$R,11,FALSE)</f>
        <v>High</v>
      </c>
      <c r="V245" s="206" t="str">
        <f>VLOOKUP($A245,'CCRA3 Risks'!$A:$R,12,FALSE)</f>
        <v>High</v>
      </c>
      <c r="W245" s="206" t="str">
        <f>VLOOKUP($A245,'CCRA3 Risks'!$A:$R,13,FALSE)</f>
        <v>Partially</v>
      </c>
      <c r="X245" s="206" t="str">
        <f>VLOOKUP($A245,'CCRA3 Risks'!$A:$R,14,FALSE)</f>
        <v>More action needed</v>
      </c>
      <c r="Y245" s="206" t="str">
        <f>VLOOKUP($A245,'CCRA3 Risks'!$A:$R,15,FALSE)</f>
        <v>More action needed</v>
      </c>
      <c r="Z245" s="206" t="str">
        <f>VLOOKUP($A245,'CCRA3 Risks'!$A:$R,16,FALSE)</f>
        <v>N/A</v>
      </c>
      <c r="AA245" s="206" t="str">
        <f>VLOOKUP($A245,'CCRA3 Risks'!$A:$R,17,FALSE)</f>
        <v>Medium (Amber)</v>
      </c>
      <c r="AB245" s="206" t="str">
        <f>VLOOKUP($A245,'CCRA3 Risks'!$A:$R,18,FALSE)</f>
        <v>Medium (New or reviewed coastal policies and implementation of renewed flood policies)</v>
      </c>
      <c r="AC245" s="202" t="str">
        <f>VLOOKUP($A245,'CCRA3 Risks'!$A:$AG,19,FALSE)</f>
        <v>Y</v>
      </c>
      <c r="AD245" s="123">
        <f>VLOOKUP($A245,'CCRA3 Risks'!$A:$AG,20,FALSE)</f>
        <v>0</v>
      </c>
      <c r="AE245" s="123">
        <f>VLOOKUP($A245,'CCRA3 Risks'!$A:$AG,21,FALSE)</f>
        <v>0</v>
      </c>
      <c r="AF245" s="123">
        <f>VLOOKUP($A245,'CCRA3 Risks'!$A:$AG,22,FALSE)</f>
        <v>0</v>
      </c>
      <c r="AG245" s="123">
        <f>VLOOKUP($A245,'CCRA3 Risks'!$A:$AG,23,FALSE)</f>
        <v>0</v>
      </c>
      <c r="AH245" s="123">
        <f>VLOOKUP($A245,'CCRA3 Risks'!$A:$AG,24,FALSE)</f>
        <v>0</v>
      </c>
      <c r="AI245" s="123">
        <f>VLOOKUP($A245,'CCRA3 Risks'!$A:$AG,25,FALSE)</f>
        <v>0</v>
      </c>
      <c r="AJ245" s="123">
        <f>VLOOKUP($A245,'CCRA3 Risks'!$A:$AG,26,FALSE)</f>
        <v>0</v>
      </c>
      <c r="AK245" s="123">
        <f>VLOOKUP($A245,'CCRA3 Risks'!$A:$AG,27,FALSE)</f>
        <v>0</v>
      </c>
      <c r="AL245" s="123">
        <f>VLOOKUP($A245,'CCRA3 Risks'!$A:$AG,28,FALSE)</f>
        <v>0</v>
      </c>
      <c r="AM245" s="123">
        <f>VLOOKUP($A245,'CCRA3 Risks'!$A:$AG,29,FALSE)</f>
        <v>0</v>
      </c>
      <c r="AN245" s="123">
        <f>VLOOKUP($A245,'CCRA3 Risks'!$A:$AG,30,FALSE)</f>
        <v>0</v>
      </c>
      <c r="AO245" s="123">
        <f>VLOOKUP($A245,'CCRA3 Risks'!$A:$AG,31,FALSE)</f>
        <v>0</v>
      </c>
      <c r="AP245" s="123">
        <f>VLOOKUP($A245,'CCRA3 Risks'!$A:$AG,32,FALSE)</f>
        <v>0</v>
      </c>
      <c r="AQ245" s="123">
        <f>VLOOKUP($A245,'CCRA3 Risks'!$A:$AG,33,FALSE)</f>
        <v>0</v>
      </c>
    </row>
    <row r="246" spans="1:43" ht="68.099999999999994" customHeight="1" x14ac:dyDescent="0.25">
      <c r="A246" s="88" t="s">
        <v>373</v>
      </c>
      <c r="B246" s="88" t="s">
        <v>1504</v>
      </c>
      <c r="C246" s="83" t="s">
        <v>1505</v>
      </c>
      <c r="D246" s="83" t="s">
        <v>403</v>
      </c>
      <c r="E246" s="88" t="s">
        <v>67</v>
      </c>
      <c r="F246" s="83" t="s">
        <v>421</v>
      </c>
      <c r="G246" s="83" t="s">
        <v>53</v>
      </c>
      <c r="H246" s="83" t="s">
        <v>1494</v>
      </c>
      <c r="I246" s="88"/>
      <c r="J246" s="88" t="s">
        <v>417</v>
      </c>
      <c r="K246" s="83" t="s">
        <v>1506</v>
      </c>
      <c r="L246" s="88" t="s">
        <v>480</v>
      </c>
      <c r="M246" s="88" t="s">
        <v>35</v>
      </c>
      <c r="N246" s="206" t="str">
        <f>VLOOKUP($A246,'CCRA3 Risks'!$A:$R,2,FALSE)</f>
        <v>N17 Risks and opportunities to coastal species and habitats due to coastal flooding, erosion and climate factors</v>
      </c>
      <c r="O246" s="206" t="str">
        <f>VLOOKUP($A246,'CCRA3 Risks'!$A:$R,3,FALSE)</f>
        <v>No</v>
      </c>
      <c r="P246" s="207">
        <f>VLOOKUP($A246,'CCRA3 Risks'!$A:$R,4,FALSE)</f>
        <v>3</v>
      </c>
      <c r="Q246" s="206" t="str">
        <f>VLOOKUP($A246,'CCRA3 Risks'!$A:$R,7,FALSE)</f>
        <v>England</v>
      </c>
      <c r="R246" s="206" t="str">
        <f>VLOOKUP($A246,'CCRA3 Risks'!$A:$R,8,FALSE)</f>
        <v xml:space="preserve">Medium </v>
      </c>
      <c r="S246" s="206" t="str">
        <f>VLOOKUP($A246,'CCRA3 Risks'!$A:$R,9,FALSE)</f>
        <v>High</v>
      </c>
      <c r="T246" s="206" t="str">
        <f>VLOOKUP($A246,'CCRA3 Risks'!$A:$R,10,FALSE)</f>
        <v>High</v>
      </c>
      <c r="U246" s="206" t="str">
        <f>VLOOKUP($A246,'CCRA3 Risks'!$A:$R,11,FALSE)</f>
        <v>High</v>
      </c>
      <c r="V246" s="206" t="str">
        <f>VLOOKUP($A246,'CCRA3 Risks'!$A:$R,12,FALSE)</f>
        <v>High</v>
      </c>
      <c r="W246" s="206" t="str">
        <f>VLOOKUP($A246,'CCRA3 Risks'!$A:$R,13,FALSE)</f>
        <v>Partially</v>
      </c>
      <c r="X246" s="206" t="str">
        <f>VLOOKUP($A246,'CCRA3 Risks'!$A:$R,14,FALSE)</f>
        <v>More action needed</v>
      </c>
      <c r="Y246" s="206" t="str">
        <f>VLOOKUP($A246,'CCRA3 Risks'!$A:$R,15,FALSE)</f>
        <v>More action needed</v>
      </c>
      <c r="Z246" s="206" t="str">
        <f>VLOOKUP($A246,'CCRA3 Risks'!$A:$R,16,FALSE)</f>
        <v>N/A</v>
      </c>
      <c r="AA246" s="206" t="str">
        <f>VLOOKUP($A246,'CCRA3 Risks'!$A:$R,17,FALSE)</f>
        <v>Medium (Amber)</v>
      </c>
      <c r="AB246" s="206" t="str">
        <f>VLOOKUP($A246,'CCRA3 Risks'!$A:$R,18,FALSE)</f>
        <v>Medium (New or reviewed coastal policies and implementation of renewed flood policies)</v>
      </c>
      <c r="AC246" s="202" t="str">
        <f>VLOOKUP($A246,'CCRA3 Risks'!$A:$AG,19,FALSE)</f>
        <v>Y</v>
      </c>
      <c r="AD246" s="123">
        <f>VLOOKUP($A246,'CCRA3 Risks'!$A:$AG,20,FALSE)</f>
        <v>0</v>
      </c>
      <c r="AE246" s="123">
        <f>VLOOKUP($A246,'CCRA3 Risks'!$A:$AG,21,FALSE)</f>
        <v>0</v>
      </c>
      <c r="AF246" s="123">
        <f>VLOOKUP($A246,'CCRA3 Risks'!$A:$AG,22,FALSE)</f>
        <v>0</v>
      </c>
      <c r="AG246" s="123">
        <f>VLOOKUP($A246,'CCRA3 Risks'!$A:$AG,23,FALSE)</f>
        <v>0</v>
      </c>
      <c r="AH246" s="123">
        <f>VLOOKUP($A246,'CCRA3 Risks'!$A:$AG,24,FALSE)</f>
        <v>0</v>
      </c>
      <c r="AI246" s="123">
        <f>VLOOKUP($A246,'CCRA3 Risks'!$A:$AG,25,FALSE)</f>
        <v>0</v>
      </c>
      <c r="AJ246" s="123">
        <f>VLOOKUP($A246,'CCRA3 Risks'!$A:$AG,26,FALSE)</f>
        <v>0</v>
      </c>
      <c r="AK246" s="123">
        <f>VLOOKUP($A246,'CCRA3 Risks'!$A:$AG,27,FALSE)</f>
        <v>0</v>
      </c>
      <c r="AL246" s="123">
        <f>VLOOKUP($A246,'CCRA3 Risks'!$A:$AG,28,FALSE)</f>
        <v>0</v>
      </c>
      <c r="AM246" s="123">
        <f>VLOOKUP($A246,'CCRA3 Risks'!$A:$AG,29,FALSE)</f>
        <v>0</v>
      </c>
      <c r="AN246" s="123">
        <f>VLOOKUP($A246,'CCRA3 Risks'!$A:$AG,30,FALSE)</f>
        <v>0</v>
      </c>
      <c r="AO246" s="123">
        <f>VLOOKUP($A246,'CCRA3 Risks'!$A:$AG,31,FALSE)</f>
        <v>0</v>
      </c>
      <c r="AP246" s="123">
        <f>VLOOKUP($A246,'CCRA3 Risks'!$A:$AG,32,FALSE)</f>
        <v>0</v>
      </c>
      <c r="AQ246" s="123">
        <f>VLOOKUP($A246,'CCRA3 Risks'!$A:$AG,33,FALSE)</f>
        <v>0</v>
      </c>
    </row>
    <row r="247" spans="1:43" ht="153" customHeight="1" x14ac:dyDescent="0.25">
      <c r="A247" s="88" t="s">
        <v>373</v>
      </c>
      <c r="B247" s="88" t="s">
        <v>1507</v>
      </c>
      <c r="C247" s="83" t="s">
        <v>1508</v>
      </c>
      <c r="D247" s="83" t="s">
        <v>461</v>
      </c>
      <c r="E247" s="88" t="s">
        <v>67</v>
      </c>
      <c r="F247" s="83" t="s">
        <v>396</v>
      </c>
      <c r="G247" s="83" t="s">
        <v>30</v>
      </c>
      <c r="H247" s="83" t="s">
        <v>1509</v>
      </c>
      <c r="I247" s="88"/>
      <c r="J247" s="88" t="s">
        <v>398</v>
      </c>
      <c r="K247" s="83" t="s">
        <v>1510</v>
      </c>
      <c r="L247" s="88" t="s">
        <v>480</v>
      </c>
      <c r="M247" s="88" t="s">
        <v>480</v>
      </c>
      <c r="N247" s="206" t="str">
        <f>VLOOKUP($A247,'CCRA3 Risks'!$A:$R,2,FALSE)</f>
        <v>N17 Risks and opportunities to coastal species and habitats due to coastal flooding, erosion and climate factors</v>
      </c>
      <c r="O247" s="206" t="str">
        <f>VLOOKUP($A247,'CCRA3 Risks'!$A:$R,3,FALSE)</f>
        <v>No</v>
      </c>
      <c r="P247" s="207">
        <f>VLOOKUP($A247,'CCRA3 Risks'!$A:$R,4,FALSE)</f>
        <v>3</v>
      </c>
      <c r="Q247" s="206" t="str">
        <f>VLOOKUP($A247,'CCRA3 Risks'!$A:$R,7,FALSE)</f>
        <v>England</v>
      </c>
      <c r="R247" s="206" t="str">
        <f>VLOOKUP($A247,'CCRA3 Risks'!$A:$R,8,FALSE)</f>
        <v xml:space="preserve">Medium </v>
      </c>
      <c r="S247" s="206" t="str">
        <f>VLOOKUP($A247,'CCRA3 Risks'!$A:$R,9,FALSE)</f>
        <v>High</v>
      </c>
      <c r="T247" s="206" t="str">
        <f>VLOOKUP($A247,'CCRA3 Risks'!$A:$R,10,FALSE)</f>
        <v>High</v>
      </c>
      <c r="U247" s="206" t="str">
        <f>VLOOKUP($A247,'CCRA3 Risks'!$A:$R,11,FALSE)</f>
        <v>High</v>
      </c>
      <c r="V247" s="206" t="str">
        <f>VLOOKUP($A247,'CCRA3 Risks'!$A:$R,12,FALSE)</f>
        <v>High</v>
      </c>
      <c r="W247" s="206" t="str">
        <f>VLOOKUP($A247,'CCRA3 Risks'!$A:$R,13,FALSE)</f>
        <v>Partially</v>
      </c>
      <c r="X247" s="206" t="str">
        <f>VLOOKUP($A247,'CCRA3 Risks'!$A:$R,14,FALSE)</f>
        <v>More action needed</v>
      </c>
      <c r="Y247" s="206" t="str">
        <f>VLOOKUP($A247,'CCRA3 Risks'!$A:$R,15,FALSE)</f>
        <v>More action needed</v>
      </c>
      <c r="Z247" s="206" t="str">
        <f>VLOOKUP($A247,'CCRA3 Risks'!$A:$R,16,FALSE)</f>
        <v>N/A</v>
      </c>
      <c r="AA247" s="206" t="str">
        <f>VLOOKUP($A247,'CCRA3 Risks'!$A:$R,17,FALSE)</f>
        <v>Medium (Amber)</v>
      </c>
      <c r="AB247" s="206" t="str">
        <f>VLOOKUP($A247,'CCRA3 Risks'!$A:$R,18,FALSE)</f>
        <v>Medium (New or reviewed coastal policies and implementation of renewed flood policies)</v>
      </c>
      <c r="AC247" s="202" t="str">
        <f>VLOOKUP($A247,'CCRA3 Risks'!$A:$AG,19,FALSE)</f>
        <v>Y</v>
      </c>
      <c r="AD247" s="123">
        <f>VLOOKUP($A247,'CCRA3 Risks'!$A:$AG,20,FALSE)</f>
        <v>0</v>
      </c>
      <c r="AE247" s="123">
        <f>VLOOKUP($A247,'CCRA3 Risks'!$A:$AG,21,FALSE)</f>
        <v>0</v>
      </c>
      <c r="AF247" s="123">
        <f>VLOOKUP($A247,'CCRA3 Risks'!$A:$AG,22,FALSE)</f>
        <v>0</v>
      </c>
      <c r="AG247" s="123">
        <f>VLOOKUP($A247,'CCRA3 Risks'!$A:$AG,23,FALSE)</f>
        <v>0</v>
      </c>
      <c r="AH247" s="123">
        <f>VLOOKUP($A247,'CCRA3 Risks'!$A:$AG,24,FALSE)</f>
        <v>0</v>
      </c>
      <c r="AI247" s="123">
        <f>VLOOKUP($A247,'CCRA3 Risks'!$A:$AG,25,FALSE)</f>
        <v>0</v>
      </c>
      <c r="AJ247" s="123">
        <f>VLOOKUP($A247,'CCRA3 Risks'!$A:$AG,26,FALSE)</f>
        <v>0</v>
      </c>
      <c r="AK247" s="123">
        <f>VLOOKUP($A247,'CCRA3 Risks'!$A:$AG,27,FALSE)</f>
        <v>0</v>
      </c>
      <c r="AL247" s="123">
        <f>VLOOKUP($A247,'CCRA3 Risks'!$A:$AG,28,FALSE)</f>
        <v>0</v>
      </c>
      <c r="AM247" s="123">
        <f>VLOOKUP($A247,'CCRA3 Risks'!$A:$AG,29,FALSE)</f>
        <v>0</v>
      </c>
      <c r="AN247" s="123">
        <f>VLOOKUP($A247,'CCRA3 Risks'!$A:$AG,30,FALSE)</f>
        <v>0</v>
      </c>
      <c r="AO247" s="123">
        <f>VLOOKUP($A247,'CCRA3 Risks'!$A:$AG,31,FALSE)</f>
        <v>0</v>
      </c>
      <c r="AP247" s="123">
        <f>VLOOKUP($A247,'CCRA3 Risks'!$A:$AG,32,FALSE)</f>
        <v>0</v>
      </c>
      <c r="AQ247" s="123">
        <f>VLOOKUP($A247,'CCRA3 Risks'!$A:$AG,33,FALSE)</f>
        <v>0</v>
      </c>
    </row>
    <row r="248" spans="1:43" ht="51" x14ac:dyDescent="0.25">
      <c r="A248" s="88" t="s">
        <v>373</v>
      </c>
      <c r="B248" s="88" t="s">
        <v>1511</v>
      </c>
      <c r="C248" s="83" t="s">
        <v>1512</v>
      </c>
      <c r="D248" s="83" t="s">
        <v>461</v>
      </c>
      <c r="E248" s="88" t="s">
        <v>67</v>
      </c>
      <c r="F248" s="83" t="s">
        <v>421</v>
      </c>
      <c r="G248" s="83" t="s">
        <v>53</v>
      </c>
      <c r="H248" s="83" t="s">
        <v>1494</v>
      </c>
      <c r="I248" s="88"/>
      <c r="J248" s="88" t="s">
        <v>417</v>
      </c>
      <c r="K248" s="83" t="s">
        <v>1513</v>
      </c>
      <c r="L248" s="88" t="s">
        <v>480</v>
      </c>
      <c r="M248" s="88" t="s">
        <v>35</v>
      </c>
      <c r="N248" s="206" t="str">
        <f>VLOOKUP($A248,'CCRA3 Risks'!$A:$R,2,FALSE)</f>
        <v>N17 Risks and opportunities to coastal species and habitats due to coastal flooding, erosion and climate factors</v>
      </c>
      <c r="O248" s="206" t="str">
        <f>VLOOKUP($A248,'CCRA3 Risks'!$A:$R,3,FALSE)</f>
        <v>No</v>
      </c>
      <c r="P248" s="207">
        <f>VLOOKUP($A248,'CCRA3 Risks'!$A:$R,4,FALSE)</f>
        <v>3</v>
      </c>
      <c r="Q248" s="206" t="str">
        <f>VLOOKUP($A248,'CCRA3 Risks'!$A:$R,7,FALSE)</f>
        <v>England</v>
      </c>
      <c r="R248" s="206" t="str">
        <f>VLOOKUP($A248,'CCRA3 Risks'!$A:$R,8,FALSE)</f>
        <v xml:space="preserve">Medium </v>
      </c>
      <c r="S248" s="206" t="str">
        <f>VLOOKUP($A248,'CCRA3 Risks'!$A:$R,9,FALSE)</f>
        <v>High</v>
      </c>
      <c r="T248" s="206" t="str">
        <f>VLOOKUP($A248,'CCRA3 Risks'!$A:$R,10,FALSE)</f>
        <v>High</v>
      </c>
      <c r="U248" s="206" t="str">
        <f>VLOOKUP($A248,'CCRA3 Risks'!$A:$R,11,FALSE)</f>
        <v>High</v>
      </c>
      <c r="V248" s="206" t="str">
        <f>VLOOKUP($A248,'CCRA3 Risks'!$A:$R,12,FALSE)</f>
        <v>High</v>
      </c>
      <c r="W248" s="206" t="str">
        <f>VLOOKUP($A248,'CCRA3 Risks'!$A:$R,13,FALSE)</f>
        <v>Partially</v>
      </c>
      <c r="X248" s="206" t="str">
        <f>VLOOKUP($A248,'CCRA3 Risks'!$A:$R,14,FALSE)</f>
        <v>More action needed</v>
      </c>
      <c r="Y248" s="206" t="str">
        <f>VLOOKUP($A248,'CCRA3 Risks'!$A:$R,15,FALSE)</f>
        <v>More action needed</v>
      </c>
      <c r="Z248" s="206" t="str">
        <f>VLOOKUP($A248,'CCRA3 Risks'!$A:$R,16,FALSE)</f>
        <v>N/A</v>
      </c>
      <c r="AA248" s="206" t="str">
        <f>VLOOKUP($A248,'CCRA3 Risks'!$A:$R,17,FALSE)</f>
        <v>Medium (Amber)</v>
      </c>
      <c r="AB248" s="206" t="str">
        <f>VLOOKUP($A248,'CCRA3 Risks'!$A:$R,18,FALSE)</f>
        <v>Medium (New or reviewed coastal policies and implementation of renewed flood policies)</v>
      </c>
      <c r="AC248" s="202" t="str">
        <f>VLOOKUP($A248,'CCRA3 Risks'!$A:$AG,19,FALSE)</f>
        <v>Y</v>
      </c>
      <c r="AD248" s="123">
        <f>VLOOKUP($A248,'CCRA3 Risks'!$A:$AG,20,FALSE)</f>
        <v>0</v>
      </c>
      <c r="AE248" s="123">
        <f>VLOOKUP($A248,'CCRA3 Risks'!$A:$AG,21,FALSE)</f>
        <v>0</v>
      </c>
      <c r="AF248" s="123">
        <f>VLOOKUP($A248,'CCRA3 Risks'!$A:$AG,22,FALSE)</f>
        <v>0</v>
      </c>
      <c r="AG248" s="123">
        <f>VLOOKUP($A248,'CCRA3 Risks'!$A:$AG,23,FALSE)</f>
        <v>0</v>
      </c>
      <c r="AH248" s="123">
        <f>VLOOKUP($A248,'CCRA3 Risks'!$A:$AG,24,FALSE)</f>
        <v>0</v>
      </c>
      <c r="AI248" s="123">
        <f>VLOOKUP($A248,'CCRA3 Risks'!$A:$AG,25,FALSE)</f>
        <v>0</v>
      </c>
      <c r="AJ248" s="123">
        <f>VLOOKUP($A248,'CCRA3 Risks'!$A:$AG,26,FALSE)</f>
        <v>0</v>
      </c>
      <c r="AK248" s="123">
        <f>VLOOKUP($A248,'CCRA3 Risks'!$A:$AG,27,FALSE)</f>
        <v>0</v>
      </c>
      <c r="AL248" s="123">
        <f>VLOOKUP($A248,'CCRA3 Risks'!$A:$AG,28,FALSE)</f>
        <v>0</v>
      </c>
      <c r="AM248" s="123">
        <f>VLOOKUP($A248,'CCRA3 Risks'!$A:$AG,29,FALSE)</f>
        <v>0</v>
      </c>
      <c r="AN248" s="123">
        <f>VLOOKUP($A248,'CCRA3 Risks'!$A:$AG,30,FALSE)</f>
        <v>0</v>
      </c>
      <c r="AO248" s="123">
        <f>VLOOKUP($A248,'CCRA3 Risks'!$A:$AG,31,FALSE)</f>
        <v>0</v>
      </c>
      <c r="AP248" s="123">
        <f>VLOOKUP($A248,'CCRA3 Risks'!$A:$AG,32,FALSE)</f>
        <v>0</v>
      </c>
      <c r="AQ248" s="123">
        <f>VLOOKUP($A248,'CCRA3 Risks'!$A:$AG,33,FALSE)</f>
        <v>0</v>
      </c>
    </row>
    <row r="249" spans="1:43" ht="142.5" customHeight="1" x14ac:dyDescent="0.25">
      <c r="A249" s="88" t="s">
        <v>373</v>
      </c>
      <c r="B249" s="88" t="s">
        <v>1514</v>
      </c>
      <c r="C249" s="83" t="s">
        <v>1515</v>
      </c>
      <c r="D249" s="83" t="s">
        <v>461</v>
      </c>
      <c r="E249" s="83" t="s">
        <v>67</v>
      </c>
      <c r="F249" s="83" t="s">
        <v>421</v>
      </c>
      <c r="G249" s="83" t="s">
        <v>53</v>
      </c>
      <c r="H249" s="83" t="s">
        <v>1516</v>
      </c>
      <c r="I249" s="88"/>
      <c r="J249" s="88" t="s">
        <v>398</v>
      </c>
      <c r="K249" s="83" t="s">
        <v>1517</v>
      </c>
      <c r="L249" s="88" t="s">
        <v>480</v>
      </c>
      <c r="M249" s="88" t="s">
        <v>35</v>
      </c>
      <c r="N249" s="206" t="str">
        <f>VLOOKUP($A249,'CCRA3 Risks'!$A:$R,2,FALSE)</f>
        <v>N17 Risks and opportunities to coastal species and habitats due to coastal flooding, erosion and climate factors</v>
      </c>
      <c r="O249" s="206" t="str">
        <f>VLOOKUP($A249,'CCRA3 Risks'!$A:$R,3,FALSE)</f>
        <v>No</v>
      </c>
      <c r="P249" s="207">
        <f>VLOOKUP($A249,'CCRA3 Risks'!$A:$R,4,FALSE)</f>
        <v>3</v>
      </c>
      <c r="Q249" s="206" t="str">
        <f>VLOOKUP($A249,'CCRA3 Risks'!$A:$R,7,FALSE)</f>
        <v>England</v>
      </c>
      <c r="R249" s="206" t="str">
        <f>VLOOKUP($A249,'CCRA3 Risks'!$A:$R,8,FALSE)</f>
        <v xml:space="preserve">Medium </v>
      </c>
      <c r="S249" s="206" t="str">
        <f>VLOOKUP($A249,'CCRA3 Risks'!$A:$R,9,FALSE)</f>
        <v>High</v>
      </c>
      <c r="T249" s="206" t="str">
        <f>VLOOKUP($A249,'CCRA3 Risks'!$A:$R,10,FALSE)</f>
        <v>High</v>
      </c>
      <c r="U249" s="206" t="str">
        <f>VLOOKUP($A249,'CCRA3 Risks'!$A:$R,11,FALSE)</f>
        <v>High</v>
      </c>
      <c r="V249" s="206" t="str">
        <f>VLOOKUP($A249,'CCRA3 Risks'!$A:$R,12,FALSE)</f>
        <v>High</v>
      </c>
      <c r="W249" s="206" t="str">
        <f>VLOOKUP($A249,'CCRA3 Risks'!$A:$R,13,FALSE)</f>
        <v>Partially</v>
      </c>
      <c r="X249" s="206" t="str">
        <f>VLOOKUP($A249,'CCRA3 Risks'!$A:$R,14,FALSE)</f>
        <v>More action needed</v>
      </c>
      <c r="Y249" s="206" t="str">
        <f>VLOOKUP($A249,'CCRA3 Risks'!$A:$R,15,FALSE)</f>
        <v>More action needed</v>
      </c>
      <c r="Z249" s="206" t="str">
        <f>VLOOKUP($A249,'CCRA3 Risks'!$A:$R,16,FALSE)</f>
        <v>N/A</v>
      </c>
      <c r="AA249" s="206" t="str">
        <f>VLOOKUP($A249,'CCRA3 Risks'!$A:$R,17,FALSE)</f>
        <v>Medium (Amber)</v>
      </c>
      <c r="AB249" s="206" t="str">
        <f>VLOOKUP($A249,'CCRA3 Risks'!$A:$R,18,FALSE)</f>
        <v>Medium (New or reviewed coastal policies and implementation of renewed flood policies)</v>
      </c>
      <c r="AC249" s="202" t="str">
        <f>VLOOKUP($A249,'CCRA3 Risks'!$A:$AG,19,FALSE)</f>
        <v>Y</v>
      </c>
      <c r="AD249" s="123">
        <f>VLOOKUP($A249,'CCRA3 Risks'!$A:$AG,20,FALSE)</f>
        <v>0</v>
      </c>
      <c r="AE249" s="123">
        <f>VLOOKUP($A249,'CCRA3 Risks'!$A:$AG,21,FALSE)</f>
        <v>0</v>
      </c>
      <c r="AF249" s="123">
        <f>VLOOKUP($A249,'CCRA3 Risks'!$A:$AG,22,FALSE)</f>
        <v>0</v>
      </c>
      <c r="AG249" s="123">
        <f>VLOOKUP($A249,'CCRA3 Risks'!$A:$AG,23,FALSE)</f>
        <v>0</v>
      </c>
      <c r="AH249" s="123">
        <f>VLOOKUP($A249,'CCRA3 Risks'!$A:$AG,24,FALSE)</f>
        <v>0</v>
      </c>
      <c r="AI249" s="123">
        <f>VLOOKUP($A249,'CCRA3 Risks'!$A:$AG,25,FALSE)</f>
        <v>0</v>
      </c>
      <c r="AJ249" s="123">
        <f>VLOOKUP($A249,'CCRA3 Risks'!$A:$AG,26,FALSE)</f>
        <v>0</v>
      </c>
      <c r="AK249" s="123">
        <f>VLOOKUP($A249,'CCRA3 Risks'!$A:$AG,27,FALSE)</f>
        <v>0</v>
      </c>
      <c r="AL249" s="123">
        <f>VLOOKUP($A249,'CCRA3 Risks'!$A:$AG,28,FALSE)</f>
        <v>0</v>
      </c>
      <c r="AM249" s="123">
        <f>VLOOKUP($A249,'CCRA3 Risks'!$A:$AG,29,FALSE)</f>
        <v>0</v>
      </c>
      <c r="AN249" s="123">
        <f>VLOOKUP($A249,'CCRA3 Risks'!$A:$AG,30,FALSE)</f>
        <v>0</v>
      </c>
      <c r="AO249" s="123">
        <f>VLOOKUP($A249,'CCRA3 Risks'!$A:$AG,31,FALSE)</f>
        <v>0</v>
      </c>
      <c r="AP249" s="123">
        <f>VLOOKUP($A249,'CCRA3 Risks'!$A:$AG,32,FALSE)</f>
        <v>0</v>
      </c>
      <c r="AQ249" s="123">
        <f>VLOOKUP($A249,'CCRA3 Risks'!$A:$AG,33,FALSE)</f>
        <v>0</v>
      </c>
    </row>
    <row r="250" spans="1:43" ht="127.5" x14ac:dyDescent="0.25">
      <c r="A250" s="88" t="s">
        <v>376</v>
      </c>
      <c r="B250" s="88" t="s">
        <v>1518</v>
      </c>
      <c r="C250" s="83" t="s">
        <v>1519</v>
      </c>
      <c r="D250" s="83" t="s">
        <v>403</v>
      </c>
      <c r="E250" s="88" t="s">
        <v>67</v>
      </c>
      <c r="F250" s="83" t="s">
        <v>421</v>
      </c>
      <c r="G250" s="83" t="s">
        <v>30</v>
      </c>
      <c r="H250" s="83" t="s">
        <v>1520</v>
      </c>
      <c r="I250" s="88"/>
      <c r="J250" s="88" t="s">
        <v>411</v>
      </c>
      <c r="K250" s="83" t="s">
        <v>1521</v>
      </c>
      <c r="L250" s="88" t="s">
        <v>480</v>
      </c>
      <c r="M250" s="88" t="s">
        <v>1522</v>
      </c>
      <c r="N250" s="206" t="str">
        <f>VLOOKUP($A250,'CCRA3 Risks'!$A:$R,2,FALSE)</f>
        <v>N18 Risks and opportunities from climate change to landscape character</v>
      </c>
      <c r="O250" s="206" t="str">
        <f>VLOOKUP($A250,'CCRA3 Risks'!$A:$R,3,FALSE)</f>
        <v>No</v>
      </c>
      <c r="P250" s="207">
        <f>VLOOKUP($A250,'CCRA3 Risks'!$A:$R,4,FALSE)</f>
        <v>3</v>
      </c>
      <c r="Q250" s="206" t="str">
        <f>VLOOKUP($A250,'CCRA3 Risks'!$A:$R,7,FALSE)</f>
        <v>England</v>
      </c>
      <c r="R250" s="206" t="str">
        <f>VLOOKUP($A250,'CCRA3 Risks'!$A:$R,8,FALSE)</f>
        <v>Medium</v>
      </c>
      <c r="S250" s="206" t="str">
        <f>VLOOKUP($A250,'CCRA3 Risks'!$A:$R,9,FALSE)</f>
        <v>High</v>
      </c>
      <c r="T250" s="206" t="str">
        <f>VLOOKUP($A250,'CCRA3 Risks'!$A:$R,10,FALSE)</f>
        <v>High</v>
      </c>
      <c r="U250" s="206" t="str">
        <f>VLOOKUP($A250,'CCRA3 Risks'!$A:$R,11,FALSE)</f>
        <v>High</v>
      </c>
      <c r="V250" s="206" t="str">
        <f>VLOOKUP($A250,'CCRA3 Risks'!$A:$R,12,FALSE)</f>
        <v>High</v>
      </c>
      <c r="W250" s="206" t="str">
        <f>VLOOKUP($A250,'CCRA3 Risks'!$A:$R,13,FALSE)</f>
        <v>Very partially</v>
      </c>
      <c r="X250" s="206" t="str">
        <f>VLOOKUP($A250,'CCRA3 Risks'!$A:$R,14,FALSE)</f>
        <v>Further investigation</v>
      </c>
      <c r="Y250" s="206" t="str">
        <f>VLOOKUP($A250,'CCRA3 Risks'!$A:$R,15,FALSE)</f>
        <v>Further Investigation</v>
      </c>
      <c r="Z250" s="206" t="str">
        <f>VLOOKUP($A250,'CCRA3 Risks'!$A:$R,16,FALSE)</f>
        <v>N/A</v>
      </c>
      <c r="AA250" s="206" t="str">
        <f>VLOOKUP($A250,'CCRA3 Risks'!$A:$R,17,FALSE)</f>
        <v>N/A</v>
      </c>
      <c r="AB250" s="206" t="str">
        <f>VLOOKUP($A250,'CCRA3 Risks'!$A:$R,18,FALSE)</f>
        <v>Low (no key policies in the next two years)</v>
      </c>
      <c r="AC250" s="202" t="str">
        <f>VLOOKUP($A250,'CCRA3 Risks'!$A:$AG,19,FALSE)</f>
        <v>Y</v>
      </c>
      <c r="AD250" s="123">
        <f>VLOOKUP($A250,'CCRA3 Risks'!$A:$AG,20,FALSE)</f>
        <v>0</v>
      </c>
      <c r="AE250" s="123">
        <f>VLOOKUP($A250,'CCRA3 Risks'!$A:$AG,21,FALSE)</f>
        <v>0</v>
      </c>
      <c r="AF250" s="123">
        <f>VLOOKUP($A250,'CCRA3 Risks'!$A:$AG,22,FALSE)</f>
        <v>0</v>
      </c>
      <c r="AG250" s="123">
        <f>VLOOKUP($A250,'CCRA3 Risks'!$A:$AG,23,FALSE)</f>
        <v>0</v>
      </c>
      <c r="AH250" s="123">
        <f>VLOOKUP($A250,'CCRA3 Risks'!$A:$AG,24,FALSE)</f>
        <v>0</v>
      </c>
      <c r="AI250" s="123">
        <f>VLOOKUP($A250,'CCRA3 Risks'!$A:$AG,25,FALSE)</f>
        <v>0</v>
      </c>
      <c r="AJ250" s="123">
        <f>VLOOKUP($A250,'CCRA3 Risks'!$A:$AG,26,FALSE)</f>
        <v>0</v>
      </c>
      <c r="AK250" s="123">
        <f>VLOOKUP($A250,'CCRA3 Risks'!$A:$AG,27,FALSE)</f>
        <v>0</v>
      </c>
      <c r="AL250" s="123">
        <f>VLOOKUP($A250,'CCRA3 Risks'!$A:$AG,28,FALSE)</f>
        <v>0</v>
      </c>
      <c r="AM250" s="123" t="str">
        <f>VLOOKUP($A250,'CCRA3 Risks'!$A:$AG,29,FALSE)</f>
        <v>Y</v>
      </c>
      <c r="AN250" s="123">
        <f>VLOOKUP($A250,'CCRA3 Risks'!$A:$AG,30,FALSE)</f>
        <v>0</v>
      </c>
      <c r="AO250" s="123">
        <f>VLOOKUP($A250,'CCRA3 Risks'!$A:$AG,31,FALSE)</f>
        <v>0</v>
      </c>
      <c r="AP250" s="123">
        <f>VLOOKUP($A250,'CCRA3 Risks'!$A:$AG,32,FALSE)</f>
        <v>0</v>
      </c>
      <c r="AQ250" s="123">
        <f>VLOOKUP($A250,'CCRA3 Risks'!$A:$AG,33,FALSE)</f>
        <v>0</v>
      </c>
    </row>
    <row r="251" spans="1:43" ht="89.25" x14ac:dyDescent="0.25">
      <c r="A251" s="88" t="s">
        <v>376</v>
      </c>
      <c r="B251" s="88" t="s">
        <v>1523</v>
      </c>
      <c r="C251" s="83" t="s">
        <v>1524</v>
      </c>
      <c r="D251" s="83" t="s">
        <v>461</v>
      </c>
      <c r="E251" s="88" t="s">
        <v>67</v>
      </c>
      <c r="F251" s="83" t="s">
        <v>396</v>
      </c>
      <c r="G251" s="83" t="s">
        <v>20</v>
      </c>
      <c r="H251" s="83" t="s">
        <v>1525</v>
      </c>
      <c r="I251" s="88"/>
      <c r="J251" s="88" t="s">
        <v>405</v>
      </c>
      <c r="K251" s="83" t="s">
        <v>1526</v>
      </c>
      <c r="L251" s="88" t="s">
        <v>480</v>
      </c>
      <c r="M251" s="88" t="s">
        <v>1522</v>
      </c>
      <c r="N251" s="206" t="str">
        <f>VLOOKUP($A251,'CCRA3 Risks'!$A:$R,2,FALSE)</f>
        <v>N18 Risks and opportunities from climate change to landscape character</v>
      </c>
      <c r="O251" s="206" t="str">
        <f>VLOOKUP($A251,'CCRA3 Risks'!$A:$R,3,FALSE)</f>
        <v>No</v>
      </c>
      <c r="P251" s="207">
        <f>VLOOKUP($A251,'CCRA3 Risks'!$A:$R,4,FALSE)</f>
        <v>3</v>
      </c>
      <c r="Q251" s="206" t="str">
        <f>VLOOKUP($A251,'CCRA3 Risks'!$A:$R,7,FALSE)</f>
        <v>England</v>
      </c>
      <c r="R251" s="206" t="str">
        <f>VLOOKUP($A251,'CCRA3 Risks'!$A:$R,8,FALSE)</f>
        <v>Medium</v>
      </c>
      <c r="S251" s="206" t="str">
        <f>VLOOKUP($A251,'CCRA3 Risks'!$A:$R,9,FALSE)</f>
        <v>High</v>
      </c>
      <c r="T251" s="206" t="str">
        <f>VLOOKUP($A251,'CCRA3 Risks'!$A:$R,10,FALSE)</f>
        <v>High</v>
      </c>
      <c r="U251" s="206" t="str">
        <f>VLOOKUP($A251,'CCRA3 Risks'!$A:$R,11,FALSE)</f>
        <v>High</v>
      </c>
      <c r="V251" s="206" t="str">
        <f>VLOOKUP($A251,'CCRA3 Risks'!$A:$R,12,FALSE)</f>
        <v>High</v>
      </c>
      <c r="W251" s="206" t="str">
        <f>VLOOKUP($A251,'CCRA3 Risks'!$A:$R,13,FALSE)</f>
        <v>Very partially</v>
      </c>
      <c r="X251" s="206" t="str">
        <f>VLOOKUP($A251,'CCRA3 Risks'!$A:$R,14,FALSE)</f>
        <v>Further investigation</v>
      </c>
      <c r="Y251" s="206" t="str">
        <f>VLOOKUP($A251,'CCRA3 Risks'!$A:$R,15,FALSE)</f>
        <v>Further Investigation</v>
      </c>
      <c r="Z251" s="206" t="str">
        <f>VLOOKUP($A251,'CCRA3 Risks'!$A:$R,16,FALSE)</f>
        <v>N/A</v>
      </c>
      <c r="AA251" s="206" t="str">
        <f>VLOOKUP($A251,'CCRA3 Risks'!$A:$R,17,FALSE)</f>
        <v>N/A</v>
      </c>
      <c r="AB251" s="206" t="str">
        <f>VLOOKUP($A251,'CCRA3 Risks'!$A:$R,18,FALSE)</f>
        <v>Low (no key policies in the next two years)</v>
      </c>
      <c r="AC251" s="202" t="str">
        <f>VLOOKUP($A251,'CCRA3 Risks'!$A:$AG,19,FALSE)</f>
        <v>Y</v>
      </c>
      <c r="AD251" s="123">
        <f>VLOOKUP($A251,'CCRA3 Risks'!$A:$AG,20,FALSE)</f>
        <v>0</v>
      </c>
      <c r="AE251" s="123">
        <f>VLOOKUP($A251,'CCRA3 Risks'!$A:$AG,21,FALSE)</f>
        <v>0</v>
      </c>
      <c r="AF251" s="123">
        <f>VLOOKUP($A251,'CCRA3 Risks'!$A:$AG,22,FALSE)</f>
        <v>0</v>
      </c>
      <c r="AG251" s="123">
        <f>VLOOKUP($A251,'CCRA3 Risks'!$A:$AG,23,FALSE)</f>
        <v>0</v>
      </c>
      <c r="AH251" s="123">
        <f>VLOOKUP($A251,'CCRA3 Risks'!$A:$AG,24,FALSE)</f>
        <v>0</v>
      </c>
      <c r="AI251" s="123">
        <f>VLOOKUP($A251,'CCRA3 Risks'!$A:$AG,25,FALSE)</f>
        <v>0</v>
      </c>
      <c r="AJ251" s="123">
        <f>VLOOKUP($A251,'CCRA3 Risks'!$A:$AG,26,FALSE)</f>
        <v>0</v>
      </c>
      <c r="AK251" s="123">
        <f>VLOOKUP($A251,'CCRA3 Risks'!$A:$AG,27,FALSE)</f>
        <v>0</v>
      </c>
      <c r="AL251" s="123">
        <f>VLOOKUP($A251,'CCRA3 Risks'!$A:$AG,28,FALSE)</f>
        <v>0</v>
      </c>
      <c r="AM251" s="123" t="str">
        <f>VLOOKUP($A251,'CCRA3 Risks'!$A:$AG,29,FALSE)</f>
        <v>Y</v>
      </c>
      <c r="AN251" s="123">
        <f>VLOOKUP($A251,'CCRA3 Risks'!$A:$AG,30,FALSE)</f>
        <v>0</v>
      </c>
      <c r="AO251" s="123">
        <f>VLOOKUP($A251,'CCRA3 Risks'!$A:$AG,31,FALSE)</f>
        <v>0</v>
      </c>
      <c r="AP251" s="123">
        <f>VLOOKUP($A251,'CCRA3 Risks'!$A:$AG,32,FALSE)</f>
        <v>0</v>
      </c>
      <c r="AQ251" s="123">
        <f>VLOOKUP($A251,'CCRA3 Risks'!$A:$AG,33,FALSE)</f>
        <v>0</v>
      </c>
    </row>
    <row r="252" spans="1:43" ht="102" x14ac:dyDescent="0.25">
      <c r="A252" s="88" t="s">
        <v>376</v>
      </c>
      <c r="B252" s="88" t="s">
        <v>1527</v>
      </c>
      <c r="C252" s="83" t="s">
        <v>1528</v>
      </c>
      <c r="D252" s="83" t="s">
        <v>461</v>
      </c>
      <c r="E252" s="88" t="s">
        <v>67</v>
      </c>
      <c r="F252" s="83" t="s">
        <v>33</v>
      </c>
      <c r="G252" s="83" t="s">
        <v>20</v>
      </c>
      <c r="H252" s="83" t="s">
        <v>1529</v>
      </c>
      <c r="I252" s="88"/>
      <c r="J252" s="88" t="s">
        <v>405</v>
      </c>
      <c r="K252" s="83" t="s">
        <v>1526</v>
      </c>
      <c r="L252" s="88" t="s">
        <v>480</v>
      </c>
      <c r="M252" s="83" t="s">
        <v>1530</v>
      </c>
      <c r="N252" s="206" t="str">
        <f>VLOOKUP($A252,'CCRA3 Risks'!$A:$R,2,FALSE)</f>
        <v>N18 Risks and opportunities from climate change to landscape character</v>
      </c>
      <c r="O252" s="206" t="str">
        <f>VLOOKUP($A252,'CCRA3 Risks'!$A:$R,3,FALSE)</f>
        <v>No</v>
      </c>
      <c r="P252" s="207">
        <f>VLOOKUP($A252,'CCRA3 Risks'!$A:$R,4,FALSE)</f>
        <v>3</v>
      </c>
      <c r="Q252" s="206" t="str">
        <f>VLOOKUP($A252,'CCRA3 Risks'!$A:$R,7,FALSE)</f>
        <v>England</v>
      </c>
      <c r="R252" s="206" t="str">
        <f>VLOOKUP($A252,'CCRA3 Risks'!$A:$R,8,FALSE)</f>
        <v>Medium</v>
      </c>
      <c r="S252" s="206" t="str">
        <f>VLOOKUP($A252,'CCRA3 Risks'!$A:$R,9,FALSE)</f>
        <v>High</v>
      </c>
      <c r="T252" s="206" t="str">
        <f>VLOOKUP($A252,'CCRA3 Risks'!$A:$R,10,FALSE)</f>
        <v>High</v>
      </c>
      <c r="U252" s="206" t="str">
        <f>VLOOKUP($A252,'CCRA3 Risks'!$A:$R,11,FALSE)</f>
        <v>High</v>
      </c>
      <c r="V252" s="206" t="str">
        <f>VLOOKUP($A252,'CCRA3 Risks'!$A:$R,12,FALSE)</f>
        <v>High</v>
      </c>
      <c r="W252" s="206" t="str">
        <f>VLOOKUP($A252,'CCRA3 Risks'!$A:$R,13,FALSE)</f>
        <v>Very partially</v>
      </c>
      <c r="X252" s="206" t="str">
        <f>VLOOKUP($A252,'CCRA3 Risks'!$A:$R,14,FALSE)</f>
        <v>Further investigation</v>
      </c>
      <c r="Y252" s="206" t="str">
        <f>VLOOKUP($A252,'CCRA3 Risks'!$A:$R,15,FALSE)</f>
        <v>Further Investigation</v>
      </c>
      <c r="Z252" s="206" t="str">
        <f>VLOOKUP($A252,'CCRA3 Risks'!$A:$R,16,FALSE)</f>
        <v>N/A</v>
      </c>
      <c r="AA252" s="206" t="str">
        <f>VLOOKUP($A252,'CCRA3 Risks'!$A:$R,17,FALSE)</f>
        <v>N/A</v>
      </c>
      <c r="AB252" s="206" t="str">
        <f>VLOOKUP($A252,'CCRA3 Risks'!$A:$R,18,FALSE)</f>
        <v>Low (no key policies in the next two years)</v>
      </c>
      <c r="AC252" s="202" t="str">
        <f>VLOOKUP($A252,'CCRA3 Risks'!$A:$AG,19,FALSE)</f>
        <v>Y</v>
      </c>
      <c r="AD252" s="123">
        <f>VLOOKUP($A252,'CCRA3 Risks'!$A:$AG,20,FALSE)</f>
        <v>0</v>
      </c>
      <c r="AE252" s="123">
        <f>VLOOKUP($A252,'CCRA3 Risks'!$A:$AG,21,FALSE)</f>
        <v>0</v>
      </c>
      <c r="AF252" s="123">
        <f>VLOOKUP($A252,'CCRA3 Risks'!$A:$AG,22,FALSE)</f>
        <v>0</v>
      </c>
      <c r="AG252" s="123">
        <f>VLOOKUP($A252,'CCRA3 Risks'!$A:$AG,23,FALSE)</f>
        <v>0</v>
      </c>
      <c r="AH252" s="123">
        <f>VLOOKUP($A252,'CCRA3 Risks'!$A:$AG,24,FALSE)</f>
        <v>0</v>
      </c>
      <c r="AI252" s="123">
        <f>VLOOKUP($A252,'CCRA3 Risks'!$A:$AG,25,FALSE)</f>
        <v>0</v>
      </c>
      <c r="AJ252" s="123">
        <f>VLOOKUP($A252,'CCRA3 Risks'!$A:$AG,26,FALSE)</f>
        <v>0</v>
      </c>
      <c r="AK252" s="123">
        <f>VLOOKUP($A252,'CCRA3 Risks'!$A:$AG,27,FALSE)</f>
        <v>0</v>
      </c>
      <c r="AL252" s="123">
        <f>VLOOKUP($A252,'CCRA3 Risks'!$A:$AG,28,FALSE)</f>
        <v>0</v>
      </c>
      <c r="AM252" s="123" t="str">
        <f>VLOOKUP($A252,'CCRA3 Risks'!$A:$AG,29,FALSE)</f>
        <v>Y</v>
      </c>
      <c r="AN252" s="123">
        <f>VLOOKUP($A252,'CCRA3 Risks'!$A:$AG,30,FALSE)</f>
        <v>0</v>
      </c>
      <c r="AO252" s="123">
        <f>VLOOKUP($A252,'CCRA3 Risks'!$A:$AG,31,FALSE)</f>
        <v>0</v>
      </c>
      <c r="AP252" s="123">
        <f>VLOOKUP($A252,'CCRA3 Risks'!$A:$AG,32,FALSE)</f>
        <v>0</v>
      </c>
      <c r="AQ252" s="123">
        <f>VLOOKUP($A252,'CCRA3 Risks'!$A:$AG,33,FALSE)</f>
        <v>0</v>
      </c>
    </row>
    <row r="253" spans="1:43" x14ac:dyDescent="0.25">
      <c r="C253" s="116"/>
      <c r="D253" s="116"/>
    </row>
    <row r="254" spans="1:43" x14ac:dyDescent="0.25">
      <c r="C254" s="116"/>
      <c r="D254" s="116"/>
    </row>
  </sheetData>
  <autoFilter ref="A1:AQ252" xr:uid="{BE576299-D397-4D3D-A5B0-F8E77B508E31}"/>
  <phoneticPr fontId="16" type="noConversion"/>
  <conditionalFormatting sqref="AC1:AQ1048576">
    <cfRule type="cellIs" dxfId="3" priority="1" operator="equal">
      <formula>"Y"</formula>
    </cfRule>
    <cfRule type="cellIs" dxfId="2" priority="2" operator="equal">
      <formula>0</formula>
    </cfRule>
  </conditionalFormatting>
  <conditionalFormatting sqref="AQ1">
    <cfRule type="cellIs" dxfId="1" priority="3" operator="equal">
      <formula>"N"</formula>
    </cfRule>
  </conditionalFormatting>
  <dataValidations count="5">
    <dataValidation allowBlank="1" showDropDown="1" showInputMessage="1" showErrorMessage="1" sqref="G1" xr:uid="{849535D2-7685-4A2C-8B2E-936CE39D7FD1}"/>
    <dataValidation type="list" allowBlank="1" showInputMessage="1" showErrorMessage="1" sqref="F2:F1048576 E252 E175" xr:uid="{8B52054B-053E-4527-A09E-7DC2BD05569E}">
      <formula1>Typology</formula1>
    </dataValidation>
    <dataValidation type="list" allowBlank="1" showInputMessage="1" showErrorMessage="1" sqref="J2:J1048576" xr:uid="{A9A0A7B5-12A4-41F2-AB71-D7D4E09DBD5C}">
      <formula1>EvalScore</formula1>
    </dataValidation>
    <dataValidation type="list" allowBlank="1" showInputMessage="1" showErrorMessage="1" sqref="G2:G1048576" xr:uid="{7E64EE01-B433-4601-A3E9-A0636FCAF5A0}">
      <formula1>Confidence</formula1>
    </dataValidation>
    <dataValidation type="list" allowBlank="1" showInputMessage="1" showErrorMessage="1" sqref="D2:D1048576" xr:uid="{8A55F08A-D220-4B69-8763-A088464583D9}">
      <formula1>RiskRelevant</formula1>
    </dataValidation>
  </dataValidations>
  <pageMargins left="0.7" right="0.7" top="0.75" bottom="0.75" header="0.3" footer="0.3"/>
  <legacy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B7402DF-C503-4E99-8708-17882B047419}">
  <dimension ref="A2:BX180"/>
  <sheetViews>
    <sheetView topLeftCell="A59" zoomScaleNormal="100" workbookViewId="0">
      <selection activeCell="H72" sqref="H72"/>
    </sheetView>
  </sheetViews>
  <sheetFormatPr defaultRowHeight="15" x14ac:dyDescent="0.25"/>
  <cols>
    <col min="2" max="2" width="28.5703125" customWidth="1"/>
    <col min="3" max="3" width="16.7109375" bestFit="1" customWidth="1"/>
    <col min="10" max="10" width="29" customWidth="1"/>
    <col min="14" max="15" width="8.7109375" customWidth="1"/>
  </cols>
  <sheetData>
    <row r="2" spans="2:15" x14ac:dyDescent="0.25">
      <c r="B2" s="234" t="s">
        <v>1531</v>
      </c>
      <c r="C2" s="235"/>
      <c r="D2" s="235"/>
      <c r="E2" s="236"/>
    </row>
    <row r="3" spans="2:15" x14ac:dyDescent="0.25">
      <c r="B3" s="237"/>
      <c r="C3" s="238"/>
      <c r="D3" s="238"/>
      <c r="E3" s="239"/>
    </row>
    <row r="4" spans="2:15" x14ac:dyDescent="0.25">
      <c r="B4" s="191" t="s">
        <v>1532</v>
      </c>
      <c r="C4" s="175"/>
      <c r="D4" s="175"/>
      <c r="E4" s="192"/>
    </row>
    <row r="5" spans="2:15" x14ac:dyDescent="0.25">
      <c r="B5" s="193" t="s">
        <v>1533</v>
      </c>
      <c r="C5" s="40"/>
      <c r="D5" s="40"/>
      <c r="E5" s="194"/>
    </row>
    <row r="6" spans="2:15" x14ac:dyDescent="0.25">
      <c r="B6" s="195" t="s">
        <v>1534</v>
      </c>
      <c r="C6" s="151"/>
      <c r="D6" s="151"/>
      <c r="E6" s="196"/>
    </row>
    <row r="7" spans="2:15" x14ac:dyDescent="0.25">
      <c r="B7" s="197" t="s">
        <v>1535</v>
      </c>
      <c r="C7" s="154"/>
      <c r="D7" s="154"/>
      <c r="E7" s="198"/>
    </row>
    <row r="8" spans="2:15" x14ac:dyDescent="0.25">
      <c r="B8" s="199" t="s">
        <v>1536</v>
      </c>
      <c r="C8" s="200"/>
      <c r="D8" s="200"/>
      <c r="E8" s="201"/>
    </row>
    <row r="9" spans="2:15" x14ac:dyDescent="0.25">
      <c r="B9" s="2"/>
    </row>
    <row r="12" spans="2:15" s="175" customFormat="1" x14ac:dyDescent="0.25"/>
    <row r="13" spans="2:15" s="175" customFormat="1" x14ac:dyDescent="0.25"/>
    <row r="14" spans="2:15" s="175" customFormat="1" x14ac:dyDescent="0.25">
      <c r="B14" s="176" t="s">
        <v>1537</v>
      </c>
      <c r="O14" s="176" t="s">
        <v>1538</v>
      </c>
    </row>
    <row r="15" spans="2:15" s="175" customFormat="1" x14ac:dyDescent="0.25"/>
    <row r="16" spans="2:15" s="175" customFormat="1" x14ac:dyDescent="0.25"/>
    <row r="17" spans="2:18" s="175" customFormat="1" x14ac:dyDescent="0.25"/>
    <row r="18" spans="2:18" s="175" customFormat="1" x14ac:dyDescent="0.25">
      <c r="O18" s="169" t="s">
        <v>1539</v>
      </c>
      <c r="P18" s="169" t="s">
        <v>1540</v>
      </c>
      <c r="Q18" s="169" t="s">
        <v>1541</v>
      </c>
    </row>
    <row r="19" spans="2:18" s="175" customFormat="1" x14ac:dyDescent="0.25">
      <c r="B19" s="169" t="s">
        <v>1540</v>
      </c>
      <c r="C19" s="169" t="s">
        <v>1541</v>
      </c>
      <c r="D19" s="187"/>
      <c r="E19" s="175" t="s">
        <v>1542</v>
      </c>
      <c r="F19" s="189">
        <f>SUM(C20:C22)/C25</f>
        <v>0.68924302788844627</v>
      </c>
      <c r="O19" s="178" t="s">
        <v>403</v>
      </c>
      <c r="P19" s="177" t="s">
        <v>405</v>
      </c>
      <c r="Q19" s="178">
        <f>COUNTIFS('CCRA3 Actions for NAP3'!D:D,Graphs!O19, 'CCRA3 Actions for NAP3'!J:J,Graphs!P19)</f>
        <v>4</v>
      </c>
      <c r="R19" s="188">
        <f>Q19/Q$25</f>
        <v>6.4516129032258063E-2</v>
      </c>
    </row>
    <row r="20" spans="2:18" s="175" customFormat="1" x14ac:dyDescent="0.25">
      <c r="B20" s="177" t="s">
        <v>405</v>
      </c>
      <c r="C20" s="178">
        <f>COUNTIF('CCRA3 Actions for NAP3'!J:J,Graphs!B20)</f>
        <v>15</v>
      </c>
      <c r="D20" s="188">
        <f>C20/C$25</f>
        <v>5.9760956175298807E-2</v>
      </c>
      <c r="E20" s="175" t="s">
        <v>417</v>
      </c>
      <c r="F20" s="189">
        <f>SUM(C23:C24)/C25</f>
        <v>0.31075697211155379</v>
      </c>
      <c r="O20" s="178" t="s">
        <v>403</v>
      </c>
      <c r="P20" s="177" t="s">
        <v>463</v>
      </c>
      <c r="Q20" s="178">
        <f>COUNTIFS('CCRA3 Actions for NAP3'!D:D,Graphs!O20, 'CCRA3 Actions for NAP3'!J:J,Graphs!P20)</f>
        <v>15</v>
      </c>
      <c r="R20" s="188">
        <f t="shared" ref="R20:R23" si="0">Q20/Q$25</f>
        <v>0.24193548387096775</v>
      </c>
    </row>
    <row r="21" spans="2:18" s="175" customFormat="1" x14ac:dyDescent="0.25">
      <c r="B21" s="177" t="s">
        <v>463</v>
      </c>
      <c r="C21" s="178">
        <f>COUNTIF('CCRA3 Actions for NAP3'!J:J,Graphs!B21)</f>
        <v>68</v>
      </c>
      <c r="D21" s="188">
        <f t="shared" ref="D21:D24" si="1">C21/C$25</f>
        <v>0.27091633466135456</v>
      </c>
      <c r="O21" s="178" t="s">
        <v>403</v>
      </c>
      <c r="P21" s="177" t="s">
        <v>398</v>
      </c>
      <c r="Q21" s="178">
        <f>COUNTIFS('CCRA3 Actions for NAP3'!D:D,Graphs!O21, 'CCRA3 Actions for NAP3'!J:J,Graphs!P21)</f>
        <v>21</v>
      </c>
      <c r="R21" s="188">
        <f t="shared" si="0"/>
        <v>0.33870967741935482</v>
      </c>
    </row>
    <row r="22" spans="2:18" s="175" customFormat="1" x14ac:dyDescent="0.25">
      <c r="B22" s="177" t="s">
        <v>398</v>
      </c>
      <c r="C22" s="178">
        <f>COUNTIF('CCRA3 Actions for NAP3'!J:J,Graphs!B22)</f>
        <v>90</v>
      </c>
      <c r="D22" s="188">
        <f t="shared" si="1"/>
        <v>0.35856573705179284</v>
      </c>
      <c r="O22" s="178" t="s">
        <v>403</v>
      </c>
      <c r="P22" s="177" t="s">
        <v>411</v>
      </c>
      <c r="Q22" s="178">
        <f>COUNTIFS('CCRA3 Actions for NAP3'!D:D,Graphs!O22, 'CCRA3 Actions for NAP3'!J:J,Graphs!P22)</f>
        <v>9</v>
      </c>
      <c r="R22" s="188">
        <f t="shared" si="0"/>
        <v>0.14516129032258066</v>
      </c>
    </row>
    <row r="23" spans="2:18" s="175" customFormat="1" x14ac:dyDescent="0.25">
      <c r="B23" s="177" t="s">
        <v>411</v>
      </c>
      <c r="C23" s="178">
        <f>COUNTIF('CCRA3 Actions for NAP3'!J:J,Graphs!B23)</f>
        <v>35</v>
      </c>
      <c r="D23" s="188">
        <f t="shared" si="1"/>
        <v>0.1394422310756972</v>
      </c>
      <c r="O23" s="178" t="s">
        <v>403</v>
      </c>
      <c r="P23" s="177" t="s">
        <v>417</v>
      </c>
      <c r="Q23" s="178">
        <f>COUNTIFS('CCRA3 Actions for NAP3'!D:D,Graphs!O23, 'CCRA3 Actions for NAP3'!J:J,Graphs!P23)</f>
        <v>13</v>
      </c>
      <c r="R23" s="188">
        <f t="shared" si="0"/>
        <v>0.20967741935483872</v>
      </c>
    </row>
    <row r="24" spans="2:18" s="175" customFormat="1" x14ac:dyDescent="0.25">
      <c r="B24" s="177" t="s">
        <v>417</v>
      </c>
      <c r="C24" s="178">
        <f>COUNTIF('CCRA3 Actions for NAP3'!J:J,Graphs!B24)</f>
        <v>43</v>
      </c>
      <c r="D24" s="188">
        <f t="shared" si="1"/>
        <v>0.17131474103585656</v>
      </c>
    </row>
    <row r="25" spans="2:18" s="175" customFormat="1" x14ac:dyDescent="0.25">
      <c r="B25" s="169" t="s">
        <v>1543</v>
      </c>
      <c r="C25" s="169">
        <f>SUM(C20:C24)</f>
        <v>251</v>
      </c>
      <c r="P25" s="169" t="s">
        <v>1544</v>
      </c>
      <c r="Q25" s="178">
        <f>SUM(Q19:Q23)</f>
        <v>62</v>
      </c>
    </row>
    <row r="26" spans="2:18" s="175" customFormat="1" x14ac:dyDescent="0.25">
      <c r="B26" s="169" t="s">
        <v>1545</v>
      </c>
      <c r="C26" s="186">
        <f>(SUM(C20:C24))/SUM('No. actions per risk'!R2,'No. actions per risk'!R9,'No. actions per risk'!R22,'No. actions per risk'!R35,'No. actions per risk'!R45)</f>
        <v>1</v>
      </c>
    </row>
    <row r="27" spans="2:18" s="175" customFormat="1" x14ac:dyDescent="0.25">
      <c r="D27" s="226">
        <f>D20+D21</f>
        <v>0.33067729083665337</v>
      </c>
    </row>
    <row r="28" spans="2:18" s="175" customFormat="1" x14ac:dyDescent="0.25"/>
    <row r="29" spans="2:18" s="175" customFormat="1" x14ac:dyDescent="0.25"/>
    <row r="30" spans="2:18" s="175" customFormat="1" x14ac:dyDescent="0.25"/>
    <row r="31" spans="2:18" s="175" customFormat="1" x14ac:dyDescent="0.25"/>
    <row r="32" spans="2:18" s="175" customFormat="1" x14ac:dyDescent="0.25"/>
    <row r="33" spans="1:41" s="175" customFormat="1" x14ac:dyDescent="0.25"/>
    <row r="34" spans="1:41" s="40" customFormat="1" x14ac:dyDescent="0.25"/>
    <row r="35" spans="1:41" s="40" customFormat="1" x14ac:dyDescent="0.25">
      <c r="B35" s="153" t="s">
        <v>1546</v>
      </c>
    </row>
    <row r="36" spans="1:41" s="40" customFormat="1" x14ac:dyDescent="0.25"/>
    <row r="37" spans="1:41" x14ac:dyDescent="0.25">
      <c r="A37" s="40"/>
      <c r="B37" s="240" t="s">
        <v>1547</v>
      </c>
      <c r="C37" s="240"/>
      <c r="D37" s="167" t="s">
        <v>1545</v>
      </c>
      <c r="E37" s="40"/>
      <c r="F37" s="40"/>
      <c r="G37" s="40"/>
      <c r="H37" s="40"/>
      <c r="I37" s="40"/>
      <c r="J37" s="40"/>
      <c r="K37" s="40"/>
      <c r="L37" s="40"/>
      <c r="M37" s="40"/>
      <c r="N37" s="40"/>
      <c r="O37" s="40"/>
      <c r="P37" s="40"/>
      <c r="Q37" s="40"/>
      <c r="R37" s="40"/>
      <c r="S37" s="40"/>
      <c r="T37" s="40"/>
      <c r="U37" s="40"/>
      <c r="V37" s="40"/>
      <c r="W37" s="40"/>
      <c r="X37" s="40"/>
      <c r="Y37" s="40"/>
      <c r="Z37" s="40"/>
      <c r="AA37" s="40"/>
      <c r="AB37" s="40"/>
      <c r="AC37" s="40"/>
      <c r="AD37" s="40"/>
      <c r="AE37" s="40"/>
      <c r="AF37" s="40"/>
      <c r="AG37" s="40"/>
      <c r="AH37" s="40"/>
      <c r="AI37" s="40"/>
      <c r="AJ37" s="40"/>
      <c r="AK37" s="40"/>
      <c r="AL37" s="40"/>
      <c r="AM37" s="40"/>
      <c r="AN37" s="40"/>
      <c r="AO37" s="40"/>
    </row>
    <row r="38" spans="1:41" x14ac:dyDescent="0.25">
      <c r="A38" s="40"/>
      <c r="B38" s="150" t="s">
        <v>1540</v>
      </c>
      <c r="C38" s="150" t="s">
        <v>1541</v>
      </c>
      <c r="D38" s="168">
        <f>(SUM(C39:C43))/'No. actions per risk'!R45</f>
        <v>1</v>
      </c>
      <c r="E38" s="40"/>
      <c r="F38" s="40"/>
      <c r="G38" s="40"/>
      <c r="H38" s="40"/>
      <c r="I38" s="40"/>
      <c r="J38" s="40"/>
      <c r="K38" s="40"/>
      <c r="L38" s="40"/>
      <c r="M38" s="40"/>
      <c r="N38" s="40"/>
      <c r="O38" s="40"/>
      <c r="P38" s="40"/>
      <c r="Q38" s="40"/>
      <c r="R38" s="40"/>
      <c r="S38" s="40"/>
      <c r="T38" s="40"/>
      <c r="U38" s="40"/>
      <c r="V38" s="40"/>
      <c r="W38" s="40"/>
      <c r="X38" s="40"/>
      <c r="Y38" s="40"/>
      <c r="Z38" s="40"/>
      <c r="AA38" s="40"/>
      <c r="AB38" s="40"/>
      <c r="AC38" s="40"/>
      <c r="AD38" s="40"/>
      <c r="AE38" s="40"/>
      <c r="AF38" s="40"/>
      <c r="AG38" s="40"/>
      <c r="AH38" s="40"/>
      <c r="AI38" s="40"/>
      <c r="AJ38" s="40"/>
      <c r="AK38" s="40"/>
      <c r="AL38" s="40"/>
      <c r="AM38" s="40"/>
      <c r="AN38" s="40"/>
      <c r="AO38" s="40"/>
    </row>
    <row r="39" spans="1:41" x14ac:dyDescent="0.25">
      <c r="A39" s="40"/>
      <c r="B39" s="148" t="s">
        <v>405</v>
      </c>
      <c r="C39" s="149">
        <f>COUNTIF('CCRA3 Actions for NAP3'!J$168:J$252,Graphs!B39)</f>
        <v>7</v>
      </c>
      <c r="D39" s="190">
        <f>C39/85</f>
        <v>8.2352941176470587E-2</v>
      </c>
      <c r="E39" s="40"/>
      <c r="F39" s="40"/>
      <c r="G39" s="40"/>
      <c r="H39" s="40"/>
      <c r="I39" s="40"/>
      <c r="J39" s="40"/>
      <c r="K39" s="40"/>
      <c r="L39" s="40"/>
      <c r="M39" s="40"/>
      <c r="N39" s="40"/>
      <c r="O39" s="40"/>
      <c r="P39" s="40"/>
      <c r="Q39" s="40"/>
      <c r="R39" s="40"/>
      <c r="S39" s="40"/>
      <c r="T39" s="40"/>
      <c r="U39" s="40"/>
      <c r="V39" s="40"/>
      <c r="W39" s="40"/>
      <c r="X39" s="40"/>
      <c r="Y39" s="40"/>
      <c r="Z39" s="40"/>
      <c r="AA39" s="40"/>
      <c r="AB39" s="40"/>
      <c r="AC39" s="40"/>
      <c r="AD39" s="40"/>
      <c r="AE39" s="40"/>
      <c r="AF39" s="40"/>
      <c r="AG39" s="40"/>
      <c r="AH39" s="40"/>
      <c r="AI39" s="40"/>
      <c r="AJ39" s="40"/>
      <c r="AK39" s="40"/>
      <c r="AL39" s="40"/>
      <c r="AM39" s="40"/>
      <c r="AN39" s="40"/>
      <c r="AO39" s="40"/>
    </row>
    <row r="40" spans="1:41" x14ac:dyDescent="0.25">
      <c r="A40" s="40"/>
      <c r="B40" s="148" t="s">
        <v>463</v>
      </c>
      <c r="C40" s="149">
        <f>COUNTIF('CCRA3 Actions for NAP3'!J$168:J$252,Graphs!B40)</f>
        <v>24</v>
      </c>
      <c r="D40" s="190">
        <f t="shared" ref="D40:D43" si="2">C40/85</f>
        <v>0.28235294117647058</v>
      </c>
      <c r="E40" s="40" t="s">
        <v>1542</v>
      </c>
      <c r="F40" s="190">
        <f>SUM(C39:C41)/SUM(C39:C43)</f>
        <v>0.70588235294117652</v>
      </c>
      <c r="G40" s="40"/>
      <c r="H40" s="40"/>
      <c r="I40" s="40"/>
      <c r="J40" s="40"/>
      <c r="K40" s="40"/>
      <c r="L40" s="40"/>
      <c r="M40" s="40"/>
      <c r="N40" s="40"/>
      <c r="O40" s="40"/>
      <c r="P40" s="40"/>
      <c r="Q40" s="40"/>
      <c r="R40" s="40"/>
      <c r="S40" s="40"/>
      <c r="T40" s="40"/>
      <c r="U40" s="40"/>
      <c r="V40" s="40"/>
      <c r="W40" s="40"/>
      <c r="X40" s="40"/>
      <c r="Y40" s="40"/>
      <c r="Z40" s="40"/>
      <c r="AA40" s="40"/>
      <c r="AB40" s="40"/>
      <c r="AC40" s="40"/>
      <c r="AD40" s="40"/>
      <c r="AE40" s="40"/>
      <c r="AF40" s="40"/>
      <c r="AG40" s="40"/>
      <c r="AH40" s="40"/>
      <c r="AI40" s="40"/>
      <c r="AJ40" s="40"/>
      <c r="AK40" s="40"/>
      <c r="AL40" s="40"/>
      <c r="AM40" s="40"/>
      <c r="AN40" s="40"/>
      <c r="AO40" s="40"/>
    </row>
    <row r="41" spans="1:41" x14ac:dyDescent="0.25">
      <c r="A41" s="40"/>
      <c r="B41" s="148" t="s">
        <v>398</v>
      </c>
      <c r="C41" s="149">
        <f>COUNTIF('CCRA3 Actions for NAP3'!J$168:J$252,Graphs!B41)</f>
        <v>29</v>
      </c>
      <c r="D41" s="190">
        <f t="shared" si="2"/>
        <v>0.3411764705882353</v>
      </c>
      <c r="E41" s="40" t="s">
        <v>417</v>
      </c>
      <c r="F41" s="190">
        <f>SUM(C42:C43)/SUM(C39:C43)</f>
        <v>0.29411764705882354</v>
      </c>
      <c r="G41" s="40"/>
      <c r="H41" s="40"/>
      <c r="I41" s="40"/>
      <c r="J41" s="40"/>
      <c r="K41" s="40"/>
      <c r="L41" s="40"/>
      <c r="M41" s="40"/>
      <c r="N41" s="40"/>
      <c r="O41" s="40"/>
      <c r="P41" s="40"/>
      <c r="Q41" s="40"/>
      <c r="R41" s="40"/>
      <c r="S41" s="40"/>
      <c r="T41" s="40"/>
      <c r="U41" s="40"/>
      <c r="V41" s="40"/>
      <c r="W41" s="40"/>
      <c r="X41" s="40"/>
      <c r="Y41" s="40"/>
      <c r="Z41" s="40"/>
      <c r="AA41" s="40"/>
      <c r="AB41" s="40"/>
      <c r="AC41" s="40"/>
      <c r="AD41" s="40"/>
      <c r="AE41" s="40"/>
      <c r="AF41" s="40"/>
      <c r="AG41" s="40"/>
      <c r="AH41" s="40"/>
      <c r="AI41" s="40"/>
      <c r="AJ41" s="40"/>
      <c r="AK41" s="40"/>
      <c r="AL41" s="40"/>
      <c r="AM41" s="40"/>
      <c r="AN41" s="40"/>
      <c r="AO41" s="40"/>
    </row>
    <row r="42" spans="1:41" x14ac:dyDescent="0.25">
      <c r="A42" s="40"/>
      <c r="B42" s="148" t="s">
        <v>411</v>
      </c>
      <c r="C42" s="149">
        <f>COUNTIF('CCRA3 Actions for NAP3'!J$168:J$252,Graphs!B42)</f>
        <v>12</v>
      </c>
      <c r="D42" s="190">
        <f t="shared" si="2"/>
        <v>0.14117647058823529</v>
      </c>
      <c r="E42" s="40"/>
      <c r="F42" s="40"/>
      <c r="G42" s="40"/>
      <c r="H42" s="40"/>
      <c r="I42" s="40"/>
      <c r="J42" s="40"/>
      <c r="K42" s="40"/>
      <c r="L42" s="40"/>
      <c r="M42" s="40"/>
      <c r="N42" s="40"/>
      <c r="O42" s="40"/>
      <c r="P42" s="40"/>
      <c r="Q42" s="40"/>
      <c r="R42" s="40"/>
      <c r="S42" s="40"/>
      <c r="T42" s="40"/>
      <c r="U42" s="40"/>
      <c r="V42" s="40"/>
      <c r="W42" s="40"/>
      <c r="X42" s="40"/>
      <c r="Y42" s="40"/>
      <c r="Z42" s="40"/>
      <c r="AA42" s="40"/>
      <c r="AB42" s="40"/>
      <c r="AC42" s="40"/>
      <c r="AD42" s="40"/>
      <c r="AE42" s="40"/>
      <c r="AF42" s="40"/>
      <c r="AG42" s="40"/>
      <c r="AH42" s="40"/>
      <c r="AI42" s="40"/>
      <c r="AJ42" s="40"/>
      <c r="AK42" s="40"/>
      <c r="AL42" s="40"/>
      <c r="AM42" s="40"/>
      <c r="AN42" s="40"/>
      <c r="AO42" s="40"/>
    </row>
    <row r="43" spans="1:41" x14ac:dyDescent="0.25">
      <c r="A43" s="40"/>
      <c r="B43" s="148" t="s">
        <v>417</v>
      </c>
      <c r="C43" s="149">
        <f>COUNTIF('CCRA3 Actions for NAP3'!J$168:J$252,Graphs!B43)</f>
        <v>13</v>
      </c>
      <c r="D43" s="190">
        <f t="shared" si="2"/>
        <v>0.15294117647058825</v>
      </c>
      <c r="E43" s="40"/>
      <c r="F43" s="40"/>
      <c r="G43" s="40"/>
      <c r="H43" s="40"/>
      <c r="I43" s="40"/>
      <c r="J43" s="40"/>
      <c r="K43" s="40"/>
      <c r="L43" s="40"/>
      <c r="M43" s="40"/>
      <c r="N43" s="40"/>
      <c r="O43" s="40"/>
      <c r="P43" s="40"/>
      <c r="Q43" s="40"/>
      <c r="R43" s="40"/>
      <c r="S43" s="40"/>
      <c r="T43" s="40"/>
      <c r="U43" s="40"/>
      <c r="V43" s="40"/>
      <c r="W43" s="40"/>
      <c r="X43" s="40"/>
      <c r="Y43" s="40"/>
      <c r="Z43" s="40"/>
      <c r="AA43" s="40"/>
      <c r="AB43" s="40"/>
      <c r="AC43" s="40"/>
      <c r="AD43" s="40"/>
      <c r="AE43" s="40"/>
      <c r="AF43" s="40"/>
      <c r="AG43" s="40"/>
      <c r="AH43" s="40"/>
      <c r="AI43" s="40"/>
      <c r="AJ43" s="40"/>
      <c r="AK43" s="40"/>
      <c r="AL43" s="40"/>
      <c r="AM43" s="40"/>
      <c r="AN43" s="40"/>
      <c r="AO43" s="40"/>
    </row>
    <row r="44" spans="1:41" s="40" customFormat="1" x14ac:dyDescent="0.25"/>
    <row r="45" spans="1:41" x14ac:dyDescent="0.25">
      <c r="A45" s="40"/>
      <c r="B45" s="241" t="s">
        <v>1548</v>
      </c>
      <c r="C45" s="241"/>
      <c r="D45" s="167" t="s">
        <v>1545</v>
      </c>
      <c r="E45" s="40"/>
      <c r="F45" s="40"/>
      <c r="G45" s="40"/>
      <c r="H45" s="40"/>
      <c r="I45" s="40"/>
      <c r="J45" s="40"/>
      <c r="K45" s="40"/>
      <c r="L45" s="40"/>
      <c r="M45" s="40"/>
      <c r="N45" s="40"/>
      <c r="O45" s="40"/>
      <c r="P45" s="40"/>
      <c r="Q45" s="40"/>
      <c r="R45" s="40"/>
      <c r="S45" s="40"/>
      <c r="T45" s="40"/>
      <c r="U45" s="40"/>
      <c r="V45" s="40"/>
      <c r="W45" s="40"/>
      <c r="X45" s="40"/>
      <c r="Y45" s="40"/>
      <c r="Z45" s="40"/>
      <c r="AA45" s="40"/>
      <c r="AB45" s="40"/>
      <c r="AC45" s="40"/>
      <c r="AD45" s="40"/>
      <c r="AE45" s="40"/>
      <c r="AF45" s="40"/>
      <c r="AG45" s="40"/>
      <c r="AH45" s="40"/>
      <c r="AI45" s="40"/>
      <c r="AJ45" s="40"/>
      <c r="AK45" s="40"/>
      <c r="AL45" s="40"/>
      <c r="AM45" s="40"/>
      <c r="AN45" s="40"/>
      <c r="AO45" s="40"/>
    </row>
    <row r="46" spans="1:41" x14ac:dyDescent="0.25">
      <c r="A46" s="40"/>
      <c r="B46" s="150" t="s">
        <v>1540</v>
      </c>
      <c r="C46" s="150" t="s">
        <v>1541</v>
      </c>
      <c r="D46" s="168">
        <f>(SUM(C47:C51))/'No. actions per risk'!R22</f>
        <v>1</v>
      </c>
      <c r="E46" s="40"/>
      <c r="F46" s="40"/>
      <c r="G46" s="40"/>
      <c r="H46" s="40"/>
      <c r="I46" s="40"/>
      <c r="J46" s="40"/>
      <c r="K46" s="40"/>
      <c r="L46" s="40"/>
      <c r="M46" s="40"/>
      <c r="N46" s="40"/>
      <c r="O46" s="40"/>
      <c r="P46" s="40"/>
      <c r="Q46" s="40"/>
      <c r="R46" s="40"/>
      <c r="S46" s="40"/>
      <c r="T46" s="40"/>
      <c r="U46" s="40"/>
      <c r="V46" s="40"/>
      <c r="W46" s="40"/>
      <c r="X46" s="40"/>
      <c r="Y46" s="40"/>
      <c r="Z46" s="40"/>
      <c r="AA46" s="40"/>
      <c r="AB46" s="40"/>
      <c r="AC46" s="40"/>
      <c r="AD46" s="40"/>
      <c r="AE46" s="40"/>
      <c r="AF46" s="40"/>
      <c r="AG46" s="40"/>
      <c r="AH46" s="40"/>
      <c r="AI46" s="40"/>
      <c r="AJ46" s="40"/>
      <c r="AK46" s="40"/>
      <c r="AL46" s="40"/>
      <c r="AM46" s="40"/>
      <c r="AN46" s="40"/>
      <c r="AO46" s="40"/>
    </row>
    <row r="47" spans="1:41" x14ac:dyDescent="0.25">
      <c r="A47" s="40"/>
      <c r="B47" s="148" t="s">
        <v>405</v>
      </c>
      <c r="C47" s="149">
        <f>COUNTIF('CCRA3 Actions for NAP3'!J$100:J$144,Graphs!B47)</f>
        <v>3</v>
      </c>
      <c r="D47" s="190">
        <f>C47/45</f>
        <v>6.6666666666666666E-2</v>
      </c>
      <c r="E47" s="40"/>
      <c r="F47" s="40"/>
      <c r="G47" s="40"/>
      <c r="H47" s="40"/>
      <c r="I47" s="40"/>
      <c r="J47" s="40"/>
      <c r="K47" s="40"/>
      <c r="L47" s="40"/>
      <c r="M47" s="40"/>
      <c r="N47" s="40"/>
      <c r="O47" s="40"/>
      <c r="P47" s="40"/>
      <c r="Q47" s="40"/>
      <c r="R47" s="40"/>
      <c r="S47" s="40"/>
      <c r="T47" s="40"/>
      <c r="U47" s="40"/>
      <c r="V47" s="40"/>
      <c r="W47" s="40"/>
      <c r="X47" s="40"/>
      <c r="Y47" s="40"/>
      <c r="Z47" s="40"/>
      <c r="AA47" s="40"/>
      <c r="AB47" s="40"/>
      <c r="AC47" s="40"/>
      <c r="AD47" s="40"/>
      <c r="AE47" s="40"/>
      <c r="AF47" s="40"/>
      <c r="AG47" s="40"/>
      <c r="AH47" s="40"/>
      <c r="AI47" s="40"/>
      <c r="AJ47" s="40"/>
      <c r="AK47" s="40"/>
      <c r="AL47" s="40"/>
      <c r="AM47" s="40"/>
      <c r="AN47" s="40"/>
      <c r="AO47" s="40"/>
    </row>
    <row r="48" spans="1:41" x14ac:dyDescent="0.25">
      <c r="A48" s="40"/>
      <c r="B48" s="148" t="s">
        <v>463</v>
      </c>
      <c r="C48" s="149">
        <f>COUNTIF('CCRA3 Actions for NAP3'!J$100:J$144,Graphs!B48)</f>
        <v>15</v>
      </c>
      <c r="D48" s="190">
        <f t="shared" ref="D48:D51" si="3">C48/45</f>
        <v>0.33333333333333331</v>
      </c>
      <c r="E48" s="40" t="s">
        <v>1542</v>
      </c>
      <c r="F48" s="190">
        <f>SUM(C47:C49)/SUM(C47:C51)</f>
        <v>0.75555555555555554</v>
      </c>
      <c r="G48" s="40"/>
      <c r="H48" s="40"/>
      <c r="I48" s="40"/>
      <c r="J48" s="40"/>
      <c r="K48" s="40"/>
      <c r="L48" s="40"/>
      <c r="M48" s="40"/>
      <c r="N48" s="40"/>
      <c r="O48" s="40"/>
      <c r="P48" s="40"/>
      <c r="Q48" s="40"/>
      <c r="R48" s="40"/>
      <c r="S48" s="40"/>
      <c r="T48" s="40"/>
      <c r="U48" s="40"/>
      <c r="V48" s="40"/>
      <c r="W48" s="40"/>
      <c r="X48" s="40"/>
      <c r="Y48" s="40"/>
      <c r="Z48" s="40"/>
      <c r="AA48" s="40"/>
      <c r="AB48" s="40"/>
      <c r="AC48" s="40"/>
      <c r="AD48" s="40"/>
      <c r="AE48" s="40"/>
      <c r="AF48" s="40"/>
      <c r="AG48" s="40"/>
      <c r="AH48" s="40"/>
      <c r="AI48" s="40"/>
      <c r="AJ48" s="40"/>
      <c r="AK48" s="40"/>
      <c r="AL48" s="40"/>
      <c r="AM48" s="40"/>
      <c r="AN48" s="40"/>
      <c r="AO48" s="40"/>
    </row>
    <row r="49" spans="1:41" x14ac:dyDescent="0.25">
      <c r="A49" s="40"/>
      <c r="B49" s="148" t="s">
        <v>398</v>
      </c>
      <c r="C49" s="149">
        <f>COUNTIF('CCRA3 Actions for NAP3'!J$100:J$144,Graphs!B49)</f>
        <v>16</v>
      </c>
      <c r="D49" s="190">
        <f t="shared" si="3"/>
        <v>0.35555555555555557</v>
      </c>
      <c r="E49" s="40" t="s">
        <v>417</v>
      </c>
      <c r="F49" s="190">
        <f>SUM(C50:C51)/SUM(C47:C51)</f>
        <v>0.24444444444444444</v>
      </c>
      <c r="G49" s="40"/>
      <c r="H49" s="40"/>
      <c r="I49" s="40"/>
      <c r="J49" s="40"/>
      <c r="K49" s="40"/>
      <c r="L49" s="40"/>
      <c r="M49" s="40"/>
      <c r="N49" s="40"/>
      <c r="O49" s="40"/>
      <c r="P49" s="40"/>
      <c r="Q49" s="40"/>
      <c r="R49" s="40"/>
      <c r="S49" s="40"/>
      <c r="T49" s="40"/>
      <c r="U49" s="40"/>
      <c r="V49" s="40"/>
      <c r="W49" s="40"/>
      <c r="X49" s="40"/>
      <c r="Y49" s="40"/>
      <c r="Z49" s="40"/>
      <c r="AA49" s="40"/>
      <c r="AB49" s="40"/>
      <c r="AC49" s="40"/>
      <c r="AD49" s="40"/>
      <c r="AE49" s="40"/>
      <c r="AF49" s="40"/>
      <c r="AG49" s="40"/>
      <c r="AH49" s="40"/>
      <c r="AI49" s="40"/>
      <c r="AJ49" s="40"/>
      <c r="AK49" s="40"/>
      <c r="AL49" s="40"/>
      <c r="AM49" s="40"/>
      <c r="AN49" s="40"/>
      <c r="AO49" s="40"/>
    </row>
    <row r="50" spans="1:41" x14ac:dyDescent="0.25">
      <c r="A50" s="40"/>
      <c r="B50" s="148" t="s">
        <v>411</v>
      </c>
      <c r="C50" s="149">
        <f>COUNTIF('CCRA3 Actions for NAP3'!J$100:J$144,Graphs!B50)</f>
        <v>5</v>
      </c>
      <c r="D50" s="190">
        <f t="shared" si="3"/>
        <v>0.1111111111111111</v>
      </c>
      <c r="E50" s="40"/>
      <c r="F50" s="40"/>
      <c r="G50" s="40"/>
      <c r="H50" s="40"/>
      <c r="I50" s="40"/>
      <c r="J50" s="40"/>
      <c r="K50" s="40"/>
      <c r="L50" s="40"/>
      <c r="M50" s="40"/>
      <c r="N50" s="40"/>
      <c r="O50" s="40"/>
      <c r="P50" s="40"/>
      <c r="Q50" s="40"/>
      <c r="R50" s="40"/>
      <c r="S50" s="40"/>
      <c r="T50" s="40"/>
      <c r="U50" s="40"/>
      <c r="V50" s="40"/>
      <c r="W50" s="40"/>
      <c r="X50" s="40"/>
      <c r="Y50" s="40"/>
      <c r="Z50" s="40"/>
      <c r="AA50" s="40"/>
      <c r="AB50" s="40"/>
      <c r="AC50" s="40"/>
      <c r="AD50" s="40"/>
      <c r="AE50" s="40"/>
      <c r="AF50" s="40"/>
      <c r="AG50" s="40"/>
      <c r="AH50" s="40"/>
      <c r="AI50" s="40"/>
      <c r="AJ50" s="40"/>
      <c r="AK50" s="40"/>
      <c r="AL50" s="40"/>
      <c r="AM50" s="40"/>
      <c r="AN50" s="40"/>
      <c r="AO50" s="40"/>
    </row>
    <row r="51" spans="1:41" x14ac:dyDescent="0.25">
      <c r="A51" s="40"/>
      <c r="B51" s="148" t="s">
        <v>417</v>
      </c>
      <c r="C51" s="149">
        <f>COUNTIF('CCRA3 Actions for NAP3'!J$100:J$144,Graphs!B51)</f>
        <v>6</v>
      </c>
      <c r="D51" s="190">
        <f t="shared" si="3"/>
        <v>0.13333333333333333</v>
      </c>
      <c r="E51" s="40"/>
      <c r="F51" s="40"/>
      <c r="G51" s="40"/>
      <c r="H51" s="40"/>
      <c r="I51" s="40"/>
      <c r="J51" s="40"/>
      <c r="K51" s="40"/>
      <c r="L51" s="40"/>
      <c r="M51" s="40"/>
      <c r="N51" s="40"/>
      <c r="O51" s="40"/>
      <c r="P51" s="40"/>
      <c r="Q51" s="40"/>
      <c r="R51" s="40"/>
      <c r="S51" s="40"/>
      <c r="T51" s="40"/>
      <c r="U51" s="40"/>
      <c r="V51" s="40"/>
      <c r="W51" s="40"/>
      <c r="X51" s="40"/>
      <c r="Y51" s="40"/>
      <c r="Z51" s="40"/>
      <c r="AA51" s="40"/>
      <c r="AB51" s="40"/>
      <c r="AC51" s="40"/>
      <c r="AD51" s="40"/>
      <c r="AE51" s="40"/>
      <c r="AF51" s="40"/>
      <c r="AG51" s="40"/>
      <c r="AH51" s="40"/>
      <c r="AI51" s="40"/>
      <c r="AJ51" s="40"/>
      <c r="AK51" s="40"/>
      <c r="AL51" s="40"/>
      <c r="AM51" s="40"/>
      <c r="AN51" s="40"/>
      <c r="AO51" s="40"/>
    </row>
    <row r="52" spans="1:41" s="40" customFormat="1" x14ac:dyDescent="0.25"/>
    <row r="53" spans="1:41" x14ac:dyDescent="0.25">
      <c r="A53" s="40"/>
      <c r="B53" s="242" t="s">
        <v>1549</v>
      </c>
      <c r="C53" s="242"/>
      <c r="D53" s="167" t="s">
        <v>1545</v>
      </c>
      <c r="E53" s="40"/>
      <c r="F53" s="40"/>
      <c r="G53" s="40"/>
      <c r="H53" s="40"/>
      <c r="I53" s="40"/>
      <c r="J53" s="40"/>
      <c r="K53" s="40"/>
      <c r="L53" s="40"/>
      <c r="M53" s="40"/>
      <c r="N53" s="40"/>
      <c r="O53" s="40"/>
      <c r="P53" s="40"/>
      <c r="Q53" s="40"/>
      <c r="R53" s="40"/>
      <c r="S53" s="40"/>
      <c r="T53" s="40"/>
      <c r="U53" s="40"/>
      <c r="V53" s="40"/>
      <c r="W53" s="40"/>
      <c r="X53" s="40"/>
      <c r="Y53" s="40"/>
      <c r="Z53" s="40"/>
      <c r="AA53" s="40"/>
      <c r="AB53" s="40"/>
      <c r="AC53" s="40"/>
      <c r="AD53" s="40"/>
      <c r="AE53" s="40"/>
      <c r="AF53" s="40"/>
      <c r="AG53" s="40"/>
      <c r="AH53" s="40"/>
      <c r="AI53" s="40"/>
      <c r="AJ53" s="40"/>
      <c r="AK53" s="40"/>
      <c r="AL53" s="40"/>
      <c r="AM53" s="40"/>
      <c r="AN53" s="40"/>
      <c r="AO53" s="40"/>
    </row>
    <row r="54" spans="1:41" x14ac:dyDescent="0.25">
      <c r="A54" s="40"/>
      <c r="B54" s="150" t="s">
        <v>1540</v>
      </c>
      <c r="C54" s="150" t="s">
        <v>1541</v>
      </c>
      <c r="D54" s="168">
        <f>(SUM(C55:C59))/'No. actions per risk'!R9</f>
        <v>1</v>
      </c>
      <c r="E54" s="40"/>
      <c r="F54" s="40"/>
      <c r="G54" s="40"/>
      <c r="H54" s="40"/>
      <c r="I54" s="40"/>
      <c r="J54" s="40"/>
      <c r="K54" s="40"/>
      <c r="L54" s="40"/>
      <c r="M54" s="40"/>
      <c r="N54" s="40"/>
      <c r="O54" s="40"/>
      <c r="P54" s="40"/>
      <c r="Q54" s="40"/>
      <c r="R54" s="40"/>
      <c r="S54" s="40"/>
      <c r="T54" s="40"/>
      <c r="U54" s="40"/>
      <c r="V54" s="40"/>
      <c r="W54" s="40"/>
      <c r="X54" s="40"/>
      <c r="Y54" s="40"/>
      <c r="Z54" s="40"/>
      <c r="AA54" s="40"/>
      <c r="AB54" s="40"/>
      <c r="AC54" s="40"/>
      <c r="AD54" s="40"/>
      <c r="AE54" s="40"/>
      <c r="AF54" s="40"/>
      <c r="AG54" s="40"/>
      <c r="AH54" s="40"/>
      <c r="AI54" s="40"/>
      <c r="AJ54" s="40"/>
      <c r="AK54" s="40"/>
      <c r="AL54" s="40"/>
      <c r="AM54" s="40"/>
      <c r="AN54" s="40"/>
      <c r="AO54" s="40"/>
    </row>
    <row r="55" spans="1:41" x14ac:dyDescent="0.25">
      <c r="A55" s="40"/>
      <c r="B55" s="148" t="s">
        <v>405</v>
      </c>
      <c r="C55" s="149">
        <f>COUNTIF('CCRA3 Actions for NAP3'!J$47:J$99,Graphs!B55)</f>
        <v>3</v>
      </c>
      <c r="D55" s="190">
        <f>C55/53</f>
        <v>5.6603773584905662E-2</v>
      </c>
      <c r="E55" s="40"/>
      <c r="F55" s="40"/>
      <c r="G55" s="40"/>
      <c r="H55" s="40"/>
      <c r="I55" s="40"/>
      <c r="J55" s="40"/>
      <c r="K55" s="40"/>
      <c r="L55" s="40"/>
      <c r="M55" s="40"/>
      <c r="N55" s="40"/>
      <c r="O55" s="40"/>
      <c r="P55" s="40"/>
      <c r="Q55" s="40"/>
      <c r="R55" s="40"/>
      <c r="S55" s="40"/>
      <c r="T55" s="40"/>
      <c r="U55" s="40"/>
      <c r="V55" s="40"/>
      <c r="W55" s="40"/>
      <c r="X55" s="40"/>
      <c r="Y55" s="40"/>
      <c r="Z55" s="40"/>
      <c r="AA55" s="40"/>
      <c r="AB55" s="40"/>
      <c r="AC55" s="40"/>
      <c r="AD55" s="40"/>
      <c r="AE55" s="40"/>
      <c r="AF55" s="40"/>
      <c r="AG55" s="40"/>
      <c r="AH55" s="40"/>
      <c r="AI55" s="40"/>
      <c r="AJ55" s="40"/>
      <c r="AK55" s="40"/>
      <c r="AL55" s="40"/>
      <c r="AM55" s="40"/>
      <c r="AN55" s="40"/>
      <c r="AO55" s="40"/>
    </row>
    <row r="56" spans="1:41" x14ac:dyDescent="0.25">
      <c r="A56" s="40"/>
      <c r="B56" s="148" t="s">
        <v>463</v>
      </c>
      <c r="C56" s="149">
        <f>COUNTIF('CCRA3 Actions for NAP3'!J$47:J$99,Graphs!B56)</f>
        <v>17</v>
      </c>
      <c r="D56" s="190">
        <f t="shared" ref="D56:D59" si="4">C56/53</f>
        <v>0.32075471698113206</v>
      </c>
      <c r="E56" s="40" t="s">
        <v>1542</v>
      </c>
      <c r="F56" s="190">
        <f>SUM(C55:C57)/SUM(C55:C59)</f>
        <v>0.77358490566037741</v>
      </c>
      <c r="G56" s="40"/>
      <c r="H56" s="40"/>
      <c r="I56" s="40"/>
      <c r="J56" s="40"/>
      <c r="K56" s="40"/>
      <c r="L56" s="40"/>
      <c r="M56" s="40"/>
      <c r="N56" s="40"/>
      <c r="O56" s="40"/>
      <c r="P56" s="40"/>
      <c r="Q56" s="40"/>
      <c r="R56" s="40"/>
      <c r="S56" s="40"/>
      <c r="T56" s="40"/>
      <c r="U56" s="40"/>
      <c r="V56" s="40"/>
      <c r="W56" s="40"/>
      <c r="X56" s="40"/>
      <c r="Y56" s="40"/>
      <c r="Z56" s="40"/>
      <c r="AA56" s="40"/>
      <c r="AB56" s="40"/>
      <c r="AC56" s="40"/>
      <c r="AD56" s="40"/>
      <c r="AE56" s="40"/>
      <c r="AF56" s="40"/>
      <c r="AG56" s="40"/>
      <c r="AH56" s="40"/>
      <c r="AI56" s="40"/>
      <c r="AJ56" s="40"/>
      <c r="AK56" s="40"/>
      <c r="AL56" s="40"/>
      <c r="AM56" s="40"/>
      <c r="AN56" s="40"/>
      <c r="AO56" s="40"/>
    </row>
    <row r="57" spans="1:41" x14ac:dyDescent="0.25">
      <c r="A57" s="40"/>
      <c r="B57" s="148" t="s">
        <v>398</v>
      </c>
      <c r="C57" s="149">
        <f>COUNTIF('CCRA3 Actions for NAP3'!J$47:J$99,Graphs!B57)</f>
        <v>21</v>
      </c>
      <c r="D57" s="190">
        <f t="shared" si="4"/>
        <v>0.39622641509433965</v>
      </c>
      <c r="E57" s="40" t="s">
        <v>417</v>
      </c>
      <c r="F57" s="190">
        <f>SUM(C58:C59)/SUM(C55:C59)</f>
        <v>0.22641509433962265</v>
      </c>
      <c r="G57" s="40"/>
      <c r="H57" s="40"/>
      <c r="I57" s="40"/>
      <c r="J57" s="40"/>
      <c r="K57" s="40"/>
      <c r="L57" s="40"/>
      <c r="M57" s="40"/>
      <c r="N57" s="40"/>
      <c r="O57" s="40"/>
      <c r="P57" s="40"/>
      <c r="Q57" s="40"/>
      <c r="R57" s="40"/>
      <c r="S57" s="40"/>
      <c r="T57" s="40"/>
      <c r="U57" s="40"/>
      <c r="V57" s="40"/>
      <c r="W57" s="40"/>
      <c r="X57" s="40"/>
      <c r="Y57" s="40"/>
      <c r="Z57" s="40"/>
      <c r="AA57" s="40"/>
      <c r="AB57" s="40"/>
      <c r="AC57" s="40"/>
      <c r="AD57" s="40"/>
      <c r="AE57" s="40"/>
      <c r="AF57" s="40"/>
      <c r="AG57" s="40"/>
      <c r="AH57" s="40"/>
      <c r="AI57" s="40"/>
      <c r="AJ57" s="40"/>
      <c r="AK57" s="40"/>
      <c r="AL57" s="40"/>
      <c r="AM57" s="40"/>
      <c r="AN57" s="40"/>
      <c r="AO57" s="40"/>
    </row>
    <row r="58" spans="1:41" x14ac:dyDescent="0.25">
      <c r="A58" s="40"/>
      <c r="B58" s="148" t="s">
        <v>411</v>
      </c>
      <c r="C58" s="149">
        <f>COUNTIF('CCRA3 Actions for NAP3'!J$47:J$99,Graphs!B58)</f>
        <v>5</v>
      </c>
      <c r="D58" s="190">
        <f t="shared" si="4"/>
        <v>9.4339622641509441E-2</v>
      </c>
      <c r="E58" s="40"/>
      <c r="F58" s="40"/>
      <c r="G58" s="40"/>
      <c r="H58" s="40"/>
      <c r="I58" s="40"/>
      <c r="J58" s="40"/>
      <c r="K58" s="40"/>
      <c r="L58" s="40"/>
      <c r="M58" s="40"/>
      <c r="N58" s="40"/>
      <c r="O58" s="40"/>
      <c r="P58" s="40"/>
      <c r="Q58" s="40"/>
      <c r="R58" s="40"/>
      <c r="S58" s="40"/>
      <c r="T58" s="40"/>
      <c r="U58" s="40"/>
      <c r="V58" s="40"/>
      <c r="W58" s="40"/>
      <c r="X58" s="40"/>
      <c r="Y58" s="40"/>
      <c r="Z58" s="40"/>
      <c r="AA58" s="40"/>
      <c r="AB58" s="40"/>
      <c r="AC58" s="40"/>
      <c r="AD58" s="40"/>
      <c r="AE58" s="40"/>
      <c r="AF58" s="40"/>
      <c r="AG58" s="40"/>
      <c r="AH58" s="40"/>
      <c r="AI58" s="40"/>
      <c r="AJ58" s="40"/>
      <c r="AK58" s="40"/>
      <c r="AL58" s="40"/>
      <c r="AM58" s="40"/>
      <c r="AN58" s="40"/>
      <c r="AO58" s="40"/>
    </row>
    <row r="59" spans="1:41" x14ac:dyDescent="0.25">
      <c r="A59" s="40"/>
      <c r="B59" s="148" t="s">
        <v>417</v>
      </c>
      <c r="C59" s="149">
        <f>COUNTIF('CCRA3 Actions for NAP3'!J$47:J$99,Graphs!B59)</f>
        <v>7</v>
      </c>
      <c r="D59" s="190">
        <f t="shared" si="4"/>
        <v>0.13207547169811321</v>
      </c>
      <c r="E59" s="40"/>
      <c r="F59" s="40"/>
      <c r="G59" s="40"/>
      <c r="H59" s="40"/>
      <c r="I59" s="40"/>
      <c r="J59" s="40"/>
      <c r="K59" s="40"/>
      <c r="L59" s="40"/>
      <c r="M59" s="40"/>
      <c r="N59" s="40"/>
      <c r="O59" s="40"/>
      <c r="P59" s="40"/>
      <c r="Q59" s="40"/>
      <c r="R59" s="40"/>
      <c r="S59" s="40"/>
      <c r="T59" s="40"/>
      <c r="U59" s="40"/>
      <c r="V59" s="40"/>
      <c r="W59" s="40"/>
      <c r="X59" s="40"/>
      <c r="Y59" s="40"/>
      <c r="Z59" s="40"/>
      <c r="AA59" s="40"/>
      <c r="AB59" s="40"/>
      <c r="AC59" s="40"/>
      <c r="AD59" s="40"/>
      <c r="AE59" s="40"/>
      <c r="AF59" s="40"/>
      <c r="AG59" s="40"/>
      <c r="AH59" s="40"/>
      <c r="AI59" s="40"/>
      <c r="AJ59" s="40"/>
      <c r="AK59" s="40"/>
      <c r="AL59" s="40"/>
      <c r="AM59" s="40"/>
      <c r="AN59" s="40"/>
      <c r="AO59" s="40"/>
    </row>
    <row r="60" spans="1:41" s="40" customFormat="1" x14ac:dyDescent="0.25"/>
    <row r="61" spans="1:41" x14ac:dyDescent="0.25">
      <c r="A61" s="40"/>
      <c r="B61" s="243" t="s">
        <v>1550</v>
      </c>
      <c r="C61" s="243"/>
      <c r="D61" s="167" t="s">
        <v>1545</v>
      </c>
      <c r="E61" s="40"/>
      <c r="F61" s="40"/>
      <c r="G61" s="40"/>
      <c r="H61" s="40"/>
      <c r="I61" s="40"/>
      <c r="J61" s="40"/>
      <c r="K61" s="40"/>
      <c r="L61" s="40"/>
      <c r="M61" s="40"/>
      <c r="N61" s="40"/>
      <c r="O61" s="40"/>
      <c r="P61" s="40"/>
      <c r="Q61" s="40"/>
      <c r="R61" s="40"/>
      <c r="S61" s="40"/>
      <c r="T61" s="40"/>
      <c r="U61" s="40"/>
      <c r="V61" s="40"/>
      <c r="W61" s="40"/>
      <c r="X61" s="40"/>
      <c r="Y61" s="40"/>
      <c r="Z61" s="40"/>
      <c r="AA61" s="40"/>
      <c r="AB61" s="40"/>
      <c r="AC61" s="40"/>
      <c r="AD61" s="40"/>
      <c r="AE61" s="40"/>
      <c r="AF61" s="40"/>
      <c r="AG61" s="40"/>
      <c r="AH61" s="40"/>
      <c r="AI61" s="40"/>
      <c r="AJ61" s="40"/>
      <c r="AK61" s="40"/>
      <c r="AL61" s="40"/>
      <c r="AM61" s="40"/>
      <c r="AN61" s="40"/>
      <c r="AO61" s="40"/>
    </row>
    <row r="62" spans="1:41" x14ac:dyDescent="0.25">
      <c r="A62" s="40"/>
      <c r="B62" s="150" t="s">
        <v>1540</v>
      </c>
      <c r="C62" s="150" t="s">
        <v>1541</v>
      </c>
      <c r="D62" s="168">
        <f>(SUM(C63:C67))/'No. actions per risk'!R2</f>
        <v>1</v>
      </c>
      <c r="E62" s="40"/>
      <c r="F62" s="40"/>
      <c r="G62" s="40"/>
      <c r="H62" s="40"/>
      <c r="I62" s="40"/>
      <c r="J62" s="40"/>
      <c r="K62" s="40"/>
      <c r="L62" s="40"/>
      <c r="M62" s="40"/>
      <c r="N62" s="40"/>
      <c r="O62" s="40"/>
      <c r="P62" s="40"/>
      <c r="Q62" s="40"/>
      <c r="R62" s="40"/>
      <c r="S62" s="40"/>
      <c r="T62" s="40"/>
      <c r="U62" s="40"/>
      <c r="V62" s="40"/>
      <c r="W62" s="40"/>
      <c r="X62" s="40"/>
      <c r="Y62" s="40"/>
      <c r="Z62" s="40"/>
      <c r="AA62" s="40"/>
      <c r="AB62" s="40"/>
      <c r="AC62" s="40"/>
      <c r="AD62" s="40"/>
      <c r="AE62" s="40"/>
      <c r="AF62" s="40"/>
      <c r="AG62" s="40"/>
      <c r="AH62" s="40"/>
      <c r="AI62" s="40"/>
      <c r="AJ62" s="40"/>
      <c r="AK62" s="40"/>
      <c r="AL62" s="40"/>
      <c r="AM62" s="40"/>
      <c r="AN62" s="40"/>
      <c r="AO62" s="40"/>
    </row>
    <row r="63" spans="1:41" x14ac:dyDescent="0.25">
      <c r="A63" s="40"/>
      <c r="B63" s="148" t="s">
        <v>405</v>
      </c>
      <c r="C63" s="149">
        <f>COUNTIF('CCRA3 Actions for NAP3'!J$2:J$46,Graphs!B63)</f>
        <v>1</v>
      </c>
      <c r="D63" s="190">
        <f>C63/45</f>
        <v>2.2222222222222223E-2</v>
      </c>
      <c r="E63" s="40"/>
      <c r="F63" s="40"/>
      <c r="G63" s="40"/>
      <c r="H63" s="40"/>
      <c r="I63" s="40"/>
      <c r="J63" s="40"/>
      <c r="K63" s="40"/>
      <c r="L63" s="40"/>
      <c r="M63" s="40"/>
      <c r="N63" s="40"/>
      <c r="O63" s="40"/>
      <c r="P63" s="40"/>
      <c r="Q63" s="40"/>
      <c r="R63" s="40"/>
      <c r="S63" s="40"/>
      <c r="T63" s="40"/>
      <c r="U63" s="40"/>
      <c r="V63" s="40"/>
      <c r="W63" s="40"/>
      <c r="X63" s="40"/>
      <c r="Y63" s="40"/>
      <c r="Z63" s="40"/>
      <c r="AA63" s="40"/>
      <c r="AB63" s="40"/>
      <c r="AC63" s="40"/>
      <c r="AD63" s="40"/>
      <c r="AE63" s="40"/>
      <c r="AF63" s="40"/>
      <c r="AG63" s="40"/>
      <c r="AH63" s="40"/>
      <c r="AI63" s="40"/>
      <c r="AJ63" s="40"/>
      <c r="AK63" s="40"/>
      <c r="AL63" s="40"/>
      <c r="AM63" s="40"/>
      <c r="AN63" s="40"/>
      <c r="AO63" s="40"/>
    </row>
    <row r="64" spans="1:41" x14ac:dyDescent="0.25">
      <c r="A64" s="40"/>
      <c r="B64" s="148" t="s">
        <v>463</v>
      </c>
      <c r="C64" s="149">
        <f>COUNTIF('CCRA3 Actions for NAP3'!J$2:J$46,Graphs!B64)</f>
        <v>7</v>
      </c>
      <c r="D64" s="190">
        <f t="shared" ref="D64:D67" si="5">C64/45</f>
        <v>0.15555555555555556</v>
      </c>
      <c r="E64" s="40" t="s">
        <v>1542</v>
      </c>
      <c r="F64" s="190">
        <f>SUM(C63:C65)/SUM(C63:C67)</f>
        <v>0.53333333333333333</v>
      </c>
      <c r="G64" s="40"/>
      <c r="H64" s="40"/>
      <c r="I64" s="40"/>
      <c r="J64" s="40"/>
      <c r="K64" s="40"/>
      <c r="L64" s="40"/>
      <c r="M64" s="40"/>
      <c r="N64" s="40"/>
      <c r="O64" s="40"/>
      <c r="P64" s="40"/>
      <c r="Q64" s="40"/>
      <c r="R64" s="40"/>
      <c r="S64" s="40"/>
      <c r="T64" s="40"/>
      <c r="U64" s="40"/>
      <c r="V64" s="40"/>
      <c r="W64" s="40"/>
      <c r="X64" s="40"/>
      <c r="Y64" s="40"/>
      <c r="Z64" s="40"/>
      <c r="AA64" s="40"/>
      <c r="AB64" s="40"/>
      <c r="AC64" s="40"/>
      <c r="AD64" s="40"/>
      <c r="AE64" s="40"/>
      <c r="AF64" s="40"/>
      <c r="AG64" s="40"/>
      <c r="AH64" s="40"/>
      <c r="AI64" s="40"/>
      <c r="AJ64" s="40"/>
      <c r="AK64" s="40"/>
      <c r="AL64" s="40"/>
      <c r="AM64" s="40"/>
      <c r="AN64" s="40"/>
      <c r="AO64" s="40"/>
    </row>
    <row r="65" spans="1:41" x14ac:dyDescent="0.25">
      <c r="A65" s="40"/>
      <c r="B65" s="148" t="s">
        <v>398</v>
      </c>
      <c r="C65" s="149">
        <f>COUNTIF('CCRA3 Actions for NAP3'!J$2:J$46,Graphs!B65)</f>
        <v>16</v>
      </c>
      <c r="D65" s="190">
        <f t="shared" si="5"/>
        <v>0.35555555555555557</v>
      </c>
      <c r="E65" s="40" t="s">
        <v>417</v>
      </c>
      <c r="F65" s="190">
        <f>SUM(C66:C67)/SUM(C63:C67)</f>
        <v>0.46666666666666667</v>
      </c>
      <c r="G65" s="40"/>
      <c r="H65" s="40"/>
      <c r="I65" s="40"/>
      <c r="J65" s="40"/>
      <c r="K65" s="40"/>
      <c r="L65" s="40"/>
      <c r="M65" s="40"/>
      <c r="N65" s="40"/>
      <c r="O65" s="40"/>
      <c r="P65" s="40"/>
      <c r="Q65" s="40"/>
      <c r="R65" s="40"/>
      <c r="S65" s="40"/>
      <c r="T65" s="40"/>
      <c r="U65" s="40"/>
      <c r="V65" s="40"/>
      <c r="W65" s="40"/>
      <c r="X65" s="40"/>
      <c r="Y65" s="40"/>
      <c r="Z65" s="40"/>
      <c r="AA65" s="40"/>
      <c r="AB65" s="40"/>
      <c r="AC65" s="40"/>
      <c r="AD65" s="40"/>
      <c r="AE65" s="40"/>
      <c r="AF65" s="40"/>
      <c r="AG65" s="40"/>
      <c r="AH65" s="40"/>
      <c r="AI65" s="40"/>
      <c r="AJ65" s="40"/>
      <c r="AK65" s="40"/>
      <c r="AL65" s="40"/>
      <c r="AM65" s="40"/>
      <c r="AN65" s="40"/>
      <c r="AO65" s="40"/>
    </row>
    <row r="66" spans="1:41" x14ac:dyDescent="0.25">
      <c r="A66" s="40"/>
      <c r="B66" s="148" t="s">
        <v>411</v>
      </c>
      <c r="C66" s="149">
        <f>COUNTIF('CCRA3 Actions for NAP3'!J$2:J$46,Graphs!B66)</f>
        <v>7</v>
      </c>
      <c r="D66" s="190">
        <f t="shared" si="5"/>
        <v>0.15555555555555556</v>
      </c>
      <c r="E66" s="40"/>
      <c r="F66" s="40"/>
      <c r="G66" s="40"/>
      <c r="H66" s="40"/>
      <c r="I66" s="40"/>
      <c r="J66" s="40"/>
      <c r="K66" s="40"/>
      <c r="L66" s="40"/>
      <c r="M66" s="40"/>
      <c r="N66" s="40"/>
      <c r="O66" s="40"/>
      <c r="P66" s="40"/>
      <c r="Q66" s="40"/>
      <c r="R66" s="40"/>
      <c r="S66" s="40"/>
      <c r="T66" s="40"/>
      <c r="U66" s="40"/>
      <c r="V66" s="40"/>
      <c r="W66" s="40"/>
      <c r="X66" s="40"/>
      <c r="Y66" s="40"/>
      <c r="Z66" s="40"/>
      <c r="AA66" s="40"/>
      <c r="AB66" s="40"/>
      <c r="AC66" s="40"/>
      <c r="AD66" s="40"/>
      <c r="AE66" s="40"/>
      <c r="AF66" s="40"/>
      <c r="AG66" s="40"/>
      <c r="AH66" s="40"/>
      <c r="AI66" s="40"/>
      <c r="AJ66" s="40"/>
      <c r="AK66" s="40"/>
      <c r="AL66" s="40"/>
      <c r="AM66" s="40"/>
      <c r="AN66" s="40"/>
      <c r="AO66" s="40"/>
    </row>
    <row r="67" spans="1:41" x14ac:dyDescent="0.25">
      <c r="A67" s="40"/>
      <c r="B67" s="148" t="s">
        <v>417</v>
      </c>
      <c r="C67" s="149">
        <f>COUNTIF('CCRA3 Actions for NAP3'!J$2:J$46,Graphs!B67)</f>
        <v>14</v>
      </c>
      <c r="D67" s="190">
        <f t="shared" si="5"/>
        <v>0.31111111111111112</v>
      </c>
      <c r="E67" s="40"/>
      <c r="F67" s="40"/>
      <c r="G67" s="40"/>
      <c r="H67" s="40"/>
      <c r="I67" s="40"/>
      <c r="J67" s="40"/>
      <c r="K67" s="40"/>
      <c r="L67" s="40"/>
      <c r="M67" s="40"/>
      <c r="N67" s="40"/>
      <c r="O67" s="40"/>
      <c r="P67" s="40"/>
      <c r="Q67" s="40"/>
      <c r="R67" s="40"/>
      <c r="S67" s="40"/>
      <c r="T67" s="40"/>
      <c r="U67" s="40"/>
      <c r="V67" s="40"/>
      <c r="W67" s="40"/>
      <c r="X67" s="40"/>
      <c r="Y67" s="40"/>
      <c r="Z67" s="40"/>
      <c r="AA67" s="40"/>
      <c r="AB67" s="40"/>
      <c r="AC67" s="40"/>
      <c r="AD67" s="40"/>
      <c r="AE67" s="40"/>
      <c r="AF67" s="40"/>
      <c r="AG67" s="40"/>
      <c r="AH67" s="40"/>
      <c r="AI67" s="40"/>
      <c r="AJ67" s="40"/>
      <c r="AK67" s="40"/>
      <c r="AL67" s="40"/>
      <c r="AM67" s="40"/>
      <c r="AN67" s="40"/>
      <c r="AO67" s="40"/>
    </row>
    <row r="68" spans="1:41" s="40" customFormat="1" x14ac:dyDescent="0.25"/>
    <row r="69" spans="1:41" x14ac:dyDescent="0.25">
      <c r="A69" s="40"/>
      <c r="B69" s="228" t="s">
        <v>1551</v>
      </c>
      <c r="C69" s="228"/>
      <c r="D69" s="167" t="s">
        <v>1545</v>
      </c>
      <c r="E69" s="40"/>
      <c r="F69" s="40"/>
      <c r="G69" s="40"/>
      <c r="H69" s="40"/>
      <c r="I69" s="40"/>
      <c r="J69" s="40"/>
      <c r="K69" s="40"/>
      <c r="L69" s="40"/>
      <c r="M69" s="40"/>
      <c r="N69" s="40"/>
      <c r="O69" s="40"/>
      <c r="P69" s="40"/>
      <c r="Q69" s="40"/>
      <c r="R69" s="40"/>
      <c r="S69" s="40"/>
      <c r="T69" s="40"/>
      <c r="U69" s="40"/>
      <c r="V69" s="40"/>
      <c r="W69" s="40"/>
      <c r="X69" s="40"/>
      <c r="Y69" s="40"/>
      <c r="Z69" s="40"/>
      <c r="AA69" s="40"/>
      <c r="AB69" s="40"/>
      <c r="AC69" s="40"/>
      <c r="AD69" s="40"/>
      <c r="AE69" s="40"/>
      <c r="AF69" s="40"/>
      <c r="AG69" s="40"/>
      <c r="AH69" s="40"/>
      <c r="AI69" s="40"/>
      <c r="AJ69" s="40"/>
      <c r="AK69" s="40"/>
      <c r="AL69" s="40"/>
      <c r="AM69" s="40"/>
      <c r="AN69" s="40"/>
      <c r="AO69" s="40"/>
    </row>
    <row r="70" spans="1:41" x14ac:dyDescent="0.25">
      <c r="A70" s="40"/>
      <c r="B70" s="150" t="s">
        <v>1540</v>
      </c>
      <c r="C70" s="150" t="s">
        <v>1541</v>
      </c>
      <c r="D70" s="168">
        <f>(SUM(C71:C75))/'No. actions per risk'!R35</f>
        <v>1</v>
      </c>
      <c r="E70" s="40"/>
      <c r="F70" s="40"/>
      <c r="G70" s="40"/>
      <c r="H70" s="40"/>
      <c r="I70" s="40"/>
      <c r="J70" s="40"/>
      <c r="K70" s="40"/>
      <c r="L70" s="40"/>
      <c r="M70" s="40"/>
      <c r="N70" s="40"/>
      <c r="O70" s="40"/>
      <c r="P70" s="40"/>
      <c r="Q70" s="40"/>
      <c r="R70" s="40"/>
      <c r="S70" s="40"/>
      <c r="T70" s="40"/>
      <c r="U70" s="40"/>
      <c r="V70" s="40"/>
      <c r="W70" s="40"/>
      <c r="X70" s="40"/>
      <c r="Y70" s="40"/>
      <c r="Z70" s="40"/>
      <c r="AA70" s="40"/>
      <c r="AB70" s="40"/>
      <c r="AC70" s="40"/>
      <c r="AD70" s="40"/>
      <c r="AE70" s="40"/>
      <c r="AF70" s="40"/>
      <c r="AG70" s="40"/>
      <c r="AH70" s="40"/>
      <c r="AI70" s="40"/>
      <c r="AJ70" s="40"/>
      <c r="AK70" s="40"/>
      <c r="AL70" s="40"/>
      <c r="AM70" s="40"/>
      <c r="AN70" s="40"/>
      <c r="AO70" s="40"/>
    </row>
    <row r="71" spans="1:41" x14ac:dyDescent="0.25">
      <c r="A71" s="40"/>
      <c r="B71" s="148" t="s">
        <v>405</v>
      </c>
      <c r="C71" s="149">
        <f>COUNTIF('CCRA3 Actions for NAP3'!J$145:J$167,Graphs!B71)</f>
        <v>1</v>
      </c>
      <c r="D71" s="190">
        <f>1/23</f>
        <v>4.3478260869565216E-2</v>
      </c>
      <c r="E71" s="40"/>
      <c r="F71" s="40"/>
      <c r="G71" s="40"/>
      <c r="H71" s="40"/>
      <c r="I71" s="40"/>
      <c r="J71" s="40"/>
      <c r="K71" s="40"/>
      <c r="L71" s="40"/>
      <c r="M71" s="40"/>
      <c r="N71" s="40"/>
      <c r="O71" s="40"/>
      <c r="P71" s="40"/>
      <c r="Q71" s="40"/>
      <c r="R71" s="40"/>
      <c r="S71" s="40"/>
      <c r="T71" s="40"/>
      <c r="U71" s="40"/>
      <c r="V71" s="40"/>
      <c r="W71" s="40"/>
      <c r="X71" s="40"/>
      <c r="Y71" s="40"/>
      <c r="Z71" s="40"/>
      <c r="AA71" s="40"/>
      <c r="AB71" s="40"/>
      <c r="AC71" s="40"/>
      <c r="AD71" s="40"/>
      <c r="AE71" s="40"/>
      <c r="AF71" s="40"/>
      <c r="AG71" s="40"/>
      <c r="AH71" s="40"/>
      <c r="AI71" s="40"/>
      <c r="AJ71" s="40"/>
      <c r="AK71" s="40"/>
      <c r="AL71" s="40"/>
      <c r="AM71" s="40"/>
      <c r="AN71" s="40"/>
      <c r="AO71" s="40"/>
    </row>
    <row r="72" spans="1:41" x14ac:dyDescent="0.25">
      <c r="A72" s="40"/>
      <c r="B72" s="148" t="s">
        <v>463</v>
      </c>
      <c r="C72" s="149">
        <f>COUNTIF('CCRA3 Actions for NAP3'!J$145:J$167,Graphs!B72)</f>
        <v>5</v>
      </c>
      <c r="D72" s="190">
        <f>5/23</f>
        <v>0.21739130434782608</v>
      </c>
      <c r="E72" s="40" t="s">
        <v>1542</v>
      </c>
      <c r="F72" s="190">
        <f>SUM(C71:C73)/SUM(C71:C75)</f>
        <v>0.60869565217391308</v>
      </c>
      <c r="G72" s="40"/>
      <c r="H72" s="40"/>
      <c r="I72" s="40"/>
      <c r="J72" s="40"/>
      <c r="K72" s="40"/>
      <c r="L72" s="40"/>
      <c r="M72" s="40"/>
      <c r="N72" s="40"/>
      <c r="O72" s="40"/>
      <c r="P72" s="40"/>
      <c r="Q72" s="40"/>
      <c r="R72" s="40"/>
      <c r="S72" s="40"/>
      <c r="T72" s="40"/>
      <c r="U72" s="40"/>
      <c r="V72" s="40"/>
      <c r="W72" s="40"/>
      <c r="X72" s="40"/>
      <c r="Y72" s="40"/>
      <c r="Z72" s="40"/>
      <c r="AA72" s="40"/>
      <c r="AB72" s="40"/>
      <c r="AC72" s="40"/>
      <c r="AD72" s="40"/>
      <c r="AE72" s="40"/>
      <c r="AF72" s="40"/>
      <c r="AG72" s="40"/>
      <c r="AH72" s="40"/>
      <c r="AI72" s="40"/>
      <c r="AJ72" s="40"/>
      <c r="AK72" s="40"/>
      <c r="AL72" s="40"/>
      <c r="AM72" s="40"/>
      <c r="AN72" s="40"/>
      <c r="AO72" s="40"/>
    </row>
    <row r="73" spans="1:41" x14ac:dyDescent="0.25">
      <c r="A73" s="40"/>
      <c r="B73" s="148" t="s">
        <v>398</v>
      </c>
      <c r="C73" s="149">
        <f>COUNTIF('CCRA3 Actions for NAP3'!J$145:J$167,Graphs!B73)</f>
        <v>8</v>
      </c>
      <c r="D73" s="190">
        <f>8/23</f>
        <v>0.34782608695652173</v>
      </c>
      <c r="E73" s="40" t="s">
        <v>417</v>
      </c>
      <c r="F73" s="190">
        <f>SUM(C74:C75)/SUM(C71:C75)</f>
        <v>0.39130434782608697</v>
      </c>
      <c r="G73" s="40"/>
      <c r="H73" s="40"/>
      <c r="I73" s="40"/>
      <c r="J73" s="40"/>
      <c r="K73" s="40"/>
      <c r="L73" s="40"/>
      <c r="M73" s="40"/>
      <c r="N73" s="40"/>
      <c r="O73" s="40"/>
      <c r="P73" s="40"/>
      <c r="Q73" s="40"/>
      <c r="R73" s="40"/>
      <c r="S73" s="40"/>
      <c r="T73" s="40"/>
      <c r="U73" s="40"/>
      <c r="V73" s="40"/>
      <c r="W73" s="40"/>
      <c r="X73" s="40"/>
      <c r="Y73" s="40"/>
      <c r="Z73" s="40"/>
      <c r="AA73" s="40"/>
      <c r="AB73" s="40"/>
      <c r="AC73" s="40"/>
      <c r="AD73" s="40"/>
      <c r="AE73" s="40"/>
      <c r="AF73" s="40"/>
      <c r="AG73" s="40"/>
      <c r="AH73" s="40"/>
      <c r="AI73" s="40"/>
      <c r="AJ73" s="40"/>
      <c r="AK73" s="40"/>
      <c r="AL73" s="40"/>
      <c r="AM73" s="40"/>
      <c r="AN73" s="40"/>
      <c r="AO73" s="40"/>
    </row>
    <row r="74" spans="1:41" x14ac:dyDescent="0.25">
      <c r="A74" s="40"/>
      <c r="B74" s="148" t="s">
        <v>411</v>
      </c>
      <c r="C74" s="149">
        <f>COUNTIF('CCRA3 Actions for NAP3'!J$145:J$167,Graphs!B74)</f>
        <v>6</v>
      </c>
      <c r="D74" s="190">
        <f>6/23</f>
        <v>0.2608695652173913</v>
      </c>
      <c r="E74" s="40"/>
      <c r="F74" s="40"/>
      <c r="G74" s="40"/>
      <c r="H74" s="40"/>
      <c r="I74" s="40"/>
      <c r="J74" s="40"/>
      <c r="K74" s="40"/>
      <c r="L74" s="40"/>
      <c r="M74" s="40"/>
      <c r="N74" s="40"/>
      <c r="O74" s="40"/>
      <c r="P74" s="40"/>
      <c r="Q74" s="40"/>
      <c r="R74" s="40"/>
      <c r="S74" s="40"/>
      <c r="T74" s="40"/>
      <c r="U74" s="40"/>
      <c r="V74" s="40"/>
      <c r="W74" s="40"/>
      <c r="X74" s="40"/>
      <c r="Y74" s="40"/>
      <c r="Z74" s="40"/>
      <c r="AA74" s="40"/>
      <c r="AB74" s="40"/>
      <c r="AC74" s="40"/>
      <c r="AD74" s="40"/>
      <c r="AE74" s="40"/>
      <c r="AF74" s="40"/>
      <c r="AG74" s="40"/>
      <c r="AH74" s="40"/>
      <c r="AI74" s="40"/>
      <c r="AJ74" s="40"/>
      <c r="AK74" s="40"/>
      <c r="AL74" s="40"/>
      <c r="AM74" s="40"/>
      <c r="AN74" s="40"/>
      <c r="AO74" s="40"/>
    </row>
    <row r="75" spans="1:41" x14ac:dyDescent="0.25">
      <c r="A75" s="40"/>
      <c r="B75" s="148" t="s">
        <v>417</v>
      </c>
      <c r="C75" s="149">
        <f>COUNTIF('CCRA3 Actions for NAP3'!J$145:J$167,Graphs!B75)</f>
        <v>3</v>
      </c>
      <c r="D75" s="190">
        <f>3/23</f>
        <v>0.13043478260869565</v>
      </c>
      <c r="E75" s="40"/>
      <c r="F75" s="40"/>
      <c r="G75" s="40"/>
      <c r="H75" s="40"/>
      <c r="I75" s="40"/>
      <c r="J75" s="40"/>
      <c r="K75" s="40"/>
      <c r="L75" s="40"/>
      <c r="M75" s="40"/>
      <c r="N75" s="40"/>
      <c r="O75" s="40"/>
      <c r="P75" s="40"/>
      <c r="Q75" s="40"/>
      <c r="R75" s="40"/>
      <c r="S75" s="40"/>
      <c r="T75" s="40"/>
      <c r="U75" s="40"/>
      <c r="V75" s="40"/>
      <c r="W75" s="40"/>
      <c r="X75" s="40"/>
      <c r="Y75" s="40"/>
      <c r="Z75" s="40"/>
      <c r="AA75" s="40"/>
      <c r="AB75" s="40"/>
      <c r="AC75" s="40"/>
      <c r="AD75" s="40"/>
      <c r="AE75" s="40"/>
      <c r="AF75" s="40"/>
      <c r="AG75" s="40"/>
      <c r="AH75" s="40"/>
      <c r="AI75" s="40"/>
      <c r="AJ75" s="40"/>
      <c r="AK75" s="40"/>
      <c r="AL75" s="40"/>
      <c r="AM75" s="40"/>
      <c r="AN75" s="40"/>
      <c r="AO75" s="40"/>
    </row>
    <row r="76" spans="1:41" s="40" customFormat="1" x14ac:dyDescent="0.25"/>
    <row r="77" spans="1:41" s="40" customFormat="1" x14ac:dyDescent="0.25"/>
    <row r="78" spans="1:41" s="40" customFormat="1" x14ac:dyDescent="0.25"/>
    <row r="79" spans="1:41" s="151" customFormat="1" x14ac:dyDescent="0.25"/>
    <row r="80" spans="1:41" s="151" customFormat="1" x14ac:dyDescent="0.25"/>
    <row r="81" spans="2:14" s="151" customFormat="1" x14ac:dyDescent="0.25">
      <c r="B81" s="152" t="s">
        <v>1552</v>
      </c>
    </row>
    <row r="82" spans="2:14" s="151" customFormat="1" x14ac:dyDescent="0.25"/>
    <row r="83" spans="2:14" s="151" customFormat="1" x14ac:dyDescent="0.25">
      <c r="C83" s="232" t="s">
        <v>1553</v>
      </c>
      <c r="D83" s="232"/>
      <c r="E83" s="232"/>
      <c r="F83" s="232"/>
      <c r="G83" s="232"/>
      <c r="H83" s="232"/>
      <c r="I83" s="232"/>
      <c r="J83" s="232"/>
      <c r="K83" s="232"/>
      <c r="L83" s="232"/>
      <c r="M83" s="232"/>
      <c r="N83" s="232"/>
    </row>
    <row r="84" spans="2:14" s="151" customFormat="1" x14ac:dyDescent="0.25">
      <c r="B84" s="150" t="s">
        <v>1540</v>
      </c>
      <c r="C84" s="150" t="s">
        <v>847</v>
      </c>
      <c r="D84" s="150" t="s">
        <v>400</v>
      </c>
      <c r="E84" s="150" t="s">
        <v>800</v>
      </c>
      <c r="F84" s="150" t="s">
        <v>480</v>
      </c>
      <c r="G84" s="150" t="s">
        <v>700</v>
      </c>
      <c r="H84" s="150" t="s">
        <v>938</v>
      </c>
      <c r="I84" s="150" t="s">
        <v>629</v>
      </c>
      <c r="J84" s="150" t="s">
        <v>606</v>
      </c>
      <c r="K84" s="150" t="s">
        <v>1554</v>
      </c>
      <c r="L84" s="150" t="s">
        <v>1088</v>
      </c>
      <c r="M84" s="150" t="s">
        <v>508</v>
      </c>
      <c r="N84" s="150" t="s">
        <v>829</v>
      </c>
    </row>
    <row r="85" spans="2:14" s="151" customFormat="1" x14ac:dyDescent="0.25">
      <c r="B85" s="156" t="s">
        <v>405</v>
      </c>
      <c r="C85" s="149">
        <f>COUNTIFS('CCRA3 Actions for NAP3'!$J:$J,Graphs!$B85,'CCRA3 Actions for NAP3'!$L:$L,"*"&amp;Graphs!C$84&amp;"*")</f>
        <v>0</v>
      </c>
      <c r="D85" s="149">
        <f>COUNTIFS('CCRA3 Actions for NAP3'!$J:$J,Graphs!$B85,'CCRA3 Actions for NAP3'!$L:$L,"*"&amp;Graphs!D$84&amp;"*")</f>
        <v>1</v>
      </c>
      <c r="E85" s="149">
        <f>COUNTIFS('CCRA3 Actions for NAP3'!$J:$J,Graphs!$B85,'CCRA3 Actions for NAP3'!$L:$L,"*"&amp;Graphs!E$84&amp;"*")</f>
        <v>1</v>
      </c>
      <c r="F85" s="149">
        <f>COUNTIFS('CCRA3 Actions for NAP3'!$J:$J,Graphs!$B85,'CCRA3 Actions for NAP3'!$L:$L,"*"&amp;Graphs!F$84&amp;"*")</f>
        <v>10</v>
      </c>
      <c r="G85" s="149">
        <f>COUNTIFS('CCRA3 Actions for NAP3'!$J:$J,Graphs!$B85,'CCRA3 Actions for NAP3'!$L:$L,"*"&amp;Graphs!G$84&amp;"*")</f>
        <v>0</v>
      </c>
      <c r="H85" s="149">
        <f>COUNTIFS('CCRA3 Actions for NAP3'!$J:$J,Graphs!$B85,'CCRA3 Actions for NAP3'!$L:$L,"*"&amp;Graphs!H$84&amp;"*")</f>
        <v>1</v>
      </c>
      <c r="I85" s="149">
        <f>COUNTIFS('CCRA3 Actions for NAP3'!$J:$J,Graphs!$B85,'CCRA3 Actions for NAP3'!$L:$L,"*"&amp;Graphs!I$84&amp;"*")</f>
        <v>2</v>
      </c>
      <c r="J85" s="149">
        <f>COUNTIFS('CCRA3 Actions for NAP3'!$J:$J,Graphs!$B85,'CCRA3 Actions for NAP3'!$L:$L,"*"&amp;Graphs!J$84&amp;"*")</f>
        <v>0</v>
      </c>
      <c r="K85" s="149">
        <f>COUNTIFS('CCRA3 Actions for NAP3'!$J:$J,Graphs!$B85,'CCRA3 Actions for NAP3'!$L:$L,"*"&amp;Graphs!K$84&amp;"*")</f>
        <v>0</v>
      </c>
      <c r="L85" s="149">
        <f>COUNTIFS('CCRA3 Actions for NAP3'!$J:$J,Graphs!$B85,'CCRA3 Actions for NAP3'!$L:$L,"*"&amp;Graphs!L$84&amp;"*")</f>
        <v>0</v>
      </c>
      <c r="M85" s="149">
        <f>COUNTIFS('CCRA3 Actions for NAP3'!$J:$J,Graphs!$B85,'CCRA3 Actions for NAP3'!$L:$L,"*"&amp;Graphs!M$84&amp;"*")</f>
        <v>0</v>
      </c>
      <c r="N85" s="149">
        <f>COUNTIFS('CCRA3 Actions for NAP3'!$J:$J,Graphs!$B85,'CCRA3 Actions for NAP3'!$L:$L,"*"&amp;Graphs!N$84&amp;"*")</f>
        <v>0</v>
      </c>
    </row>
    <row r="86" spans="2:14" s="151" customFormat="1" x14ac:dyDescent="0.25">
      <c r="B86" s="156" t="s">
        <v>463</v>
      </c>
      <c r="C86" s="149">
        <f>COUNTIFS('CCRA3 Actions for NAP3'!$J:$J,Graphs!$B86,'CCRA3 Actions for NAP3'!$L:$L,"*"&amp;Graphs!C$84&amp;"*")</f>
        <v>0</v>
      </c>
      <c r="D86" s="149">
        <f>COUNTIFS('CCRA3 Actions for NAP3'!$J:$J,Graphs!$B86,'CCRA3 Actions for NAP3'!$L:$L,"*"&amp;Graphs!D$84&amp;"*")</f>
        <v>7</v>
      </c>
      <c r="E86" s="149">
        <f>COUNTIFS('CCRA3 Actions for NAP3'!$J:$J,Graphs!$B86,'CCRA3 Actions for NAP3'!$L:$L,"*"&amp;Graphs!E$84&amp;"*")</f>
        <v>0</v>
      </c>
      <c r="F86" s="149">
        <f>COUNTIFS('CCRA3 Actions for NAP3'!$J:$J,Graphs!$B86,'CCRA3 Actions for NAP3'!$L:$L,"*"&amp;Graphs!F$84&amp;"*")</f>
        <v>35</v>
      </c>
      <c r="G86" s="149">
        <f>COUNTIFS('CCRA3 Actions for NAP3'!$J:$J,Graphs!$B86,'CCRA3 Actions for NAP3'!$L:$L,"*"&amp;Graphs!G$84&amp;"*")</f>
        <v>11</v>
      </c>
      <c r="H86" s="149">
        <f>COUNTIFS('CCRA3 Actions for NAP3'!$J:$J,Graphs!$B86,'CCRA3 Actions for NAP3'!$L:$L,"*"&amp;Graphs!H$84&amp;"*")</f>
        <v>4</v>
      </c>
      <c r="I86" s="149">
        <f>COUNTIFS('CCRA3 Actions for NAP3'!$J:$J,Graphs!$B86,'CCRA3 Actions for NAP3'!$L:$L,"*"&amp;Graphs!I$84&amp;"*")</f>
        <v>8</v>
      </c>
      <c r="J86" s="149">
        <f>COUNTIFS('CCRA3 Actions for NAP3'!$J:$J,Graphs!$B86,'CCRA3 Actions for NAP3'!$L:$L,"*"&amp;Graphs!J$84&amp;"*")</f>
        <v>7</v>
      </c>
      <c r="K86" s="149">
        <f>COUNTIFS('CCRA3 Actions for NAP3'!$J:$J,Graphs!$B86,'CCRA3 Actions for NAP3'!$L:$L,"*"&amp;Graphs!K$84&amp;"*")</f>
        <v>5</v>
      </c>
      <c r="L86" s="149">
        <f>COUNTIFS('CCRA3 Actions for NAP3'!$J:$J,Graphs!$B86,'CCRA3 Actions for NAP3'!$L:$L,"*"&amp;Graphs!L$84&amp;"*")</f>
        <v>1</v>
      </c>
      <c r="M86" s="149">
        <f>COUNTIFS('CCRA3 Actions for NAP3'!$J:$J,Graphs!$B86,'CCRA3 Actions for NAP3'!$L:$L,"*"&amp;Graphs!M$84&amp;"*")</f>
        <v>1</v>
      </c>
      <c r="N86" s="149">
        <f>COUNTIFS('CCRA3 Actions for NAP3'!$J:$J,Graphs!$B86,'CCRA3 Actions for NAP3'!$L:$L,"*"&amp;Graphs!N$84&amp;"*")</f>
        <v>2</v>
      </c>
    </row>
    <row r="87" spans="2:14" s="151" customFormat="1" x14ac:dyDescent="0.25">
      <c r="B87" s="156" t="s">
        <v>398</v>
      </c>
      <c r="C87" s="149">
        <f>COUNTIFS('CCRA3 Actions for NAP3'!$J:$J,Graphs!$B87,'CCRA3 Actions for NAP3'!$L:$L,"*"&amp;Graphs!C$84&amp;"*")</f>
        <v>2</v>
      </c>
      <c r="D87" s="149">
        <f>COUNTIFS('CCRA3 Actions for NAP3'!$J:$J,Graphs!$B87,'CCRA3 Actions for NAP3'!$L:$L,"*"&amp;Graphs!D$84&amp;"*")</f>
        <v>14</v>
      </c>
      <c r="E87" s="149">
        <f>COUNTIFS('CCRA3 Actions for NAP3'!$J:$J,Graphs!$B87,'CCRA3 Actions for NAP3'!$L:$L,"*"&amp;Graphs!E$84&amp;"*")</f>
        <v>1</v>
      </c>
      <c r="F87" s="149">
        <f>COUNTIFS('CCRA3 Actions for NAP3'!$J:$J,Graphs!$B87,'CCRA3 Actions for NAP3'!$L:$L,"*"&amp;Graphs!F$84&amp;"*")</f>
        <v>48</v>
      </c>
      <c r="G87" s="149">
        <f>COUNTIFS('CCRA3 Actions for NAP3'!$J:$J,Graphs!$B87,'CCRA3 Actions for NAP3'!$L:$L,"*"&amp;Graphs!G$84&amp;"*")</f>
        <v>17</v>
      </c>
      <c r="H87" s="149">
        <f>COUNTIFS('CCRA3 Actions for NAP3'!$J:$J,Graphs!$B87,'CCRA3 Actions for NAP3'!$L:$L,"*"&amp;Graphs!H$84&amp;"*")</f>
        <v>9</v>
      </c>
      <c r="I87" s="149">
        <f>COUNTIFS('CCRA3 Actions for NAP3'!$J:$J,Graphs!$B87,'CCRA3 Actions for NAP3'!$L:$L,"*"&amp;Graphs!I$84&amp;"*")</f>
        <v>4</v>
      </c>
      <c r="J87" s="149">
        <f>COUNTIFS('CCRA3 Actions for NAP3'!$J:$J,Graphs!$B87,'CCRA3 Actions for NAP3'!$L:$L,"*"&amp;Graphs!J$84&amp;"*")</f>
        <v>6</v>
      </c>
      <c r="K87" s="149">
        <f>COUNTIFS('CCRA3 Actions for NAP3'!$J:$J,Graphs!$B87,'CCRA3 Actions for NAP3'!$L:$L,"*"&amp;Graphs!K$84&amp;"*")</f>
        <v>7</v>
      </c>
      <c r="L87" s="149">
        <f>COUNTIFS('CCRA3 Actions for NAP3'!$J:$J,Graphs!$B87,'CCRA3 Actions for NAP3'!$L:$L,"*"&amp;Graphs!L$84&amp;"*")</f>
        <v>5</v>
      </c>
      <c r="M87" s="149">
        <f>COUNTIFS('CCRA3 Actions for NAP3'!$J:$J,Graphs!$B87,'CCRA3 Actions for NAP3'!$L:$L,"*"&amp;Graphs!M$84&amp;"*")</f>
        <v>3</v>
      </c>
      <c r="N87" s="149">
        <f>COUNTIFS('CCRA3 Actions for NAP3'!$J:$J,Graphs!$B87,'CCRA3 Actions for NAP3'!$L:$L,"*"&amp;Graphs!N$84&amp;"*")</f>
        <v>0</v>
      </c>
    </row>
    <row r="88" spans="2:14" s="151" customFormat="1" x14ac:dyDescent="0.25">
      <c r="B88" s="156" t="s">
        <v>411</v>
      </c>
      <c r="C88" s="149">
        <f>COUNTIFS('CCRA3 Actions for NAP3'!$J:$J,Graphs!$B88,'CCRA3 Actions for NAP3'!$L:$L,"*"&amp;Graphs!C$84&amp;"*")</f>
        <v>0</v>
      </c>
      <c r="D88" s="149">
        <f>COUNTIFS('CCRA3 Actions for NAP3'!$J:$J,Graphs!$B88,'CCRA3 Actions for NAP3'!$L:$L,"*"&amp;Graphs!D$84&amp;"*")</f>
        <v>5</v>
      </c>
      <c r="E88" s="149">
        <f>COUNTIFS('CCRA3 Actions for NAP3'!$J:$J,Graphs!$B88,'CCRA3 Actions for NAP3'!$L:$L,"*"&amp;Graphs!E$84&amp;"*")</f>
        <v>0</v>
      </c>
      <c r="F88" s="149">
        <f>COUNTIFS('CCRA3 Actions for NAP3'!$J:$J,Graphs!$B88,'CCRA3 Actions for NAP3'!$L:$L,"*"&amp;Graphs!F$84&amp;"*")</f>
        <v>19</v>
      </c>
      <c r="G88" s="149">
        <f>COUNTIFS('CCRA3 Actions for NAP3'!$J:$J,Graphs!$B88,'CCRA3 Actions for NAP3'!$L:$L,"*"&amp;Graphs!G$84&amp;"*")</f>
        <v>3</v>
      </c>
      <c r="H88" s="149">
        <f>COUNTIFS('CCRA3 Actions for NAP3'!$J:$J,Graphs!$B88,'CCRA3 Actions for NAP3'!$L:$L,"*"&amp;Graphs!H$84&amp;"*")</f>
        <v>1</v>
      </c>
      <c r="I88" s="149">
        <f>COUNTIFS('CCRA3 Actions for NAP3'!$J:$J,Graphs!$B88,'CCRA3 Actions for NAP3'!$L:$L,"*"&amp;Graphs!I$84&amp;"*")</f>
        <v>0</v>
      </c>
      <c r="J88" s="149">
        <f>COUNTIFS('CCRA3 Actions for NAP3'!$J:$J,Graphs!$B88,'CCRA3 Actions for NAP3'!$L:$L,"*"&amp;Graphs!J$84&amp;"*")</f>
        <v>1</v>
      </c>
      <c r="K88" s="149">
        <f>COUNTIFS('CCRA3 Actions for NAP3'!$J:$J,Graphs!$B88,'CCRA3 Actions for NAP3'!$L:$L,"*"&amp;Graphs!K$84&amp;"*")</f>
        <v>0</v>
      </c>
      <c r="L88" s="149">
        <f>COUNTIFS('CCRA3 Actions for NAP3'!$J:$J,Graphs!$B88,'CCRA3 Actions for NAP3'!$L:$L,"*"&amp;Graphs!L$84&amp;"*")</f>
        <v>3</v>
      </c>
      <c r="M88" s="149">
        <f>COUNTIFS('CCRA3 Actions for NAP3'!$J:$J,Graphs!$B88,'CCRA3 Actions for NAP3'!$L:$L,"*"&amp;Graphs!M$84&amp;"*")</f>
        <v>2</v>
      </c>
      <c r="N88" s="149">
        <f>COUNTIFS('CCRA3 Actions for NAP3'!$J:$J,Graphs!$B88,'CCRA3 Actions for NAP3'!$L:$L,"*"&amp;Graphs!N$84&amp;"*")</f>
        <v>2</v>
      </c>
    </row>
    <row r="89" spans="2:14" s="151" customFormat="1" x14ac:dyDescent="0.25">
      <c r="B89" s="156" t="s">
        <v>417</v>
      </c>
      <c r="C89" s="149">
        <f>COUNTIFS('CCRA3 Actions for NAP3'!$J:$J,Graphs!$B89,'CCRA3 Actions for NAP3'!$L:$L,"*"&amp;Graphs!C$84&amp;"*")</f>
        <v>0</v>
      </c>
      <c r="D89" s="149">
        <f>COUNTIFS('CCRA3 Actions for NAP3'!$J:$J,Graphs!$B89,'CCRA3 Actions for NAP3'!$L:$L,"*"&amp;Graphs!D$84&amp;"*")</f>
        <v>12</v>
      </c>
      <c r="E89" s="149">
        <f>COUNTIFS('CCRA3 Actions for NAP3'!$J:$J,Graphs!$B89,'CCRA3 Actions for NAP3'!$L:$L,"*"&amp;Graphs!E$84&amp;"*")</f>
        <v>0</v>
      </c>
      <c r="F89" s="149">
        <f>COUNTIFS('CCRA3 Actions for NAP3'!$J:$J,Graphs!$B89,'CCRA3 Actions for NAP3'!$L:$L,"*"&amp;Graphs!F$84&amp;"*")</f>
        <v>23</v>
      </c>
      <c r="G89" s="149">
        <f>COUNTIFS('CCRA3 Actions for NAP3'!$J:$J,Graphs!$B89,'CCRA3 Actions for NAP3'!$L:$L,"*"&amp;Graphs!G$84&amp;"*")</f>
        <v>5</v>
      </c>
      <c r="H89" s="149">
        <f>COUNTIFS('CCRA3 Actions for NAP3'!$J:$J,Graphs!$B89,'CCRA3 Actions for NAP3'!$L:$L,"*"&amp;Graphs!H$84&amp;"*")</f>
        <v>2</v>
      </c>
      <c r="I89" s="149">
        <f>COUNTIFS('CCRA3 Actions for NAP3'!$J:$J,Graphs!$B89,'CCRA3 Actions for NAP3'!$L:$L,"*"&amp;Graphs!I$84&amp;"*")</f>
        <v>0</v>
      </c>
      <c r="J89" s="149">
        <f>COUNTIFS('CCRA3 Actions for NAP3'!$J:$J,Graphs!$B89,'CCRA3 Actions for NAP3'!$L:$L,"*"&amp;Graphs!J$84&amp;"*")</f>
        <v>3</v>
      </c>
      <c r="K89" s="149">
        <f>COUNTIFS('CCRA3 Actions for NAP3'!$J:$J,Graphs!$B89,'CCRA3 Actions for NAP3'!$L:$L,"*"&amp;Graphs!K$84&amp;"*")</f>
        <v>1</v>
      </c>
      <c r="L89" s="149">
        <f>COUNTIFS('CCRA3 Actions for NAP3'!$J:$J,Graphs!$B89,'CCRA3 Actions for NAP3'!$L:$L,"*"&amp;Graphs!L$84&amp;"*")</f>
        <v>1</v>
      </c>
      <c r="M89" s="149">
        <f>COUNTIFS('CCRA3 Actions for NAP3'!$J:$J,Graphs!$B89,'CCRA3 Actions for NAP3'!$L:$L,"*"&amp;Graphs!M$84&amp;"*")</f>
        <v>2</v>
      </c>
      <c r="N89" s="149">
        <f>COUNTIFS('CCRA3 Actions for NAP3'!$J:$J,Graphs!$B89,'CCRA3 Actions for NAP3'!$L:$L,"*"&amp;Graphs!N$84&amp;"*")</f>
        <v>0</v>
      </c>
    </row>
    <row r="90" spans="2:14" s="151" customFormat="1" x14ac:dyDescent="0.25">
      <c r="B90" s="157" t="s">
        <v>1544</v>
      </c>
      <c r="C90" s="157">
        <f>SUM(C85:C89)</f>
        <v>2</v>
      </c>
      <c r="D90" s="157">
        <f t="shared" ref="D90:N90" si="6">SUM(D85:D89)</f>
        <v>39</v>
      </c>
      <c r="E90" s="157">
        <f t="shared" si="6"/>
        <v>2</v>
      </c>
      <c r="F90" s="157">
        <f t="shared" si="6"/>
        <v>135</v>
      </c>
      <c r="G90" s="157">
        <f t="shared" si="6"/>
        <v>36</v>
      </c>
      <c r="H90" s="157">
        <f t="shared" si="6"/>
        <v>17</v>
      </c>
      <c r="I90" s="157">
        <f t="shared" si="6"/>
        <v>14</v>
      </c>
      <c r="J90" s="157">
        <f t="shared" si="6"/>
        <v>17</v>
      </c>
      <c r="K90" s="157">
        <f t="shared" si="6"/>
        <v>13</v>
      </c>
      <c r="L90" s="157">
        <f t="shared" si="6"/>
        <v>10</v>
      </c>
      <c r="M90" s="157">
        <f t="shared" si="6"/>
        <v>8</v>
      </c>
      <c r="N90" s="157">
        <f t="shared" si="6"/>
        <v>4</v>
      </c>
    </row>
    <row r="91" spans="2:14" s="151" customFormat="1" x14ac:dyDescent="0.25"/>
    <row r="92" spans="2:14" s="151" customFormat="1" x14ac:dyDescent="0.25"/>
    <row r="93" spans="2:14" s="151" customFormat="1" x14ac:dyDescent="0.25"/>
    <row r="94" spans="2:14" s="151" customFormat="1" x14ac:dyDescent="0.25"/>
    <row r="95" spans="2:14" s="151" customFormat="1" x14ac:dyDescent="0.25">
      <c r="C95" s="232" t="s">
        <v>1553</v>
      </c>
      <c r="D95" s="232"/>
      <c r="E95" s="232"/>
      <c r="F95" s="232"/>
      <c r="G95" s="232"/>
      <c r="H95" s="232"/>
      <c r="I95" s="232"/>
      <c r="J95" s="232"/>
      <c r="K95" s="232"/>
      <c r="L95" s="232"/>
      <c r="M95" s="232"/>
      <c r="N95" s="232"/>
    </row>
    <row r="96" spans="2:14" s="151" customFormat="1" x14ac:dyDescent="0.25">
      <c r="B96" s="150" t="s">
        <v>1540</v>
      </c>
      <c r="C96" s="150" t="s">
        <v>847</v>
      </c>
      <c r="D96" s="214" t="s">
        <v>400</v>
      </c>
      <c r="E96" s="214" t="s">
        <v>800</v>
      </c>
      <c r="F96" s="214" t="s">
        <v>480</v>
      </c>
      <c r="G96" s="214" t="s">
        <v>700</v>
      </c>
      <c r="H96" s="214" t="s">
        <v>938</v>
      </c>
      <c r="I96" s="214" t="s">
        <v>629</v>
      </c>
      <c r="J96" s="214" t="s">
        <v>606</v>
      </c>
      <c r="K96" s="214" t="s">
        <v>1554</v>
      </c>
      <c r="L96" s="214" t="s">
        <v>1088</v>
      </c>
      <c r="M96" s="214" t="s">
        <v>508</v>
      </c>
      <c r="N96" s="214" t="s">
        <v>829</v>
      </c>
    </row>
    <row r="97" spans="1:76" s="151" customFormat="1" x14ac:dyDescent="0.25">
      <c r="B97" s="156" t="s">
        <v>405</v>
      </c>
      <c r="C97" s="158">
        <f t="shared" ref="C97:N97" si="7">C85/C$90</f>
        <v>0</v>
      </c>
      <c r="D97" s="158">
        <f t="shared" si="7"/>
        <v>2.564102564102564E-2</v>
      </c>
      <c r="E97" s="158">
        <f t="shared" si="7"/>
        <v>0.5</v>
      </c>
      <c r="F97" s="158">
        <f t="shared" si="7"/>
        <v>7.407407407407407E-2</v>
      </c>
      <c r="G97" s="158">
        <f t="shared" si="7"/>
        <v>0</v>
      </c>
      <c r="H97" s="158">
        <f t="shared" si="7"/>
        <v>5.8823529411764705E-2</v>
      </c>
      <c r="I97" s="158">
        <f t="shared" si="7"/>
        <v>0.14285714285714285</v>
      </c>
      <c r="J97" s="158">
        <f t="shared" si="7"/>
        <v>0</v>
      </c>
      <c r="K97" s="158">
        <f t="shared" si="7"/>
        <v>0</v>
      </c>
      <c r="L97" s="158">
        <f t="shared" si="7"/>
        <v>0</v>
      </c>
      <c r="M97" s="158">
        <f t="shared" si="7"/>
        <v>0</v>
      </c>
      <c r="N97" s="158">
        <f t="shared" si="7"/>
        <v>0</v>
      </c>
    </row>
    <row r="98" spans="1:76" s="151" customFormat="1" x14ac:dyDescent="0.25">
      <c r="B98" s="156" t="s">
        <v>463</v>
      </c>
      <c r="C98" s="158">
        <f t="shared" ref="C98:N98" si="8">C86/C$90</f>
        <v>0</v>
      </c>
      <c r="D98" s="158">
        <f t="shared" si="8"/>
        <v>0.17948717948717949</v>
      </c>
      <c r="E98" s="158">
        <f t="shared" si="8"/>
        <v>0</v>
      </c>
      <c r="F98" s="158">
        <f t="shared" si="8"/>
        <v>0.25925925925925924</v>
      </c>
      <c r="G98" s="158">
        <f t="shared" si="8"/>
        <v>0.30555555555555558</v>
      </c>
      <c r="H98" s="158">
        <f t="shared" si="8"/>
        <v>0.23529411764705882</v>
      </c>
      <c r="I98" s="158">
        <f t="shared" si="8"/>
        <v>0.5714285714285714</v>
      </c>
      <c r="J98" s="158">
        <f t="shared" si="8"/>
        <v>0.41176470588235292</v>
      </c>
      <c r="K98" s="158">
        <f t="shared" si="8"/>
        <v>0.38461538461538464</v>
      </c>
      <c r="L98" s="158">
        <f t="shared" si="8"/>
        <v>0.1</v>
      </c>
      <c r="M98" s="158">
        <f t="shared" si="8"/>
        <v>0.125</v>
      </c>
      <c r="N98" s="158">
        <f t="shared" si="8"/>
        <v>0.5</v>
      </c>
    </row>
    <row r="99" spans="1:76" s="151" customFormat="1" x14ac:dyDescent="0.25">
      <c r="B99" s="156" t="s">
        <v>398</v>
      </c>
      <c r="C99" s="158">
        <f t="shared" ref="C99:N99" si="9">C87/C$90</f>
        <v>1</v>
      </c>
      <c r="D99" s="158">
        <f t="shared" si="9"/>
        <v>0.35897435897435898</v>
      </c>
      <c r="E99" s="158">
        <f t="shared" si="9"/>
        <v>0.5</v>
      </c>
      <c r="F99" s="158">
        <f t="shared" si="9"/>
        <v>0.35555555555555557</v>
      </c>
      <c r="G99" s="158">
        <f t="shared" si="9"/>
        <v>0.47222222222222221</v>
      </c>
      <c r="H99" s="158">
        <f t="shared" si="9"/>
        <v>0.52941176470588236</v>
      </c>
      <c r="I99" s="158">
        <f t="shared" si="9"/>
        <v>0.2857142857142857</v>
      </c>
      <c r="J99" s="158">
        <f t="shared" si="9"/>
        <v>0.35294117647058826</v>
      </c>
      <c r="K99" s="158">
        <f t="shared" si="9"/>
        <v>0.53846153846153844</v>
      </c>
      <c r="L99" s="158">
        <f t="shared" si="9"/>
        <v>0.5</v>
      </c>
      <c r="M99" s="158">
        <f t="shared" si="9"/>
        <v>0.375</v>
      </c>
      <c r="N99" s="158">
        <f t="shared" si="9"/>
        <v>0</v>
      </c>
    </row>
    <row r="100" spans="1:76" s="151" customFormat="1" x14ac:dyDescent="0.25">
      <c r="B100" s="156" t="s">
        <v>411</v>
      </c>
      <c r="C100" s="158">
        <f t="shared" ref="C100:N100" si="10">C88/C$90</f>
        <v>0</v>
      </c>
      <c r="D100" s="158">
        <f t="shared" si="10"/>
        <v>0.12820512820512819</v>
      </c>
      <c r="E100" s="158">
        <f t="shared" si="10"/>
        <v>0</v>
      </c>
      <c r="F100" s="158">
        <f t="shared" si="10"/>
        <v>0.14074074074074075</v>
      </c>
      <c r="G100" s="158">
        <f t="shared" si="10"/>
        <v>8.3333333333333329E-2</v>
      </c>
      <c r="H100" s="158">
        <f t="shared" si="10"/>
        <v>5.8823529411764705E-2</v>
      </c>
      <c r="I100" s="158">
        <f t="shared" si="10"/>
        <v>0</v>
      </c>
      <c r="J100" s="158">
        <f t="shared" si="10"/>
        <v>5.8823529411764705E-2</v>
      </c>
      <c r="K100" s="158">
        <f t="shared" si="10"/>
        <v>0</v>
      </c>
      <c r="L100" s="158">
        <f t="shared" si="10"/>
        <v>0.3</v>
      </c>
      <c r="M100" s="158">
        <f t="shared" si="10"/>
        <v>0.25</v>
      </c>
      <c r="N100" s="158">
        <f t="shared" si="10"/>
        <v>0.5</v>
      </c>
    </row>
    <row r="101" spans="1:76" s="160" customFormat="1" x14ac:dyDescent="0.25">
      <c r="A101" s="151"/>
      <c r="B101" s="156" t="s">
        <v>417</v>
      </c>
      <c r="C101" s="158">
        <f t="shared" ref="C101:N101" si="11">C89/C$90</f>
        <v>0</v>
      </c>
      <c r="D101" s="158">
        <f t="shared" si="11"/>
        <v>0.30769230769230771</v>
      </c>
      <c r="E101" s="158">
        <f t="shared" si="11"/>
        <v>0</v>
      </c>
      <c r="F101" s="158">
        <f t="shared" si="11"/>
        <v>0.17037037037037037</v>
      </c>
      <c r="G101" s="158">
        <f t="shared" si="11"/>
        <v>0.1388888888888889</v>
      </c>
      <c r="H101" s="158">
        <f t="shared" si="11"/>
        <v>0.11764705882352941</v>
      </c>
      <c r="I101" s="158">
        <f t="shared" si="11"/>
        <v>0</v>
      </c>
      <c r="J101" s="158">
        <f t="shared" si="11"/>
        <v>0.17647058823529413</v>
      </c>
      <c r="K101" s="158">
        <f t="shared" si="11"/>
        <v>7.6923076923076927E-2</v>
      </c>
      <c r="L101" s="158">
        <f t="shared" si="11"/>
        <v>0.1</v>
      </c>
      <c r="M101" s="158">
        <f t="shared" si="11"/>
        <v>0.25</v>
      </c>
      <c r="N101" s="158">
        <f t="shared" si="11"/>
        <v>0</v>
      </c>
      <c r="O101" s="151"/>
      <c r="P101" s="151"/>
      <c r="Q101" s="151"/>
      <c r="R101" s="151"/>
      <c r="S101" s="151"/>
      <c r="T101" s="151"/>
      <c r="U101" s="151"/>
      <c r="V101" s="151"/>
      <c r="W101" s="151"/>
      <c r="X101" s="151"/>
      <c r="Y101" s="151"/>
      <c r="Z101" s="151"/>
      <c r="AA101" s="151"/>
      <c r="AB101" s="151"/>
      <c r="AC101" s="151"/>
      <c r="AD101" s="151"/>
      <c r="AE101" s="151"/>
      <c r="AF101" s="151"/>
      <c r="AG101" s="151"/>
      <c r="AH101" s="151"/>
      <c r="AI101" s="151"/>
      <c r="AJ101" s="151"/>
      <c r="AK101" s="151"/>
      <c r="AL101" s="151"/>
      <c r="AM101" s="151"/>
      <c r="AN101" s="151"/>
      <c r="AO101" s="151"/>
      <c r="AP101" s="151"/>
      <c r="AQ101" s="151"/>
      <c r="AR101" s="151"/>
      <c r="AS101" s="151"/>
      <c r="AT101" s="151"/>
      <c r="AU101" s="151"/>
      <c r="AV101" s="151"/>
      <c r="AW101" s="151"/>
      <c r="AX101" s="151"/>
      <c r="AY101" s="151"/>
      <c r="AZ101" s="151"/>
      <c r="BA101" s="151"/>
      <c r="BB101" s="151"/>
      <c r="BC101" s="151"/>
      <c r="BD101" s="151"/>
      <c r="BE101" s="151"/>
      <c r="BF101" s="151"/>
      <c r="BG101" s="151"/>
      <c r="BH101" s="151"/>
      <c r="BI101" s="151"/>
      <c r="BJ101" s="151"/>
      <c r="BK101" s="151"/>
      <c r="BL101" s="151"/>
      <c r="BM101" s="151"/>
      <c r="BN101" s="151"/>
      <c r="BO101" s="151"/>
      <c r="BP101" s="151"/>
      <c r="BQ101" s="151"/>
      <c r="BR101" s="151"/>
      <c r="BS101" s="151"/>
      <c r="BT101" s="151"/>
      <c r="BU101" s="151"/>
      <c r="BV101" s="151"/>
      <c r="BW101" s="151"/>
      <c r="BX101" s="151"/>
    </row>
    <row r="102" spans="1:76" s="160" customFormat="1" x14ac:dyDescent="0.25">
      <c r="A102" s="151"/>
      <c r="B102" s="157" t="s">
        <v>1544</v>
      </c>
      <c r="C102" s="159">
        <f>SUM(C97:C101)</f>
        <v>1</v>
      </c>
      <c r="D102" s="159">
        <f t="shared" ref="D102" si="12">SUM(D97:D101)</f>
        <v>1</v>
      </c>
      <c r="E102" s="159">
        <f t="shared" ref="E102" si="13">SUM(E97:E101)</f>
        <v>1</v>
      </c>
      <c r="F102" s="159">
        <f t="shared" ref="F102" si="14">SUM(F97:F101)</f>
        <v>1</v>
      </c>
      <c r="G102" s="159">
        <f t="shared" ref="G102" si="15">SUM(G97:G101)</f>
        <v>1</v>
      </c>
      <c r="H102" s="159">
        <f t="shared" ref="H102" si="16">SUM(H97:H101)</f>
        <v>1</v>
      </c>
      <c r="I102" s="159">
        <f t="shared" ref="I102" si="17">SUM(I97:I101)</f>
        <v>0.99999999999999989</v>
      </c>
      <c r="J102" s="159">
        <f t="shared" ref="J102" si="18">SUM(J97:J101)</f>
        <v>1</v>
      </c>
      <c r="K102" s="159">
        <f t="shared" ref="K102" si="19">SUM(K97:K101)</f>
        <v>1</v>
      </c>
      <c r="L102" s="159">
        <f t="shared" ref="L102" si="20">SUM(L97:L101)</f>
        <v>0.99999999999999989</v>
      </c>
      <c r="M102" s="159">
        <f t="shared" ref="M102" si="21">SUM(M97:M101)</f>
        <v>1</v>
      </c>
      <c r="N102" s="159">
        <f t="shared" ref="N102" si="22">SUM(N97:N101)</f>
        <v>1</v>
      </c>
      <c r="O102" s="151"/>
      <c r="P102" s="151"/>
      <c r="Q102" s="151"/>
      <c r="R102" s="151"/>
      <c r="S102" s="151"/>
      <c r="T102" s="151"/>
      <c r="U102" s="151"/>
      <c r="V102" s="151"/>
      <c r="W102" s="151"/>
      <c r="X102" s="151"/>
      <c r="Y102" s="151"/>
      <c r="Z102" s="151"/>
      <c r="AA102" s="151"/>
      <c r="AB102" s="151"/>
      <c r="AC102" s="151"/>
      <c r="AD102" s="151"/>
      <c r="AE102" s="151"/>
      <c r="AF102" s="151"/>
      <c r="AG102" s="151"/>
      <c r="AH102" s="151"/>
      <c r="AI102" s="151"/>
      <c r="AJ102" s="151"/>
      <c r="AK102" s="151"/>
      <c r="AL102" s="151"/>
      <c r="AM102" s="151"/>
      <c r="AN102" s="151"/>
      <c r="AO102" s="151"/>
      <c r="AP102" s="151"/>
      <c r="AQ102" s="151"/>
      <c r="AR102" s="151"/>
      <c r="AS102" s="151"/>
      <c r="AT102" s="151"/>
      <c r="AU102" s="151"/>
      <c r="AV102" s="151"/>
      <c r="AW102" s="151"/>
      <c r="AX102" s="151"/>
      <c r="AY102" s="151"/>
      <c r="AZ102" s="151"/>
      <c r="BA102" s="151"/>
      <c r="BB102" s="151"/>
      <c r="BC102" s="151"/>
      <c r="BD102" s="151"/>
      <c r="BE102" s="151"/>
      <c r="BF102" s="151"/>
      <c r="BG102" s="151"/>
      <c r="BH102" s="151"/>
      <c r="BI102" s="151"/>
      <c r="BJ102" s="151"/>
      <c r="BK102" s="151"/>
      <c r="BL102" s="151"/>
      <c r="BM102" s="151"/>
      <c r="BN102" s="151"/>
      <c r="BO102" s="151"/>
      <c r="BP102" s="151"/>
      <c r="BQ102" s="151"/>
      <c r="BR102" s="151"/>
      <c r="BS102" s="151"/>
      <c r="BT102" s="151"/>
      <c r="BU102" s="151"/>
      <c r="BV102" s="151"/>
      <c r="BW102" s="151"/>
      <c r="BX102" s="151"/>
    </row>
    <row r="103" spans="1:76" s="160" customFormat="1" x14ac:dyDescent="0.25">
      <c r="A103" s="151"/>
      <c r="B103" s="151"/>
      <c r="C103" s="151"/>
      <c r="D103" s="151"/>
      <c r="E103" s="151"/>
      <c r="F103" s="151"/>
      <c r="G103" s="151"/>
      <c r="H103" s="151"/>
      <c r="I103" s="151"/>
      <c r="J103" s="151"/>
      <c r="K103" s="151"/>
      <c r="L103" s="151"/>
      <c r="M103" s="151"/>
      <c r="N103" s="151"/>
      <c r="O103" s="151"/>
      <c r="P103" s="151"/>
      <c r="Q103" s="151"/>
      <c r="R103" s="151"/>
      <c r="S103" s="151"/>
      <c r="T103" s="151"/>
      <c r="U103" s="151"/>
      <c r="V103" s="151"/>
      <c r="W103" s="151"/>
      <c r="X103" s="151"/>
      <c r="Y103" s="151"/>
      <c r="Z103" s="151"/>
      <c r="AA103" s="151"/>
      <c r="AB103" s="151"/>
      <c r="AC103" s="151"/>
      <c r="AD103" s="151"/>
      <c r="AE103" s="151"/>
      <c r="AF103" s="151"/>
      <c r="AG103" s="151"/>
      <c r="AH103" s="151"/>
      <c r="AI103" s="151"/>
      <c r="AJ103" s="151"/>
      <c r="AK103" s="151"/>
      <c r="AL103" s="151"/>
      <c r="AM103" s="151"/>
      <c r="AN103" s="151"/>
      <c r="AO103" s="151"/>
      <c r="AP103" s="151"/>
      <c r="AQ103" s="151"/>
      <c r="AR103" s="151"/>
      <c r="AS103" s="151"/>
      <c r="AT103" s="151"/>
      <c r="AU103" s="151"/>
      <c r="AV103" s="151"/>
      <c r="AW103" s="151"/>
      <c r="AX103" s="151"/>
      <c r="AY103" s="151"/>
      <c r="AZ103" s="151"/>
      <c r="BA103" s="151"/>
      <c r="BB103" s="151"/>
      <c r="BC103" s="151"/>
      <c r="BD103" s="151"/>
      <c r="BE103" s="151"/>
      <c r="BF103" s="151"/>
      <c r="BG103" s="151"/>
      <c r="BH103" s="151"/>
      <c r="BI103" s="151"/>
      <c r="BJ103" s="151"/>
      <c r="BK103" s="151"/>
      <c r="BL103" s="151"/>
      <c r="BM103" s="151"/>
      <c r="BN103" s="151"/>
      <c r="BO103" s="151"/>
      <c r="BP103" s="151"/>
      <c r="BQ103" s="151"/>
      <c r="BR103" s="151"/>
      <c r="BS103" s="151"/>
      <c r="BT103" s="151"/>
      <c r="BU103" s="151"/>
      <c r="BV103" s="151"/>
      <c r="BW103" s="151"/>
    </row>
    <row r="104" spans="1:76" s="160" customFormat="1" x14ac:dyDescent="0.25">
      <c r="A104" s="151"/>
      <c r="B104" s="151"/>
      <c r="C104" s="151"/>
      <c r="D104" s="151"/>
      <c r="E104" s="151"/>
      <c r="F104" s="151"/>
      <c r="G104" s="151"/>
      <c r="H104" s="151"/>
      <c r="I104" s="151"/>
      <c r="J104" s="151"/>
      <c r="K104" s="151"/>
      <c r="L104" s="151"/>
      <c r="M104" s="151"/>
      <c r="N104" s="151"/>
      <c r="O104" s="151"/>
      <c r="P104" s="151"/>
      <c r="Q104" s="151"/>
      <c r="R104" s="151"/>
      <c r="S104" s="151"/>
      <c r="T104" s="151"/>
      <c r="U104" s="151"/>
      <c r="V104" s="151"/>
      <c r="W104" s="151"/>
      <c r="X104" s="151"/>
      <c r="Y104" s="151"/>
      <c r="Z104" s="151"/>
      <c r="AA104" s="151"/>
      <c r="AB104" s="151"/>
      <c r="AC104" s="151"/>
      <c r="AD104" s="151"/>
      <c r="AE104" s="151"/>
      <c r="AF104" s="151"/>
      <c r="AG104" s="151"/>
      <c r="AH104" s="151"/>
      <c r="AI104" s="151"/>
      <c r="AJ104" s="151"/>
      <c r="AK104" s="151"/>
      <c r="AL104" s="151"/>
      <c r="AM104" s="151"/>
      <c r="AN104" s="151"/>
      <c r="AO104" s="151"/>
      <c r="AP104" s="151"/>
      <c r="AQ104" s="151"/>
      <c r="AR104" s="151"/>
      <c r="AS104" s="151"/>
      <c r="AT104" s="151"/>
      <c r="AU104" s="151"/>
      <c r="AV104" s="151"/>
      <c r="AW104" s="151"/>
      <c r="AX104" s="151"/>
      <c r="AY104" s="151"/>
      <c r="AZ104" s="151"/>
      <c r="BA104" s="151"/>
      <c r="BB104" s="151"/>
      <c r="BC104" s="151"/>
      <c r="BD104" s="151"/>
      <c r="BE104" s="151"/>
      <c r="BF104" s="151"/>
      <c r="BG104" s="151"/>
      <c r="BH104" s="151"/>
      <c r="BI104" s="151"/>
      <c r="BJ104" s="151"/>
      <c r="BK104" s="151"/>
      <c r="BL104" s="151"/>
      <c r="BM104" s="151"/>
      <c r="BN104" s="151"/>
      <c r="BO104" s="151"/>
      <c r="BP104" s="151"/>
      <c r="BQ104" s="151"/>
      <c r="BR104" s="151"/>
      <c r="BS104" s="151"/>
      <c r="BT104" s="151"/>
      <c r="BU104" s="151"/>
      <c r="BV104" s="151"/>
      <c r="BW104" s="151"/>
    </row>
    <row r="105" spans="1:76" s="160" customFormat="1" x14ac:dyDescent="0.25">
      <c r="A105" s="151"/>
      <c r="B105" s="151"/>
      <c r="C105" s="151"/>
      <c r="D105" s="151"/>
      <c r="E105" s="151"/>
      <c r="F105" s="151"/>
      <c r="G105" s="151"/>
      <c r="H105" s="151"/>
      <c r="I105" s="151"/>
      <c r="J105" s="151"/>
      <c r="K105" s="151"/>
      <c r="L105" s="151"/>
      <c r="M105" s="151"/>
      <c r="N105" s="151"/>
      <c r="O105" s="151"/>
      <c r="P105" s="151"/>
      <c r="Q105" s="151"/>
      <c r="R105" s="151"/>
      <c r="S105" s="151"/>
      <c r="T105" s="151"/>
      <c r="U105" s="151"/>
      <c r="V105" s="151"/>
      <c r="W105" s="151"/>
      <c r="X105" s="151"/>
      <c r="Y105" s="151"/>
      <c r="Z105" s="151"/>
      <c r="AA105" s="151"/>
      <c r="AB105" s="151"/>
      <c r="AC105" s="151"/>
      <c r="AD105" s="151"/>
      <c r="AE105" s="151"/>
      <c r="AF105" s="151"/>
      <c r="AG105" s="151"/>
      <c r="AH105" s="151"/>
      <c r="AI105" s="151"/>
      <c r="AJ105" s="151"/>
      <c r="AK105" s="151"/>
      <c r="AL105" s="151"/>
      <c r="AM105" s="151"/>
      <c r="AN105" s="151"/>
      <c r="AO105" s="151"/>
      <c r="AP105" s="151"/>
      <c r="AQ105" s="151"/>
      <c r="AR105" s="151"/>
      <c r="AS105" s="151"/>
      <c r="AT105" s="151"/>
      <c r="AU105" s="151"/>
      <c r="AV105" s="151"/>
      <c r="AW105" s="151"/>
      <c r="AX105" s="151"/>
      <c r="AY105" s="151"/>
      <c r="AZ105" s="151"/>
      <c r="BA105" s="151"/>
      <c r="BB105" s="151"/>
      <c r="BC105" s="151"/>
      <c r="BD105" s="151"/>
      <c r="BE105" s="151"/>
      <c r="BF105" s="151"/>
      <c r="BG105" s="151"/>
      <c r="BH105" s="151"/>
      <c r="BI105" s="151"/>
      <c r="BJ105" s="151"/>
      <c r="BK105" s="151"/>
      <c r="BL105" s="151"/>
      <c r="BM105" s="151"/>
      <c r="BN105" s="151"/>
      <c r="BO105" s="151"/>
      <c r="BP105" s="151"/>
      <c r="BQ105" s="151"/>
      <c r="BR105" s="151"/>
      <c r="BS105" s="151"/>
      <c r="BT105" s="151"/>
      <c r="BU105" s="151"/>
      <c r="BV105" s="151"/>
      <c r="BW105" s="151"/>
    </row>
    <row r="106" spans="1:76" s="160" customFormat="1" x14ac:dyDescent="0.25">
      <c r="A106" s="151"/>
      <c r="B106" s="151"/>
      <c r="C106" s="151"/>
      <c r="D106" s="151"/>
      <c r="E106" s="151"/>
      <c r="F106" s="151"/>
      <c r="G106" s="151"/>
      <c r="H106" s="151"/>
      <c r="I106" s="151"/>
      <c r="J106" s="151"/>
      <c r="K106" s="151"/>
      <c r="L106" s="151"/>
      <c r="M106" s="151"/>
      <c r="N106" s="151"/>
      <c r="O106" s="151"/>
      <c r="P106" s="151"/>
      <c r="Q106" s="151"/>
      <c r="R106" s="151"/>
      <c r="S106" s="151"/>
      <c r="T106" s="151"/>
      <c r="U106" s="151"/>
      <c r="V106" s="151"/>
      <c r="W106" s="151"/>
      <c r="X106" s="151"/>
      <c r="Y106" s="151"/>
      <c r="Z106" s="151"/>
      <c r="AA106" s="151"/>
      <c r="AB106" s="151"/>
      <c r="AC106" s="151"/>
      <c r="AD106" s="151"/>
      <c r="AE106" s="151"/>
      <c r="AF106" s="151"/>
      <c r="AG106" s="151"/>
      <c r="AH106" s="151"/>
      <c r="AI106" s="151"/>
      <c r="AJ106" s="151"/>
      <c r="AK106" s="151"/>
      <c r="AL106" s="151"/>
      <c r="AM106" s="151"/>
      <c r="AN106" s="151"/>
      <c r="AO106" s="151"/>
      <c r="AP106" s="151"/>
      <c r="AQ106" s="151"/>
      <c r="AR106" s="151"/>
      <c r="AS106" s="151"/>
      <c r="AT106" s="151"/>
      <c r="AU106" s="151"/>
      <c r="AV106" s="151"/>
      <c r="AW106" s="151"/>
      <c r="AX106" s="151"/>
      <c r="AY106" s="151"/>
      <c r="AZ106" s="151"/>
      <c r="BA106" s="151"/>
      <c r="BB106" s="151"/>
      <c r="BC106" s="151"/>
      <c r="BD106" s="151"/>
      <c r="BE106" s="151"/>
      <c r="BF106" s="151"/>
      <c r="BG106" s="151"/>
      <c r="BH106" s="151"/>
      <c r="BI106" s="151"/>
      <c r="BJ106" s="151"/>
      <c r="BK106" s="151"/>
      <c r="BL106" s="151"/>
      <c r="BM106" s="151"/>
      <c r="BN106" s="151"/>
      <c r="BO106" s="151"/>
      <c r="BP106" s="151"/>
      <c r="BQ106" s="151"/>
      <c r="BR106" s="151"/>
      <c r="BS106" s="151"/>
      <c r="BT106" s="151"/>
      <c r="BU106" s="151"/>
      <c r="BV106" s="151"/>
      <c r="BW106" s="151"/>
    </row>
    <row r="107" spans="1:76" s="160" customFormat="1" x14ac:dyDescent="0.25">
      <c r="A107" s="151"/>
      <c r="B107" s="151"/>
      <c r="C107" s="151"/>
      <c r="D107" s="151"/>
      <c r="E107" s="151"/>
      <c r="F107" s="151"/>
      <c r="G107" s="151"/>
      <c r="H107" s="151"/>
      <c r="I107" s="151"/>
      <c r="J107" s="151"/>
      <c r="K107" s="151"/>
      <c r="L107" s="151"/>
      <c r="M107" s="151"/>
      <c r="N107" s="151"/>
      <c r="O107" s="151"/>
      <c r="P107" s="151"/>
      <c r="Q107" s="151"/>
      <c r="R107" s="151"/>
      <c r="S107" s="151"/>
      <c r="T107" s="151"/>
      <c r="U107" s="151"/>
      <c r="V107" s="151"/>
      <c r="W107" s="151"/>
      <c r="X107" s="151"/>
      <c r="Y107" s="151"/>
      <c r="Z107" s="151"/>
      <c r="AA107" s="151"/>
      <c r="AB107" s="151"/>
      <c r="AC107" s="151"/>
      <c r="AD107" s="151"/>
      <c r="AE107" s="151"/>
      <c r="AF107" s="151"/>
      <c r="AG107" s="151"/>
      <c r="AH107" s="151"/>
      <c r="AI107" s="151"/>
      <c r="AJ107" s="151"/>
      <c r="AK107" s="151"/>
      <c r="AL107" s="151"/>
      <c r="AM107" s="151"/>
      <c r="AN107" s="151"/>
      <c r="AO107" s="151"/>
      <c r="AP107" s="151"/>
      <c r="AQ107" s="151"/>
      <c r="AR107" s="151"/>
      <c r="AS107" s="151"/>
      <c r="AT107" s="151"/>
      <c r="AU107" s="151"/>
      <c r="AV107" s="151"/>
      <c r="AW107" s="151"/>
      <c r="AX107" s="151"/>
      <c r="AY107" s="151"/>
      <c r="AZ107" s="151"/>
      <c r="BA107" s="151"/>
      <c r="BB107" s="151"/>
      <c r="BC107" s="151"/>
      <c r="BD107" s="151"/>
      <c r="BE107" s="151"/>
      <c r="BF107" s="151"/>
      <c r="BG107" s="151"/>
      <c r="BH107" s="151"/>
      <c r="BI107" s="151"/>
      <c r="BJ107" s="151"/>
      <c r="BK107" s="151"/>
      <c r="BL107" s="151"/>
      <c r="BM107" s="151"/>
      <c r="BN107" s="151"/>
      <c r="BO107" s="151"/>
      <c r="BP107" s="151"/>
      <c r="BQ107" s="151"/>
      <c r="BR107" s="151"/>
      <c r="BS107" s="151"/>
      <c r="BT107" s="151"/>
      <c r="BU107" s="151"/>
      <c r="BV107" s="151"/>
      <c r="BW107" s="151"/>
    </row>
    <row r="108" spans="1:76" s="160" customFormat="1" x14ac:dyDescent="0.25">
      <c r="A108" s="151"/>
      <c r="B108" s="151"/>
      <c r="C108" s="151"/>
      <c r="D108" s="151"/>
      <c r="E108" s="151"/>
      <c r="F108" s="151"/>
      <c r="G108" s="151"/>
      <c r="H108" s="151"/>
      <c r="I108" s="151"/>
      <c r="J108" s="151"/>
      <c r="K108" s="151"/>
      <c r="L108" s="151"/>
      <c r="M108" s="151"/>
      <c r="N108" s="151"/>
      <c r="O108" s="151"/>
      <c r="P108" s="151"/>
      <c r="Q108" s="151"/>
      <c r="R108" s="151"/>
      <c r="S108" s="151"/>
      <c r="T108" s="151"/>
      <c r="U108" s="151"/>
      <c r="V108" s="151"/>
      <c r="W108" s="151"/>
      <c r="X108" s="151"/>
      <c r="Y108" s="151"/>
      <c r="Z108" s="151"/>
      <c r="AA108" s="151"/>
      <c r="AB108" s="151"/>
      <c r="AC108" s="151"/>
      <c r="AD108" s="151"/>
      <c r="AE108" s="151"/>
      <c r="AF108" s="151"/>
      <c r="AG108" s="151"/>
      <c r="AH108" s="151"/>
      <c r="AI108" s="151"/>
      <c r="AJ108" s="151"/>
      <c r="AK108" s="151"/>
      <c r="AL108" s="151"/>
      <c r="AM108" s="151"/>
      <c r="AN108" s="151"/>
      <c r="AO108" s="151"/>
      <c r="AP108" s="151"/>
      <c r="AQ108" s="151"/>
      <c r="AR108" s="151"/>
      <c r="AS108" s="151"/>
      <c r="AT108" s="151"/>
      <c r="AU108" s="151"/>
      <c r="AV108" s="151"/>
      <c r="AW108" s="151"/>
      <c r="AX108" s="151"/>
      <c r="AY108" s="151"/>
      <c r="AZ108" s="151"/>
      <c r="BA108" s="151"/>
      <c r="BB108" s="151"/>
      <c r="BC108" s="151"/>
      <c r="BD108" s="151"/>
      <c r="BE108" s="151"/>
      <c r="BF108" s="151"/>
      <c r="BG108" s="151"/>
      <c r="BH108" s="151"/>
      <c r="BI108" s="151"/>
      <c r="BJ108" s="151"/>
      <c r="BK108" s="151"/>
      <c r="BL108" s="151"/>
      <c r="BM108" s="151"/>
      <c r="BN108" s="151"/>
      <c r="BO108" s="151"/>
      <c r="BP108" s="151"/>
      <c r="BQ108" s="151"/>
      <c r="BR108" s="151"/>
      <c r="BS108" s="151"/>
      <c r="BT108" s="151"/>
      <c r="BU108" s="151"/>
      <c r="BV108" s="151"/>
      <c r="BW108" s="151"/>
    </row>
    <row r="109" spans="1:76" s="160" customFormat="1" x14ac:dyDescent="0.25">
      <c r="A109" s="151"/>
      <c r="B109" s="151"/>
      <c r="C109" s="151"/>
      <c r="D109" s="151"/>
      <c r="E109" s="151"/>
      <c r="F109" s="151"/>
      <c r="G109" s="151"/>
      <c r="H109" s="151"/>
      <c r="I109" s="151"/>
      <c r="J109" s="151"/>
      <c r="K109" s="151"/>
      <c r="L109" s="151"/>
      <c r="M109" s="151"/>
      <c r="N109" s="151"/>
      <c r="O109" s="151"/>
      <c r="P109" s="151"/>
      <c r="Q109" s="151"/>
      <c r="R109" s="151"/>
      <c r="S109" s="151"/>
      <c r="T109" s="151"/>
      <c r="U109" s="151"/>
      <c r="V109" s="151"/>
      <c r="W109" s="151"/>
      <c r="X109" s="151"/>
      <c r="Y109" s="151"/>
      <c r="Z109" s="151"/>
      <c r="AA109" s="151"/>
      <c r="AB109" s="151"/>
      <c r="AC109" s="151"/>
      <c r="AD109" s="151"/>
      <c r="AE109" s="151"/>
      <c r="AF109" s="151"/>
      <c r="AG109" s="151"/>
      <c r="AH109" s="151"/>
      <c r="AI109" s="151"/>
      <c r="AJ109" s="151"/>
      <c r="AK109" s="151"/>
      <c r="AL109" s="151"/>
      <c r="AM109" s="151"/>
      <c r="AN109" s="151"/>
      <c r="AO109" s="151"/>
      <c r="AP109" s="151"/>
      <c r="AQ109" s="151"/>
      <c r="AR109" s="151"/>
      <c r="AS109" s="151"/>
      <c r="AT109" s="151"/>
      <c r="AU109" s="151"/>
      <c r="AV109" s="151"/>
      <c r="AW109" s="151"/>
      <c r="AX109" s="151"/>
      <c r="AY109" s="151"/>
      <c r="AZ109" s="151"/>
      <c r="BA109" s="151"/>
      <c r="BB109" s="151"/>
      <c r="BC109" s="151"/>
      <c r="BD109" s="151"/>
      <c r="BE109" s="151"/>
      <c r="BF109" s="151"/>
      <c r="BG109" s="151"/>
      <c r="BH109" s="151"/>
      <c r="BI109" s="151"/>
      <c r="BJ109" s="151"/>
      <c r="BK109" s="151"/>
      <c r="BL109" s="151"/>
      <c r="BM109" s="151"/>
      <c r="BN109" s="151"/>
      <c r="BO109" s="151"/>
      <c r="BP109" s="151"/>
      <c r="BQ109" s="151"/>
      <c r="BR109" s="151"/>
      <c r="BS109" s="151"/>
      <c r="BT109" s="151"/>
      <c r="BU109" s="151"/>
      <c r="BV109" s="151"/>
      <c r="BW109" s="151"/>
    </row>
    <row r="110" spans="1:76" s="154" customFormat="1" x14ac:dyDescent="0.25"/>
    <row r="111" spans="1:76" s="154" customFormat="1" x14ac:dyDescent="0.25"/>
    <row r="112" spans="1:76" s="154" customFormat="1" x14ac:dyDescent="0.25">
      <c r="B112" s="155" t="s">
        <v>1555</v>
      </c>
    </row>
    <row r="113" spans="2:6" s="154" customFormat="1" x14ac:dyDescent="0.25">
      <c r="C113" s="232" t="s">
        <v>1541</v>
      </c>
      <c r="D113" s="233"/>
      <c r="E113" s="233"/>
      <c r="F113" s="233"/>
    </row>
    <row r="114" spans="2:6" s="154" customFormat="1" ht="41.1" customHeight="1" x14ac:dyDescent="0.25">
      <c r="B114" s="34" t="s">
        <v>1540</v>
      </c>
      <c r="C114" s="65" t="s">
        <v>33</v>
      </c>
      <c r="D114" s="65" t="s">
        <v>22</v>
      </c>
      <c r="E114" s="65" t="s">
        <v>62</v>
      </c>
      <c r="F114" s="65" t="s">
        <v>57</v>
      </c>
    </row>
    <row r="115" spans="2:6" s="154" customFormat="1" x14ac:dyDescent="0.25">
      <c r="B115" s="161" t="s">
        <v>405</v>
      </c>
      <c r="C115" s="149">
        <f>COUNTIFS('CCRA3 Actions for NAP3'!$J:$J,Graphs!$B115,'CCRA3 Actions for NAP3'!$Y:$Y,Graphs!C$114)</f>
        <v>3</v>
      </c>
      <c r="D115" s="149">
        <f>COUNTIFS('CCRA3 Actions for NAP3'!$J:$J,Graphs!$B115,'CCRA3 Actions for NAP3'!$Y:$Y,Graphs!D$114)</f>
        <v>12</v>
      </c>
      <c r="E115" s="149">
        <f>COUNTIFS('CCRA3 Actions for NAP3'!$J:$J,Graphs!$B115,'CCRA3 Actions for NAP3'!$Y:$Y,Graphs!E$114)</f>
        <v>0</v>
      </c>
      <c r="F115" s="149">
        <f>COUNTIFS('CCRA3 Actions for NAP3'!$J:$J,Graphs!$B115,'CCRA3 Actions for NAP3'!$Y:$Y,Graphs!F$114)</f>
        <v>0</v>
      </c>
    </row>
    <row r="116" spans="2:6" s="154" customFormat="1" x14ac:dyDescent="0.25">
      <c r="B116" s="161" t="s">
        <v>463</v>
      </c>
      <c r="C116" s="149">
        <f>COUNTIFS('CCRA3 Actions for NAP3'!$J:$J,Graphs!$B116,'CCRA3 Actions for NAP3'!$Y:$Y,Graphs!C$114)</f>
        <v>15</v>
      </c>
      <c r="D116" s="149">
        <f>COUNTIFS('CCRA3 Actions for NAP3'!$J:$J,Graphs!$B116,'CCRA3 Actions for NAP3'!$Y:$Y,Graphs!D$114)</f>
        <v>51</v>
      </c>
      <c r="E116" s="149">
        <f>COUNTIFS('CCRA3 Actions for NAP3'!$J:$J,Graphs!$B116,'CCRA3 Actions for NAP3'!$Y:$Y,Graphs!E$114)</f>
        <v>2</v>
      </c>
      <c r="F116" s="149">
        <f>COUNTIFS('CCRA3 Actions for NAP3'!$J:$J,Graphs!$B116,'CCRA3 Actions for NAP3'!$Y:$Y,Graphs!F$114)</f>
        <v>0</v>
      </c>
    </row>
    <row r="117" spans="2:6" s="154" customFormat="1" x14ac:dyDescent="0.25">
      <c r="B117" s="161" t="s">
        <v>398</v>
      </c>
      <c r="C117" s="149">
        <f>COUNTIFS('CCRA3 Actions for NAP3'!$J:$J,Graphs!$B117,'CCRA3 Actions for NAP3'!$Y:$Y,Graphs!C$114)</f>
        <v>29</v>
      </c>
      <c r="D117" s="149">
        <f>COUNTIFS('CCRA3 Actions for NAP3'!$J:$J,Graphs!$B117,'CCRA3 Actions for NAP3'!$Y:$Y,Graphs!D$114)</f>
        <v>53</v>
      </c>
      <c r="E117" s="149">
        <f>COUNTIFS('CCRA3 Actions for NAP3'!$J:$J,Graphs!$B117,'CCRA3 Actions for NAP3'!$Y:$Y,Graphs!E$114)</f>
        <v>4</v>
      </c>
      <c r="F117" s="149">
        <f>COUNTIFS('CCRA3 Actions for NAP3'!$J:$J,Graphs!$B117,'CCRA3 Actions for NAP3'!$Y:$Y,Graphs!F$114)</f>
        <v>4</v>
      </c>
    </row>
    <row r="118" spans="2:6" s="154" customFormat="1" x14ac:dyDescent="0.25">
      <c r="B118" s="161" t="s">
        <v>411</v>
      </c>
      <c r="C118" s="149">
        <f>COUNTIFS('CCRA3 Actions for NAP3'!$J:$J,Graphs!$B118,'CCRA3 Actions for NAP3'!$Y:$Y,Graphs!C$114)</f>
        <v>10</v>
      </c>
      <c r="D118" s="149">
        <f>COUNTIFS('CCRA3 Actions for NAP3'!$J:$J,Graphs!$B118,'CCRA3 Actions for NAP3'!$Y:$Y,Graphs!D$114)</f>
        <v>21</v>
      </c>
      <c r="E118" s="149">
        <f>COUNTIFS('CCRA3 Actions for NAP3'!$J:$J,Graphs!$B118,'CCRA3 Actions for NAP3'!$Y:$Y,Graphs!E$114)</f>
        <v>3</v>
      </c>
      <c r="F118" s="149">
        <f>COUNTIFS('CCRA3 Actions for NAP3'!$J:$J,Graphs!$B118,'CCRA3 Actions for NAP3'!$Y:$Y,Graphs!F$114)</f>
        <v>1</v>
      </c>
    </row>
    <row r="119" spans="2:6" s="154" customFormat="1" x14ac:dyDescent="0.25">
      <c r="B119" s="161" t="s">
        <v>417</v>
      </c>
      <c r="C119" s="149">
        <f>COUNTIFS('CCRA3 Actions for NAP3'!$J:$J,Graphs!$B119,'CCRA3 Actions for NAP3'!$Y:$Y,Graphs!C$114)</f>
        <v>12</v>
      </c>
      <c r="D119" s="149">
        <f>COUNTIFS('CCRA3 Actions for NAP3'!$J:$J,Graphs!$B119,'CCRA3 Actions for NAP3'!$Y:$Y,Graphs!D$114)</f>
        <v>28</v>
      </c>
      <c r="E119" s="149">
        <f>COUNTIFS('CCRA3 Actions for NAP3'!$J:$J,Graphs!$B119,'CCRA3 Actions for NAP3'!$Y:$Y,Graphs!E$114)</f>
        <v>2</v>
      </c>
      <c r="F119" s="149">
        <f>COUNTIFS('CCRA3 Actions for NAP3'!$J:$J,Graphs!$B119,'CCRA3 Actions for NAP3'!$Y:$Y,Graphs!F$114)</f>
        <v>1</v>
      </c>
    </row>
    <row r="120" spans="2:6" s="154" customFormat="1" x14ac:dyDescent="0.25">
      <c r="B120" s="157" t="s">
        <v>1544</v>
      </c>
      <c r="C120" s="157">
        <f>SUM(C115:C119)</f>
        <v>69</v>
      </c>
      <c r="D120" s="157">
        <f t="shared" ref="D120:E120" si="23">SUM(D115:D119)</f>
        <v>165</v>
      </c>
      <c r="E120" s="157">
        <f t="shared" si="23"/>
        <v>11</v>
      </c>
      <c r="F120" s="157">
        <f>SUM(F115:F119)</f>
        <v>6</v>
      </c>
    </row>
    <row r="121" spans="2:6" s="154" customFormat="1" x14ac:dyDescent="0.25"/>
    <row r="122" spans="2:6" s="154" customFormat="1" x14ac:dyDescent="0.25"/>
    <row r="123" spans="2:6" s="154" customFormat="1" x14ac:dyDescent="0.25">
      <c r="C123" s="232" t="s">
        <v>1541</v>
      </c>
      <c r="D123" s="233"/>
      <c r="E123" s="233"/>
      <c r="F123" s="233"/>
    </row>
    <row r="124" spans="2:6" s="154" customFormat="1" ht="45" x14ac:dyDescent="0.25">
      <c r="B124" s="34" t="s">
        <v>1540</v>
      </c>
      <c r="C124" s="65" t="s">
        <v>33</v>
      </c>
      <c r="D124" s="65" t="s">
        <v>22</v>
      </c>
      <c r="E124" s="65" t="s">
        <v>62</v>
      </c>
      <c r="F124" s="65" t="s">
        <v>57</v>
      </c>
    </row>
    <row r="125" spans="2:6" s="154" customFormat="1" x14ac:dyDescent="0.25">
      <c r="B125" s="161" t="s">
        <v>405</v>
      </c>
      <c r="C125" s="158">
        <f>C115/C$120</f>
        <v>4.3478260869565216E-2</v>
      </c>
      <c r="D125" s="158">
        <f t="shared" ref="D125:F125" si="24">D115/D$120</f>
        <v>7.2727272727272724E-2</v>
      </c>
      <c r="E125" s="158">
        <f t="shared" si="24"/>
        <v>0</v>
      </c>
      <c r="F125" s="158">
        <f t="shared" si="24"/>
        <v>0</v>
      </c>
    </row>
    <row r="126" spans="2:6" s="154" customFormat="1" x14ac:dyDescent="0.25">
      <c r="B126" s="161" t="s">
        <v>463</v>
      </c>
      <c r="C126" s="158">
        <f t="shared" ref="C126:F126" si="25">C116/C$120</f>
        <v>0.21739130434782608</v>
      </c>
      <c r="D126" s="158">
        <f t="shared" si="25"/>
        <v>0.30909090909090908</v>
      </c>
      <c r="E126" s="158">
        <f t="shared" si="25"/>
        <v>0.18181818181818182</v>
      </c>
      <c r="F126" s="158">
        <f t="shared" si="25"/>
        <v>0</v>
      </c>
    </row>
    <row r="127" spans="2:6" s="154" customFormat="1" x14ac:dyDescent="0.25">
      <c r="B127" s="161" t="s">
        <v>398</v>
      </c>
      <c r="C127" s="158">
        <f t="shared" ref="C127:E127" si="26">C117/C$120</f>
        <v>0.42028985507246375</v>
      </c>
      <c r="D127" s="158">
        <f t="shared" si="26"/>
        <v>0.32121212121212123</v>
      </c>
      <c r="E127" s="158">
        <f t="shared" si="26"/>
        <v>0.36363636363636365</v>
      </c>
      <c r="F127" s="158">
        <f>F117/F$120</f>
        <v>0.66666666666666663</v>
      </c>
    </row>
    <row r="128" spans="2:6" s="154" customFormat="1" x14ac:dyDescent="0.25">
      <c r="B128" s="161" t="s">
        <v>411</v>
      </c>
      <c r="C128" s="158">
        <f t="shared" ref="C128:F128" si="27">C118/C$120</f>
        <v>0.14492753623188406</v>
      </c>
      <c r="D128" s="158">
        <f t="shared" si="27"/>
        <v>0.12727272727272726</v>
      </c>
      <c r="E128" s="158">
        <f t="shared" si="27"/>
        <v>0.27272727272727271</v>
      </c>
      <c r="F128" s="158">
        <f t="shared" si="27"/>
        <v>0.16666666666666666</v>
      </c>
    </row>
    <row r="129" spans="2:7" s="154" customFormat="1" x14ac:dyDescent="0.25">
      <c r="B129" s="161" t="s">
        <v>417</v>
      </c>
      <c r="C129" s="158">
        <f t="shared" ref="C129:F129" si="28">C119/C$120</f>
        <v>0.17391304347826086</v>
      </c>
      <c r="D129" s="158">
        <f t="shared" si="28"/>
        <v>0.16969696969696971</v>
      </c>
      <c r="E129" s="158">
        <f t="shared" si="28"/>
        <v>0.18181818181818182</v>
      </c>
      <c r="F129" s="158">
        <f t="shared" si="28"/>
        <v>0.16666666666666666</v>
      </c>
    </row>
    <row r="130" spans="2:7" s="154" customFormat="1" x14ac:dyDescent="0.25">
      <c r="B130" s="157" t="s">
        <v>1544</v>
      </c>
      <c r="C130" s="159">
        <f>SUM(C125:C129)</f>
        <v>0.99999999999999989</v>
      </c>
      <c r="D130" s="159">
        <f t="shared" ref="D130" si="29">SUM(D125:D129)</f>
        <v>1</v>
      </c>
      <c r="E130" s="159">
        <f t="shared" ref="E130" si="30">SUM(E125:E129)</f>
        <v>1</v>
      </c>
      <c r="F130" s="159">
        <f t="shared" ref="F130" si="31">SUM(F125:F129)</f>
        <v>0.99999999999999989</v>
      </c>
    </row>
    <row r="131" spans="2:7" s="154" customFormat="1" x14ac:dyDescent="0.25">
      <c r="D131" s="225">
        <f>D125+D126</f>
        <v>0.38181818181818183</v>
      </c>
      <c r="E131" s="225"/>
    </row>
    <row r="132" spans="2:7" s="154" customFormat="1" x14ac:dyDescent="0.25"/>
    <row r="133" spans="2:7" s="154" customFormat="1" x14ac:dyDescent="0.25"/>
    <row r="134" spans="2:7" s="154" customFormat="1" x14ac:dyDescent="0.25"/>
    <row r="135" spans="2:7" s="154" customFormat="1" x14ac:dyDescent="0.25"/>
    <row r="136" spans="2:7" s="154" customFormat="1" x14ac:dyDescent="0.25"/>
    <row r="137" spans="2:7" s="154" customFormat="1" x14ac:dyDescent="0.25"/>
    <row r="138" spans="2:7" s="154" customFormat="1" x14ac:dyDescent="0.25"/>
    <row r="139" spans="2:7" s="154" customFormat="1" x14ac:dyDescent="0.25"/>
    <row r="140" spans="2:7" s="154" customFormat="1" x14ac:dyDescent="0.25"/>
    <row r="141" spans="2:7" s="162" customFormat="1" x14ac:dyDescent="0.25"/>
    <row r="142" spans="2:7" s="162" customFormat="1" x14ac:dyDescent="0.25"/>
    <row r="143" spans="2:7" s="162" customFormat="1" x14ac:dyDescent="0.25">
      <c r="B143" s="163" t="s">
        <v>1556</v>
      </c>
    </row>
    <row r="144" spans="2:7" s="162" customFormat="1" x14ac:dyDescent="0.25">
      <c r="C144" s="229" t="s">
        <v>1541</v>
      </c>
      <c r="D144" s="230"/>
      <c r="E144" s="230"/>
      <c r="F144" s="230"/>
      <c r="G144" s="231"/>
    </row>
    <row r="145" spans="2:7" s="162" customFormat="1" ht="105" x14ac:dyDescent="0.25">
      <c r="B145" s="34" t="s">
        <v>1540</v>
      </c>
      <c r="C145" s="65" t="s">
        <v>396</v>
      </c>
      <c r="D145" s="65" t="s">
        <v>421</v>
      </c>
      <c r="E145" s="65" t="s">
        <v>472</v>
      </c>
      <c r="F145" s="65" t="s">
        <v>33</v>
      </c>
      <c r="G145" s="164" t="s">
        <v>1425</v>
      </c>
    </row>
    <row r="146" spans="2:7" s="162" customFormat="1" x14ac:dyDescent="0.25">
      <c r="B146" s="161" t="s">
        <v>405</v>
      </c>
      <c r="C146" s="165">
        <f>COUNTIFS('CCRA3 Actions for NAP3'!$J:$J,Graphs!$B146,'CCRA3 Actions for NAP3'!$F:$F,Graphs!C$145)</f>
        <v>6</v>
      </c>
      <c r="D146" s="165">
        <f>COUNTIFS('CCRA3 Actions for NAP3'!$J:$J,Graphs!$B146,'CCRA3 Actions for NAP3'!$F:$F,Graphs!D$145)</f>
        <v>2</v>
      </c>
      <c r="E146" s="165">
        <f>COUNTIFS('CCRA3 Actions for NAP3'!$J:$J,Graphs!$B146,'CCRA3 Actions for NAP3'!$F:$F,Graphs!E$145)</f>
        <v>2</v>
      </c>
      <c r="F146" s="165">
        <f>COUNTIFS('CCRA3 Actions for NAP3'!$J:$J,Graphs!$B146,'CCRA3 Actions for NAP3'!$F:$F,Graphs!F$145)</f>
        <v>5</v>
      </c>
      <c r="G146" s="165">
        <f>COUNTIFS('CCRA3 Actions for NAP3'!$J:$J,Graphs!$B146,'CCRA3 Actions for NAP3'!$F:$F,Graphs!G$145)</f>
        <v>0</v>
      </c>
    </row>
    <row r="147" spans="2:7" s="162" customFormat="1" x14ac:dyDescent="0.25">
      <c r="B147" s="161" t="s">
        <v>463</v>
      </c>
      <c r="C147" s="165">
        <f>COUNTIFS('CCRA3 Actions for NAP3'!$J:$J,Graphs!$B147,'CCRA3 Actions for NAP3'!$F:$F,Graphs!C$145)</f>
        <v>24</v>
      </c>
      <c r="D147" s="165">
        <f>COUNTIFS('CCRA3 Actions for NAP3'!$J:$J,Graphs!$B147,'CCRA3 Actions for NAP3'!$F:$F,Graphs!D$145)</f>
        <v>26</v>
      </c>
      <c r="E147" s="165">
        <f>COUNTIFS('CCRA3 Actions for NAP3'!$J:$J,Graphs!$B147,'CCRA3 Actions for NAP3'!$F:$F,Graphs!E$145)</f>
        <v>4</v>
      </c>
      <c r="F147" s="165">
        <f>COUNTIFS('CCRA3 Actions for NAP3'!$J:$J,Graphs!$B147,'CCRA3 Actions for NAP3'!$F:$F,Graphs!F$145)</f>
        <v>14</v>
      </c>
      <c r="G147" s="165">
        <f>COUNTIFS('CCRA3 Actions for NAP3'!$J:$J,Graphs!$B147,'CCRA3 Actions for NAP3'!$F:$F,Graphs!G$145)</f>
        <v>0</v>
      </c>
    </row>
    <row r="148" spans="2:7" s="162" customFormat="1" x14ac:dyDescent="0.25">
      <c r="B148" s="161" t="s">
        <v>398</v>
      </c>
      <c r="C148" s="165">
        <f>COUNTIFS('CCRA3 Actions for NAP3'!$J:$J,Graphs!$B148,'CCRA3 Actions for NAP3'!$F:$F,Graphs!C$145)</f>
        <v>36</v>
      </c>
      <c r="D148" s="165">
        <f>COUNTIFS('CCRA3 Actions for NAP3'!$J:$J,Graphs!$B148,'CCRA3 Actions for NAP3'!$F:$F,Graphs!D$145)</f>
        <v>39</v>
      </c>
      <c r="E148" s="165">
        <f>COUNTIFS('CCRA3 Actions for NAP3'!$J:$J,Graphs!$B148,'CCRA3 Actions for NAP3'!$F:$F,Graphs!E$145)</f>
        <v>3</v>
      </c>
      <c r="F148" s="165">
        <f>COUNTIFS('CCRA3 Actions for NAP3'!$J:$J,Graphs!$B148,'CCRA3 Actions for NAP3'!$F:$F,Graphs!F$145)</f>
        <v>12</v>
      </c>
      <c r="G148" s="165">
        <f>COUNTIFS('CCRA3 Actions for NAP3'!$J:$J,Graphs!$B148,'CCRA3 Actions for NAP3'!$F:$F,Graphs!G$145)</f>
        <v>0</v>
      </c>
    </row>
    <row r="149" spans="2:7" s="162" customFormat="1" x14ac:dyDescent="0.25">
      <c r="B149" s="161" t="s">
        <v>411</v>
      </c>
      <c r="C149" s="165">
        <f>COUNTIFS('CCRA3 Actions for NAP3'!$J:$J,Graphs!$B149,'CCRA3 Actions for NAP3'!$F:$F,Graphs!C$145)</f>
        <v>13</v>
      </c>
      <c r="D149" s="165">
        <f>COUNTIFS('CCRA3 Actions for NAP3'!$J:$J,Graphs!$B149,'CCRA3 Actions for NAP3'!$F:$F,Graphs!D$145)</f>
        <v>15</v>
      </c>
      <c r="E149" s="165">
        <f>COUNTIFS('CCRA3 Actions for NAP3'!$J:$J,Graphs!$B149,'CCRA3 Actions for NAP3'!$F:$F,Graphs!E$145)</f>
        <v>1</v>
      </c>
      <c r="F149" s="165">
        <f>COUNTIFS('CCRA3 Actions for NAP3'!$J:$J,Graphs!$B149,'CCRA3 Actions for NAP3'!$F:$F,Graphs!F$145)</f>
        <v>5</v>
      </c>
      <c r="G149" s="165">
        <f>COUNTIFS('CCRA3 Actions for NAP3'!$J:$J,Graphs!$B149,'CCRA3 Actions for NAP3'!$F:$F,Graphs!G$145)</f>
        <v>1</v>
      </c>
    </row>
    <row r="150" spans="2:7" s="162" customFormat="1" x14ac:dyDescent="0.25">
      <c r="B150" s="161" t="s">
        <v>417</v>
      </c>
      <c r="C150" s="165">
        <f>COUNTIFS('CCRA3 Actions for NAP3'!$J:$J,Graphs!$B150,'CCRA3 Actions for NAP3'!$F:$F,Graphs!C$145)</f>
        <v>15</v>
      </c>
      <c r="D150" s="165">
        <f>COUNTIFS('CCRA3 Actions for NAP3'!$J:$J,Graphs!$B150,'CCRA3 Actions for NAP3'!$F:$F,Graphs!D$145)</f>
        <v>17</v>
      </c>
      <c r="E150" s="165">
        <f>COUNTIFS('CCRA3 Actions for NAP3'!$J:$J,Graphs!$B150,'CCRA3 Actions for NAP3'!$F:$F,Graphs!E$145)</f>
        <v>2</v>
      </c>
      <c r="F150" s="165">
        <f>COUNTIFS('CCRA3 Actions for NAP3'!$J:$J,Graphs!$B150,'CCRA3 Actions for NAP3'!$F:$F,Graphs!F$145)</f>
        <v>9</v>
      </c>
      <c r="G150" s="165">
        <f>COUNTIFS('CCRA3 Actions for NAP3'!$J:$J,Graphs!$B150,'CCRA3 Actions for NAP3'!$F:$F,Graphs!G$145)</f>
        <v>0</v>
      </c>
    </row>
    <row r="151" spans="2:7" s="162" customFormat="1" x14ac:dyDescent="0.25">
      <c r="B151" s="157" t="s">
        <v>1544</v>
      </c>
      <c r="C151" s="166">
        <f>SUM(C146:C150)</f>
        <v>94</v>
      </c>
      <c r="D151" s="166">
        <f t="shared" ref="D151:G151" si="32">SUM(D146:D150)</f>
        <v>99</v>
      </c>
      <c r="E151" s="166">
        <f t="shared" si="32"/>
        <v>12</v>
      </c>
      <c r="F151" s="166">
        <f t="shared" si="32"/>
        <v>45</v>
      </c>
      <c r="G151" s="166">
        <f t="shared" si="32"/>
        <v>1</v>
      </c>
    </row>
    <row r="152" spans="2:7" s="162" customFormat="1" x14ac:dyDescent="0.25"/>
    <row r="153" spans="2:7" s="162" customFormat="1" x14ac:dyDescent="0.25">
      <c r="C153" s="229" t="s">
        <v>1541</v>
      </c>
      <c r="D153" s="230"/>
      <c r="E153" s="230"/>
      <c r="F153" s="230"/>
      <c r="G153" s="231"/>
    </row>
    <row r="154" spans="2:7" s="162" customFormat="1" ht="105" x14ac:dyDescent="0.25">
      <c r="B154" s="34" t="s">
        <v>1540</v>
      </c>
      <c r="C154" s="65" t="s">
        <v>396</v>
      </c>
      <c r="D154" s="65" t="s">
        <v>421</v>
      </c>
      <c r="E154" s="65" t="s">
        <v>472</v>
      </c>
      <c r="F154" s="65" t="s">
        <v>33</v>
      </c>
      <c r="G154" s="164" t="s">
        <v>1425</v>
      </c>
    </row>
    <row r="155" spans="2:7" s="162" customFormat="1" x14ac:dyDescent="0.25">
      <c r="B155" s="161" t="s">
        <v>405</v>
      </c>
      <c r="C155" s="158">
        <f>C146/C$151</f>
        <v>6.3829787234042548E-2</v>
      </c>
      <c r="D155" s="158">
        <f t="shared" ref="D155:G155" si="33">D146/D$151</f>
        <v>2.0202020202020204E-2</v>
      </c>
      <c r="E155" s="158">
        <f t="shared" si="33"/>
        <v>0.16666666666666666</v>
      </c>
      <c r="F155" s="158">
        <f t="shared" si="33"/>
        <v>0.1111111111111111</v>
      </c>
      <c r="G155" s="158">
        <f t="shared" si="33"/>
        <v>0</v>
      </c>
    </row>
    <row r="156" spans="2:7" s="162" customFormat="1" x14ac:dyDescent="0.25">
      <c r="B156" s="161" t="s">
        <v>463</v>
      </c>
      <c r="C156" s="158">
        <f t="shared" ref="C156:G156" si="34">C147/C$151</f>
        <v>0.25531914893617019</v>
      </c>
      <c r="D156" s="158">
        <f t="shared" si="34"/>
        <v>0.26262626262626265</v>
      </c>
      <c r="E156" s="158">
        <f t="shared" si="34"/>
        <v>0.33333333333333331</v>
      </c>
      <c r="F156" s="158">
        <f t="shared" si="34"/>
        <v>0.31111111111111112</v>
      </c>
      <c r="G156" s="158">
        <f t="shared" si="34"/>
        <v>0</v>
      </c>
    </row>
    <row r="157" spans="2:7" s="162" customFormat="1" x14ac:dyDescent="0.25">
      <c r="B157" s="161" t="s">
        <v>398</v>
      </c>
      <c r="C157" s="158">
        <f t="shared" ref="C157:G157" si="35">C148/C$151</f>
        <v>0.38297872340425532</v>
      </c>
      <c r="D157" s="158">
        <f t="shared" si="35"/>
        <v>0.39393939393939392</v>
      </c>
      <c r="E157" s="158">
        <f t="shared" si="35"/>
        <v>0.25</v>
      </c>
      <c r="F157" s="158">
        <f t="shared" si="35"/>
        <v>0.26666666666666666</v>
      </c>
      <c r="G157" s="158">
        <f t="shared" si="35"/>
        <v>0</v>
      </c>
    </row>
    <row r="158" spans="2:7" s="162" customFormat="1" x14ac:dyDescent="0.25">
      <c r="B158" s="161" t="s">
        <v>411</v>
      </c>
      <c r="C158" s="158">
        <f t="shared" ref="C158:G158" si="36">C149/C$151</f>
        <v>0.13829787234042554</v>
      </c>
      <c r="D158" s="158">
        <f t="shared" si="36"/>
        <v>0.15151515151515152</v>
      </c>
      <c r="E158" s="158">
        <f t="shared" si="36"/>
        <v>8.3333333333333329E-2</v>
      </c>
      <c r="F158" s="158">
        <f t="shared" si="36"/>
        <v>0.1111111111111111</v>
      </c>
      <c r="G158" s="158">
        <f t="shared" si="36"/>
        <v>1</v>
      </c>
    </row>
    <row r="159" spans="2:7" s="162" customFormat="1" x14ac:dyDescent="0.25">
      <c r="B159" s="161" t="s">
        <v>417</v>
      </c>
      <c r="C159" s="158">
        <f t="shared" ref="C159:G160" si="37">C150/C$151</f>
        <v>0.15957446808510639</v>
      </c>
      <c r="D159" s="158">
        <f t="shared" si="37"/>
        <v>0.17171717171717171</v>
      </c>
      <c r="E159" s="158">
        <f t="shared" si="37"/>
        <v>0.16666666666666666</v>
      </c>
      <c r="F159" s="158">
        <f t="shared" si="37"/>
        <v>0.2</v>
      </c>
      <c r="G159" s="158">
        <f t="shared" si="37"/>
        <v>0</v>
      </c>
    </row>
    <row r="160" spans="2:7" s="162" customFormat="1" x14ac:dyDescent="0.25">
      <c r="B160" s="157" t="s">
        <v>1544</v>
      </c>
      <c r="C160" s="159">
        <f>C151/C$151</f>
        <v>1</v>
      </c>
      <c r="D160" s="159">
        <f t="shared" si="37"/>
        <v>1</v>
      </c>
      <c r="E160" s="159">
        <f t="shared" si="37"/>
        <v>1</v>
      </c>
      <c r="F160" s="159">
        <f t="shared" si="37"/>
        <v>1</v>
      </c>
      <c r="G160" s="159">
        <f t="shared" si="37"/>
        <v>1</v>
      </c>
    </row>
    <row r="161" s="162" customFormat="1" x14ac:dyDescent="0.25"/>
    <row r="162" s="162" customFormat="1" x14ac:dyDescent="0.25"/>
    <row r="163" s="162" customFormat="1" x14ac:dyDescent="0.25"/>
    <row r="164" s="162" customFormat="1" x14ac:dyDescent="0.25"/>
    <row r="165" s="162" customFormat="1" x14ac:dyDescent="0.25"/>
    <row r="166" s="162" customFormat="1" x14ac:dyDescent="0.25"/>
    <row r="167" s="162" customFormat="1" x14ac:dyDescent="0.25"/>
    <row r="168" s="162" customFormat="1" x14ac:dyDescent="0.25"/>
    <row r="169" s="162" customFormat="1" x14ac:dyDescent="0.25"/>
    <row r="170" s="162" customFormat="1" x14ac:dyDescent="0.25"/>
    <row r="171" s="162" customFormat="1" x14ac:dyDescent="0.25"/>
    <row r="172" s="162" customFormat="1" x14ac:dyDescent="0.25"/>
    <row r="173" s="162" customFormat="1" x14ac:dyDescent="0.25"/>
    <row r="174" s="162" customFormat="1" x14ac:dyDescent="0.25"/>
    <row r="175" s="162" customFormat="1" x14ac:dyDescent="0.25"/>
    <row r="176" s="162" customFormat="1" x14ac:dyDescent="0.25"/>
    <row r="177" s="162" customFormat="1" x14ac:dyDescent="0.25"/>
    <row r="178" s="162" customFormat="1" x14ac:dyDescent="0.25"/>
    <row r="179" s="162" customFormat="1" x14ac:dyDescent="0.25"/>
    <row r="180" s="162" customFormat="1" x14ac:dyDescent="0.25"/>
  </sheetData>
  <mergeCells count="12">
    <mergeCell ref="B2:E3"/>
    <mergeCell ref="B37:C37"/>
    <mergeCell ref="B45:C45"/>
    <mergeCell ref="B53:C53"/>
    <mergeCell ref="B61:C61"/>
    <mergeCell ref="B69:C69"/>
    <mergeCell ref="C153:G153"/>
    <mergeCell ref="C83:N83"/>
    <mergeCell ref="C95:N95"/>
    <mergeCell ref="C113:F113"/>
    <mergeCell ref="C123:F123"/>
    <mergeCell ref="C144:G144"/>
  </mergeCells>
  <pageMargins left="0.7" right="0.7" top="0.75" bottom="0.75" header="0.3" footer="0.3"/>
  <drawing r:id="rId1"/>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7C547E8-FAAE-4674-B8AB-D3E31F7153E8}">
  <sheetPr codeName="Sheet1"/>
  <dimension ref="A1:K95"/>
  <sheetViews>
    <sheetView workbookViewId="0">
      <pane xSplit="2" ySplit="1" topLeftCell="I87" activePane="bottomRight" state="frozen"/>
      <selection pane="topRight" activeCell="C1" sqref="C1"/>
      <selection pane="bottomLeft" activeCell="A2" sqref="A2"/>
      <selection pane="bottomRight" activeCell="I87" sqref="I87"/>
    </sheetView>
  </sheetViews>
  <sheetFormatPr defaultRowHeight="24.95" customHeight="1" x14ac:dyDescent="0.25"/>
  <cols>
    <col min="1" max="1" width="17.140625" style="125" customWidth="1"/>
    <col min="2" max="2" width="53.5703125" style="10" customWidth="1"/>
    <col min="3" max="3" width="8.7109375" style="125" customWidth="1"/>
    <col min="4" max="4" width="17.5703125" style="125" customWidth="1"/>
    <col min="5" max="5" width="19.42578125" style="125" customWidth="1"/>
    <col min="6" max="6" width="10.85546875" style="125" customWidth="1"/>
    <col min="7" max="7" width="14.85546875" style="125" customWidth="1"/>
    <col min="8" max="8" width="13.5703125" style="128" customWidth="1"/>
    <col min="9" max="9" width="69.28515625" style="127" customWidth="1"/>
  </cols>
  <sheetData>
    <row r="1" spans="1:11" s="1" customFormat="1" ht="24.95" customHeight="1" x14ac:dyDescent="0.25">
      <c r="A1" s="129" t="s">
        <v>1557</v>
      </c>
      <c r="B1" s="129" t="s">
        <v>1558</v>
      </c>
      <c r="C1" s="129" t="s">
        <v>1559</v>
      </c>
      <c r="D1" s="129" t="s">
        <v>1560</v>
      </c>
      <c r="E1" s="129" t="s">
        <v>1561</v>
      </c>
      <c r="F1" s="129" t="s">
        <v>1562</v>
      </c>
      <c r="G1" s="129" t="s">
        <v>1563</v>
      </c>
      <c r="H1" s="130" t="s">
        <v>1564</v>
      </c>
      <c r="I1" s="131" t="s">
        <v>1565</v>
      </c>
    </row>
    <row r="2" spans="1:11" ht="24.95" customHeight="1" x14ac:dyDescent="0.25">
      <c r="A2" s="126" t="s">
        <v>1566</v>
      </c>
      <c r="B2" s="183" t="s">
        <v>1567</v>
      </c>
      <c r="C2" s="184">
        <v>2023</v>
      </c>
      <c r="D2" s="126" t="s">
        <v>192</v>
      </c>
      <c r="E2" s="183" t="s">
        <v>1568</v>
      </c>
      <c r="F2" s="126" t="s">
        <v>480</v>
      </c>
      <c r="G2" s="126"/>
      <c r="H2" s="185">
        <v>1</v>
      </c>
      <c r="I2" s="183" t="s">
        <v>1569</v>
      </c>
      <c r="J2" s="126"/>
      <c r="K2" s="126"/>
    </row>
    <row r="3" spans="1:11" ht="24.95" customHeight="1" x14ac:dyDescent="0.25">
      <c r="A3" s="126" t="s">
        <v>1566</v>
      </c>
      <c r="B3" s="183" t="s">
        <v>1570</v>
      </c>
      <c r="C3" s="184">
        <v>2023</v>
      </c>
      <c r="D3" s="126" t="s">
        <v>1571</v>
      </c>
      <c r="E3" s="183" t="s">
        <v>1572</v>
      </c>
      <c r="F3" s="126" t="s">
        <v>480</v>
      </c>
      <c r="G3" s="126"/>
      <c r="H3" s="185">
        <v>2</v>
      </c>
      <c r="I3" s="183" t="s">
        <v>1573</v>
      </c>
    </row>
    <row r="4" spans="1:11" ht="24.95" customHeight="1" x14ac:dyDescent="0.25">
      <c r="A4" s="126" t="s">
        <v>1566</v>
      </c>
      <c r="B4" s="183" t="s">
        <v>1574</v>
      </c>
      <c r="C4" s="184">
        <v>2023</v>
      </c>
      <c r="D4" s="126" t="s">
        <v>1575</v>
      </c>
      <c r="E4" s="183" t="s">
        <v>1576</v>
      </c>
      <c r="F4" s="126" t="s">
        <v>480</v>
      </c>
      <c r="G4" s="126"/>
      <c r="H4" s="185">
        <v>3</v>
      </c>
      <c r="I4" s="183" t="s">
        <v>1577</v>
      </c>
    </row>
    <row r="5" spans="1:11" ht="24.95" customHeight="1" x14ac:dyDescent="0.25">
      <c r="A5" s="126" t="s">
        <v>1566</v>
      </c>
      <c r="B5" s="183" t="s">
        <v>1578</v>
      </c>
      <c r="C5" s="184" t="s">
        <v>1579</v>
      </c>
      <c r="D5" s="126" t="s">
        <v>195</v>
      </c>
      <c r="E5" s="183" t="s">
        <v>1580</v>
      </c>
      <c r="F5" s="126" t="s">
        <v>480</v>
      </c>
      <c r="G5" s="126" t="s">
        <v>1581</v>
      </c>
      <c r="H5" s="185">
        <v>4</v>
      </c>
      <c r="I5" s="183" t="s">
        <v>1582</v>
      </c>
    </row>
    <row r="6" spans="1:11" ht="24.95" customHeight="1" x14ac:dyDescent="0.25">
      <c r="A6" s="126" t="s">
        <v>1583</v>
      </c>
      <c r="B6" s="183" t="s">
        <v>1584</v>
      </c>
      <c r="C6" s="184">
        <v>2024</v>
      </c>
      <c r="D6" s="126" t="s">
        <v>196</v>
      </c>
      <c r="E6" s="183" t="s">
        <v>1585</v>
      </c>
      <c r="F6" s="126" t="s">
        <v>700</v>
      </c>
      <c r="G6" s="126" t="s">
        <v>1586</v>
      </c>
      <c r="H6" s="185">
        <v>5</v>
      </c>
      <c r="I6" s="183" t="s">
        <v>1587</v>
      </c>
    </row>
    <row r="7" spans="1:11" ht="24.95" customHeight="1" x14ac:dyDescent="0.25">
      <c r="A7" s="126" t="s">
        <v>1566</v>
      </c>
      <c r="B7" s="183" t="s">
        <v>1588</v>
      </c>
      <c r="C7" s="184">
        <v>2025</v>
      </c>
      <c r="D7" s="126" t="s">
        <v>1589</v>
      </c>
      <c r="E7" s="183" t="s">
        <v>1590</v>
      </c>
      <c r="F7" s="126" t="s">
        <v>480</v>
      </c>
      <c r="G7" s="126" t="s">
        <v>800</v>
      </c>
      <c r="H7" s="185">
        <v>6</v>
      </c>
      <c r="I7" s="183" t="s">
        <v>1591</v>
      </c>
    </row>
    <row r="8" spans="1:11" ht="24.95" customHeight="1" x14ac:dyDescent="0.25">
      <c r="A8" s="126" t="s">
        <v>1592</v>
      </c>
      <c r="B8" s="183" t="s">
        <v>1593</v>
      </c>
      <c r="C8" s="184">
        <v>2023</v>
      </c>
      <c r="D8" s="126" t="s">
        <v>198</v>
      </c>
      <c r="E8" s="183" t="s">
        <v>1594</v>
      </c>
      <c r="F8" s="126" t="s">
        <v>480</v>
      </c>
      <c r="G8" s="126"/>
      <c r="H8" s="185">
        <v>7</v>
      </c>
      <c r="I8" s="183" t="s">
        <v>1595</v>
      </c>
    </row>
    <row r="9" spans="1:11" ht="24.95" customHeight="1" x14ac:dyDescent="0.25">
      <c r="A9" s="126" t="s">
        <v>1566</v>
      </c>
      <c r="B9" s="183" t="s">
        <v>1596</v>
      </c>
      <c r="C9" s="184">
        <v>2024</v>
      </c>
      <c r="D9" s="126" t="s">
        <v>199</v>
      </c>
      <c r="E9" s="183" t="s">
        <v>1597</v>
      </c>
      <c r="F9" s="126" t="s">
        <v>606</v>
      </c>
      <c r="G9" s="126"/>
      <c r="H9" s="185">
        <v>8</v>
      </c>
      <c r="I9" s="183" t="s">
        <v>1598</v>
      </c>
    </row>
    <row r="10" spans="1:11" ht="24.95" customHeight="1" x14ac:dyDescent="0.25">
      <c r="A10" s="126" t="s">
        <v>1566</v>
      </c>
      <c r="B10" s="183" t="s">
        <v>1599</v>
      </c>
      <c r="C10" s="184">
        <v>2023</v>
      </c>
      <c r="D10" s="126" t="s">
        <v>200</v>
      </c>
      <c r="E10" s="183" t="s">
        <v>1600</v>
      </c>
      <c r="F10" s="126" t="s">
        <v>606</v>
      </c>
      <c r="G10" s="126"/>
      <c r="H10" s="185">
        <v>9</v>
      </c>
      <c r="I10" s="183" t="s">
        <v>1601</v>
      </c>
    </row>
    <row r="11" spans="1:11" ht="24.95" customHeight="1" x14ac:dyDescent="0.25">
      <c r="A11" s="126" t="s">
        <v>1566</v>
      </c>
      <c r="B11" s="183" t="s">
        <v>1602</v>
      </c>
      <c r="C11" s="184">
        <v>2023</v>
      </c>
      <c r="D11" s="126" t="s">
        <v>1603</v>
      </c>
      <c r="E11" s="183" t="s">
        <v>1604</v>
      </c>
      <c r="F11" s="126" t="s">
        <v>480</v>
      </c>
      <c r="G11" s="126"/>
      <c r="H11" s="185">
        <v>10</v>
      </c>
      <c r="I11" s="183" t="s">
        <v>1605</v>
      </c>
    </row>
    <row r="12" spans="1:11" ht="24.95" customHeight="1" x14ac:dyDescent="0.25">
      <c r="A12" s="126" t="s">
        <v>1566</v>
      </c>
      <c r="B12" s="183" t="s">
        <v>1606</v>
      </c>
      <c r="C12" s="184">
        <v>2024</v>
      </c>
      <c r="D12" s="126" t="s">
        <v>201</v>
      </c>
      <c r="E12" s="183" t="s">
        <v>1607</v>
      </c>
      <c r="F12" s="126" t="s">
        <v>629</v>
      </c>
      <c r="G12" s="126" t="s">
        <v>1608</v>
      </c>
      <c r="H12" s="185">
        <v>11</v>
      </c>
      <c r="I12" s="183" t="s">
        <v>1609</v>
      </c>
    </row>
    <row r="13" spans="1:11" ht="24.95" customHeight="1" x14ac:dyDescent="0.25">
      <c r="A13" s="126" t="s">
        <v>1566</v>
      </c>
      <c r="B13" s="183" t="s">
        <v>1610</v>
      </c>
      <c r="C13" s="184">
        <v>2023</v>
      </c>
      <c r="D13" s="126" t="s">
        <v>203</v>
      </c>
      <c r="E13" s="183" t="s">
        <v>1611</v>
      </c>
      <c r="F13" s="126" t="s">
        <v>1612</v>
      </c>
      <c r="G13" s="126"/>
      <c r="H13" s="185">
        <v>12</v>
      </c>
      <c r="I13" s="183" t="s">
        <v>1613</v>
      </c>
    </row>
    <row r="14" spans="1:11" ht="24.95" customHeight="1" x14ac:dyDescent="0.25">
      <c r="A14" s="126" t="s">
        <v>1614</v>
      </c>
      <c r="B14" s="183" t="s">
        <v>1615</v>
      </c>
      <c r="C14" s="184">
        <v>2023</v>
      </c>
      <c r="D14" s="126" t="s">
        <v>204</v>
      </c>
      <c r="E14" s="183" t="s">
        <v>1616</v>
      </c>
      <c r="F14" s="126" t="s">
        <v>1617</v>
      </c>
      <c r="G14" s="126"/>
      <c r="H14" s="185">
        <v>13</v>
      </c>
      <c r="I14" s="183" t="s">
        <v>1618</v>
      </c>
    </row>
    <row r="15" spans="1:11" ht="24.95" customHeight="1" x14ac:dyDescent="0.25">
      <c r="A15" s="126" t="s">
        <v>1619</v>
      </c>
      <c r="B15" s="183" t="s">
        <v>1620</v>
      </c>
      <c r="C15" s="184">
        <v>2023</v>
      </c>
      <c r="D15" s="126" t="s">
        <v>205</v>
      </c>
      <c r="E15" s="126" t="s">
        <v>323</v>
      </c>
      <c r="F15" s="126" t="s">
        <v>1621</v>
      </c>
      <c r="G15" s="126"/>
      <c r="H15" s="185">
        <v>14</v>
      </c>
      <c r="I15" s="183" t="s">
        <v>1622</v>
      </c>
    </row>
    <row r="16" spans="1:11" ht="24.95" customHeight="1" x14ac:dyDescent="0.25">
      <c r="A16" s="126" t="s">
        <v>1566</v>
      </c>
      <c r="B16" s="183" t="s">
        <v>1623</v>
      </c>
      <c r="C16" s="184">
        <v>2023</v>
      </c>
      <c r="D16" s="126" t="s">
        <v>192</v>
      </c>
      <c r="E16" s="183" t="s">
        <v>1568</v>
      </c>
      <c r="F16" s="126" t="s">
        <v>454</v>
      </c>
      <c r="G16" s="126" t="s">
        <v>480</v>
      </c>
      <c r="H16" s="185">
        <v>15</v>
      </c>
      <c r="I16" s="183" t="s">
        <v>1624</v>
      </c>
    </row>
    <row r="17" spans="1:9" ht="24.95" customHeight="1" x14ac:dyDescent="0.25">
      <c r="A17" s="126" t="s">
        <v>1566</v>
      </c>
      <c r="B17" s="183" t="s">
        <v>1625</v>
      </c>
      <c r="C17" s="184">
        <v>2024</v>
      </c>
      <c r="D17" s="126" t="s">
        <v>192</v>
      </c>
      <c r="E17" s="183" t="s">
        <v>1568</v>
      </c>
      <c r="F17" s="126" t="s">
        <v>480</v>
      </c>
      <c r="G17" s="126" t="s">
        <v>1626</v>
      </c>
      <c r="H17" s="185">
        <v>16</v>
      </c>
      <c r="I17" s="183" t="s">
        <v>1627</v>
      </c>
    </row>
    <row r="18" spans="1:9" ht="24.95" customHeight="1" x14ac:dyDescent="0.25">
      <c r="A18" s="126" t="s">
        <v>1566</v>
      </c>
      <c r="B18" s="183" t="s">
        <v>1628</v>
      </c>
      <c r="C18" s="184">
        <v>2024</v>
      </c>
      <c r="D18" s="126" t="s">
        <v>192</v>
      </c>
      <c r="E18" s="183" t="s">
        <v>1568</v>
      </c>
      <c r="F18" s="126" t="s">
        <v>480</v>
      </c>
      <c r="G18" s="126"/>
      <c r="H18" s="185">
        <v>17</v>
      </c>
      <c r="I18" s="183" t="s">
        <v>1629</v>
      </c>
    </row>
    <row r="19" spans="1:9" ht="24.95" customHeight="1" x14ac:dyDescent="0.25">
      <c r="A19" s="126" t="s">
        <v>1566</v>
      </c>
      <c r="B19" s="183" t="s">
        <v>1630</v>
      </c>
      <c r="C19" s="184">
        <v>2023</v>
      </c>
      <c r="D19" s="126" t="s">
        <v>192</v>
      </c>
      <c r="E19" s="183" t="s">
        <v>1568</v>
      </c>
      <c r="F19" s="126" t="s">
        <v>480</v>
      </c>
      <c r="G19" s="126"/>
      <c r="H19" s="185">
        <v>18</v>
      </c>
      <c r="I19" s="183" t="s">
        <v>1631</v>
      </c>
    </row>
    <row r="20" spans="1:9" ht="24.95" customHeight="1" x14ac:dyDescent="0.25">
      <c r="A20" s="126" t="s">
        <v>1566</v>
      </c>
      <c r="B20" s="183" t="s">
        <v>1632</v>
      </c>
      <c r="C20" s="184">
        <v>2023</v>
      </c>
      <c r="D20" s="126" t="s">
        <v>192</v>
      </c>
      <c r="E20" s="183" t="s">
        <v>1568</v>
      </c>
      <c r="F20" s="126" t="s">
        <v>606</v>
      </c>
      <c r="G20" s="126"/>
      <c r="H20" s="185">
        <v>19</v>
      </c>
      <c r="I20" s="183" t="s">
        <v>1633</v>
      </c>
    </row>
    <row r="21" spans="1:9" ht="24.95" customHeight="1" x14ac:dyDescent="0.25">
      <c r="A21" s="126" t="s">
        <v>1566</v>
      </c>
      <c r="B21" s="183" t="s">
        <v>1634</v>
      </c>
      <c r="C21" s="184">
        <v>2024</v>
      </c>
      <c r="D21" s="126" t="s">
        <v>192</v>
      </c>
      <c r="E21" s="183" t="s">
        <v>1568</v>
      </c>
      <c r="F21" s="126" t="s">
        <v>606</v>
      </c>
      <c r="G21" s="126" t="s">
        <v>480</v>
      </c>
      <c r="H21" s="185">
        <v>20</v>
      </c>
      <c r="I21" s="183" t="s">
        <v>1635</v>
      </c>
    </row>
    <row r="22" spans="1:9" ht="24.95" customHeight="1" x14ac:dyDescent="0.25">
      <c r="A22" s="126" t="s">
        <v>1566</v>
      </c>
      <c r="B22" s="183" t="s">
        <v>1636</v>
      </c>
      <c r="C22" s="184">
        <v>2024</v>
      </c>
      <c r="D22" s="126" t="s">
        <v>192</v>
      </c>
      <c r="E22" s="183" t="s">
        <v>1568</v>
      </c>
      <c r="F22" s="126" t="s">
        <v>480</v>
      </c>
      <c r="G22" s="126"/>
      <c r="H22" s="185">
        <v>21</v>
      </c>
      <c r="I22" s="183" t="s">
        <v>1637</v>
      </c>
    </row>
    <row r="23" spans="1:9" ht="24.95" customHeight="1" x14ac:dyDescent="0.25">
      <c r="A23" s="126" t="s">
        <v>1566</v>
      </c>
      <c r="B23" s="183" t="s">
        <v>1638</v>
      </c>
      <c r="C23" s="184">
        <v>2024</v>
      </c>
      <c r="D23" s="126" t="s">
        <v>192</v>
      </c>
      <c r="E23" s="183" t="s">
        <v>1568</v>
      </c>
      <c r="F23" s="126" t="s">
        <v>480</v>
      </c>
      <c r="G23" s="126"/>
      <c r="H23" s="185">
        <v>22</v>
      </c>
      <c r="I23" s="183" t="s">
        <v>1639</v>
      </c>
    </row>
    <row r="24" spans="1:9" ht="24.95" customHeight="1" x14ac:dyDescent="0.25">
      <c r="A24" s="126" t="s">
        <v>1566</v>
      </c>
      <c r="B24" s="183" t="s">
        <v>1640</v>
      </c>
      <c r="C24" s="184">
        <v>2024</v>
      </c>
      <c r="D24" s="126" t="s">
        <v>1571</v>
      </c>
      <c r="E24" s="183" t="s">
        <v>1572</v>
      </c>
      <c r="F24" s="126" t="s">
        <v>480</v>
      </c>
      <c r="G24" s="126"/>
      <c r="H24" s="185">
        <v>23</v>
      </c>
      <c r="I24" s="183" t="s">
        <v>1641</v>
      </c>
    </row>
    <row r="25" spans="1:9" ht="24.95" customHeight="1" x14ac:dyDescent="0.25">
      <c r="A25" s="126" t="s">
        <v>1566</v>
      </c>
      <c r="B25" s="183" t="s">
        <v>1642</v>
      </c>
      <c r="C25" s="184">
        <v>2023</v>
      </c>
      <c r="D25" s="126" t="s">
        <v>1571</v>
      </c>
      <c r="E25" s="183" t="s">
        <v>1572</v>
      </c>
      <c r="F25" s="126" t="s">
        <v>1643</v>
      </c>
      <c r="G25" s="126"/>
      <c r="H25" s="185">
        <v>24</v>
      </c>
      <c r="I25" s="183" t="s">
        <v>1644</v>
      </c>
    </row>
    <row r="26" spans="1:9" ht="24.95" customHeight="1" x14ac:dyDescent="0.25">
      <c r="A26" s="126" t="s">
        <v>1566</v>
      </c>
      <c r="B26" s="183" t="s">
        <v>1645</v>
      </c>
      <c r="C26" s="184">
        <v>2023</v>
      </c>
      <c r="D26" s="126" t="s">
        <v>1571</v>
      </c>
      <c r="E26" s="183" t="s">
        <v>1572</v>
      </c>
      <c r="F26" s="126" t="s">
        <v>480</v>
      </c>
      <c r="G26" s="126"/>
      <c r="H26" s="185">
        <v>25</v>
      </c>
      <c r="I26" s="183" t="s">
        <v>1646</v>
      </c>
    </row>
    <row r="27" spans="1:9" ht="24.95" customHeight="1" x14ac:dyDescent="0.25">
      <c r="A27" s="126" t="s">
        <v>1647</v>
      </c>
      <c r="B27" s="183" t="s">
        <v>1648</v>
      </c>
      <c r="C27" s="184">
        <v>2024</v>
      </c>
      <c r="D27" s="126" t="s">
        <v>1571</v>
      </c>
      <c r="E27" s="183" t="s">
        <v>1572</v>
      </c>
      <c r="F27" s="126" t="s">
        <v>480</v>
      </c>
      <c r="G27" s="126"/>
      <c r="H27" s="185">
        <v>26</v>
      </c>
      <c r="I27" s="183" t="s">
        <v>1649</v>
      </c>
    </row>
    <row r="28" spans="1:9" ht="24.95" customHeight="1" x14ac:dyDescent="0.25">
      <c r="A28" s="126" t="s">
        <v>1566</v>
      </c>
      <c r="B28" s="183" t="s">
        <v>1650</v>
      </c>
      <c r="C28" s="184">
        <v>2023</v>
      </c>
      <c r="D28" s="126" t="s">
        <v>1571</v>
      </c>
      <c r="E28" s="183" t="s">
        <v>1572</v>
      </c>
      <c r="F28" s="126" t="s">
        <v>480</v>
      </c>
      <c r="G28" s="126"/>
      <c r="H28" s="185">
        <v>27</v>
      </c>
      <c r="I28" s="183" t="s">
        <v>1651</v>
      </c>
    </row>
    <row r="29" spans="1:9" ht="24.95" customHeight="1" x14ac:dyDescent="0.25">
      <c r="A29" s="126" t="s">
        <v>1566</v>
      </c>
      <c r="B29" s="183" t="s">
        <v>1652</v>
      </c>
      <c r="C29" s="184">
        <v>2024</v>
      </c>
      <c r="D29" s="126" t="s">
        <v>1575</v>
      </c>
      <c r="E29" s="183" t="s">
        <v>1576</v>
      </c>
      <c r="F29" s="126" t="s">
        <v>480</v>
      </c>
      <c r="G29" s="126"/>
      <c r="H29" s="185">
        <v>28</v>
      </c>
      <c r="I29" s="183" t="s">
        <v>1653</v>
      </c>
    </row>
    <row r="30" spans="1:9" ht="24.95" customHeight="1" x14ac:dyDescent="0.25">
      <c r="A30" s="126" t="s">
        <v>1566</v>
      </c>
      <c r="B30" s="183" t="s">
        <v>1654</v>
      </c>
      <c r="C30" s="184" t="s">
        <v>1579</v>
      </c>
      <c r="D30" s="126" t="s">
        <v>1575</v>
      </c>
      <c r="E30" s="183" t="s">
        <v>1576</v>
      </c>
      <c r="F30" s="126" t="s">
        <v>400</v>
      </c>
      <c r="G30" s="126" t="s">
        <v>480</v>
      </c>
      <c r="H30" s="185">
        <v>29</v>
      </c>
      <c r="I30" s="183" t="s">
        <v>1655</v>
      </c>
    </row>
    <row r="31" spans="1:9" ht="24.95" customHeight="1" x14ac:dyDescent="0.25">
      <c r="A31" s="126" t="s">
        <v>1566</v>
      </c>
      <c r="B31" s="183" t="s">
        <v>1656</v>
      </c>
      <c r="C31" s="184">
        <v>2023</v>
      </c>
      <c r="D31" s="126" t="s">
        <v>1575</v>
      </c>
      <c r="E31" s="183" t="s">
        <v>1576</v>
      </c>
      <c r="F31" s="126" t="s">
        <v>700</v>
      </c>
      <c r="G31" s="126" t="s">
        <v>480</v>
      </c>
      <c r="H31" s="185">
        <v>30</v>
      </c>
      <c r="I31" s="183" t="s">
        <v>1657</v>
      </c>
    </row>
    <row r="32" spans="1:9" ht="24.95" customHeight="1" x14ac:dyDescent="0.25">
      <c r="A32" s="126" t="s">
        <v>1566</v>
      </c>
      <c r="B32" s="183" t="s">
        <v>1658</v>
      </c>
      <c r="C32" s="184">
        <v>2025</v>
      </c>
      <c r="D32" s="126" t="s">
        <v>1575</v>
      </c>
      <c r="E32" s="183" t="s">
        <v>1576</v>
      </c>
      <c r="F32" s="126" t="s">
        <v>400</v>
      </c>
      <c r="G32" s="126"/>
      <c r="H32" s="185">
        <v>31</v>
      </c>
      <c r="I32" s="183" t="s">
        <v>1659</v>
      </c>
    </row>
    <row r="33" spans="1:9" ht="24.95" customHeight="1" x14ac:dyDescent="0.25">
      <c r="A33" s="126" t="s">
        <v>1566</v>
      </c>
      <c r="B33" s="183" t="s">
        <v>1660</v>
      </c>
      <c r="C33" s="184">
        <v>2023</v>
      </c>
      <c r="D33" s="126" t="s">
        <v>195</v>
      </c>
      <c r="E33" s="183" t="s">
        <v>1580</v>
      </c>
      <c r="F33" s="126" t="s">
        <v>1661</v>
      </c>
      <c r="G33" s="126" t="s">
        <v>1662</v>
      </c>
      <c r="H33" s="185">
        <v>32</v>
      </c>
      <c r="I33" s="183" t="s">
        <v>1663</v>
      </c>
    </row>
    <row r="34" spans="1:9" ht="24.95" customHeight="1" x14ac:dyDescent="0.25">
      <c r="A34" s="126" t="s">
        <v>1566</v>
      </c>
      <c r="B34" s="183" t="s">
        <v>1664</v>
      </c>
      <c r="C34" s="184">
        <v>2025</v>
      </c>
      <c r="D34" s="126" t="s">
        <v>195</v>
      </c>
      <c r="E34" s="183" t="s">
        <v>1580</v>
      </c>
      <c r="F34" s="126" t="s">
        <v>1665</v>
      </c>
      <c r="G34" s="126" t="s">
        <v>480</v>
      </c>
      <c r="H34" s="185">
        <v>33</v>
      </c>
      <c r="I34" s="183" t="s">
        <v>1666</v>
      </c>
    </row>
    <row r="35" spans="1:9" ht="24.95" customHeight="1" x14ac:dyDescent="0.25">
      <c r="A35" s="126" t="s">
        <v>1566</v>
      </c>
      <c r="B35" s="183" t="s">
        <v>1667</v>
      </c>
      <c r="C35" s="184">
        <v>2025</v>
      </c>
      <c r="D35" s="126" t="s">
        <v>195</v>
      </c>
      <c r="E35" s="183" t="s">
        <v>1580</v>
      </c>
      <c r="F35" s="126" t="s">
        <v>1665</v>
      </c>
      <c r="G35" s="126" t="s">
        <v>480</v>
      </c>
      <c r="H35" s="185">
        <v>34</v>
      </c>
      <c r="I35" s="183" t="s">
        <v>1668</v>
      </c>
    </row>
    <row r="36" spans="1:9" ht="24.95" customHeight="1" x14ac:dyDescent="0.25">
      <c r="A36" s="126" t="s">
        <v>1583</v>
      </c>
      <c r="B36" s="183" t="s">
        <v>1669</v>
      </c>
      <c r="C36" s="184">
        <v>2024</v>
      </c>
      <c r="D36" s="126" t="s">
        <v>196</v>
      </c>
      <c r="E36" s="183" t="s">
        <v>1585</v>
      </c>
      <c r="F36" s="126" t="s">
        <v>700</v>
      </c>
      <c r="G36" s="126" t="s">
        <v>1586</v>
      </c>
      <c r="H36" s="185">
        <v>35</v>
      </c>
      <c r="I36" s="183" t="s">
        <v>1670</v>
      </c>
    </row>
    <row r="37" spans="1:9" ht="24.95" customHeight="1" x14ac:dyDescent="0.25">
      <c r="A37" s="126" t="s">
        <v>1583</v>
      </c>
      <c r="B37" s="183" t="s">
        <v>1671</v>
      </c>
      <c r="C37" s="184" t="s">
        <v>1579</v>
      </c>
      <c r="D37" s="126" t="s">
        <v>196</v>
      </c>
      <c r="E37" s="183" t="s">
        <v>1585</v>
      </c>
      <c r="F37" s="126" t="s">
        <v>1672</v>
      </c>
      <c r="G37" s="126" t="s">
        <v>1673</v>
      </c>
      <c r="H37" s="185">
        <v>36</v>
      </c>
      <c r="I37" s="183" t="s">
        <v>1674</v>
      </c>
    </row>
    <row r="38" spans="1:9" ht="24.95" customHeight="1" x14ac:dyDescent="0.25">
      <c r="A38" s="126" t="s">
        <v>1583</v>
      </c>
      <c r="B38" s="183" t="s">
        <v>1675</v>
      </c>
      <c r="C38" s="184" t="s">
        <v>1676</v>
      </c>
      <c r="D38" s="126" t="s">
        <v>196</v>
      </c>
      <c r="E38" s="183" t="s">
        <v>1585</v>
      </c>
      <c r="F38" s="126" t="s">
        <v>454</v>
      </c>
      <c r="G38" s="126" t="s">
        <v>1677</v>
      </c>
      <c r="H38" s="185">
        <v>37</v>
      </c>
      <c r="I38" s="183" t="s">
        <v>1678</v>
      </c>
    </row>
    <row r="39" spans="1:9" ht="24.95" customHeight="1" x14ac:dyDescent="0.25">
      <c r="A39" s="126" t="s">
        <v>1583</v>
      </c>
      <c r="B39" s="183" t="s">
        <v>1679</v>
      </c>
      <c r="C39" s="184">
        <v>2024</v>
      </c>
      <c r="D39" s="126" t="s">
        <v>196</v>
      </c>
      <c r="E39" s="183" t="s">
        <v>1585</v>
      </c>
      <c r="F39" s="126" t="s">
        <v>1586</v>
      </c>
      <c r="G39" s="126" t="s">
        <v>700</v>
      </c>
      <c r="H39" s="185">
        <v>38</v>
      </c>
      <c r="I39" s="183" t="s">
        <v>1680</v>
      </c>
    </row>
    <row r="40" spans="1:9" ht="24.95" customHeight="1" x14ac:dyDescent="0.25">
      <c r="A40" s="126" t="s">
        <v>1592</v>
      </c>
      <c r="B40" s="183" t="s">
        <v>1681</v>
      </c>
      <c r="C40" s="184">
        <v>2023</v>
      </c>
      <c r="D40" s="126" t="s">
        <v>196</v>
      </c>
      <c r="E40" s="183" t="s">
        <v>1585</v>
      </c>
      <c r="F40" s="126" t="s">
        <v>480</v>
      </c>
      <c r="G40" s="126"/>
      <c r="H40" s="185">
        <v>39</v>
      </c>
      <c r="I40" s="183" t="s">
        <v>1682</v>
      </c>
    </row>
    <row r="41" spans="1:9" ht="24.95" customHeight="1" x14ac:dyDescent="0.25">
      <c r="A41" s="126" t="s">
        <v>1592</v>
      </c>
      <c r="B41" s="183" t="s">
        <v>1683</v>
      </c>
      <c r="C41" s="184">
        <v>2025</v>
      </c>
      <c r="D41" s="126" t="s">
        <v>196</v>
      </c>
      <c r="E41" s="183" t="s">
        <v>1585</v>
      </c>
      <c r="F41" s="126" t="s">
        <v>480</v>
      </c>
      <c r="G41" s="126"/>
      <c r="H41" s="185">
        <v>40</v>
      </c>
      <c r="I41" s="183" t="s">
        <v>1684</v>
      </c>
    </row>
    <row r="42" spans="1:9" ht="24.95" customHeight="1" x14ac:dyDescent="0.25">
      <c r="A42" s="126" t="s">
        <v>1583</v>
      </c>
      <c r="B42" s="183" t="s">
        <v>1685</v>
      </c>
      <c r="C42" s="184" t="s">
        <v>1579</v>
      </c>
      <c r="D42" s="126" t="s">
        <v>196</v>
      </c>
      <c r="E42" s="183" t="s">
        <v>1585</v>
      </c>
      <c r="F42" s="126" t="s">
        <v>700</v>
      </c>
      <c r="G42" s="126" t="s">
        <v>1686</v>
      </c>
      <c r="H42" s="185">
        <v>41</v>
      </c>
      <c r="I42" s="183" t="s">
        <v>1687</v>
      </c>
    </row>
    <row r="43" spans="1:9" ht="24.95" customHeight="1" x14ac:dyDescent="0.25">
      <c r="A43" s="126" t="s">
        <v>1566</v>
      </c>
      <c r="B43" s="183" t="s">
        <v>1688</v>
      </c>
      <c r="C43" s="184">
        <v>2024</v>
      </c>
      <c r="D43" s="126" t="s">
        <v>1589</v>
      </c>
      <c r="E43" s="183" t="s">
        <v>1590</v>
      </c>
      <c r="F43" s="126" t="s">
        <v>800</v>
      </c>
      <c r="G43" s="126" t="s">
        <v>1689</v>
      </c>
      <c r="H43" s="185">
        <v>42</v>
      </c>
      <c r="I43" s="183" t="s">
        <v>1690</v>
      </c>
    </row>
    <row r="44" spans="1:9" ht="24.95" customHeight="1" x14ac:dyDescent="0.25">
      <c r="A44" s="126" t="s">
        <v>1566</v>
      </c>
      <c r="B44" s="183" t="s">
        <v>1691</v>
      </c>
      <c r="C44" s="184">
        <v>2023</v>
      </c>
      <c r="D44" s="126" t="s">
        <v>1589</v>
      </c>
      <c r="E44" s="183" t="s">
        <v>1590</v>
      </c>
      <c r="F44" s="126" t="s">
        <v>480</v>
      </c>
      <c r="G44" s="126"/>
      <c r="H44" s="185">
        <v>43</v>
      </c>
      <c r="I44" s="183" t="s">
        <v>1692</v>
      </c>
    </row>
    <row r="45" spans="1:9" ht="24.95" customHeight="1" x14ac:dyDescent="0.25">
      <c r="A45" s="126" t="s">
        <v>1566</v>
      </c>
      <c r="B45" s="183" t="s">
        <v>1693</v>
      </c>
      <c r="C45" s="184">
        <v>2026</v>
      </c>
      <c r="D45" s="126" t="s">
        <v>1589</v>
      </c>
      <c r="E45" s="183" t="s">
        <v>1590</v>
      </c>
      <c r="F45" s="126" t="s">
        <v>454</v>
      </c>
      <c r="G45" s="126" t="s">
        <v>800</v>
      </c>
      <c r="H45" s="185">
        <v>44</v>
      </c>
      <c r="I45" s="183" t="s">
        <v>1694</v>
      </c>
    </row>
    <row r="46" spans="1:9" ht="24.95" customHeight="1" x14ac:dyDescent="0.25">
      <c r="A46" s="126" t="s">
        <v>1592</v>
      </c>
      <c r="B46" s="183" t="s">
        <v>1695</v>
      </c>
      <c r="C46" s="184">
        <v>2023</v>
      </c>
      <c r="D46" s="126" t="s">
        <v>1589</v>
      </c>
      <c r="E46" s="183" t="s">
        <v>1590</v>
      </c>
      <c r="F46" s="126" t="s">
        <v>480</v>
      </c>
      <c r="G46" s="126"/>
      <c r="H46" s="185">
        <v>45</v>
      </c>
      <c r="I46" s="183" t="s">
        <v>1696</v>
      </c>
    </row>
    <row r="47" spans="1:9" ht="24.95" customHeight="1" x14ac:dyDescent="0.25">
      <c r="A47" s="126" t="s">
        <v>1619</v>
      </c>
      <c r="B47" s="183" t="s">
        <v>1697</v>
      </c>
      <c r="C47" s="184" t="s">
        <v>1698</v>
      </c>
      <c r="D47" s="126" t="s">
        <v>198</v>
      </c>
      <c r="E47" s="183" t="s">
        <v>1594</v>
      </c>
      <c r="F47" s="126" t="s">
        <v>454</v>
      </c>
      <c r="G47" s="126" t="s">
        <v>938</v>
      </c>
      <c r="H47" s="185">
        <v>46</v>
      </c>
      <c r="I47" s="183" t="s">
        <v>1699</v>
      </c>
    </row>
    <row r="48" spans="1:9" ht="24.95" customHeight="1" x14ac:dyDescent="0.25">
      <c r="A48" s="126" t="s">
        <v>1566</v>
      </c>
      <c r="B48" s="183" t="s">
        <v>1700</v>
      </c>
      <c r="C48" s="184" t="s">
        <v>1579</v>
      </c>
      <c r="D48" s="126" t="s">
        <v>198</v>
      </c>
      <c r="E48" s="183" t="s">
        <v>1594</v>
      </c>
      <c r="F48" s="126" t="s">
        <v>938</v>
      </c>
      <c r="G48" s="126" t="s">
        <v>1701</v>
      </c>
      <c r="H48" s="185">
        <v>47</v>
      </c>
      <c r="I48" s="183" t="s">
        <v>1702</v>
      </c>
    </row>
    <row r="49" spans="1:9" ht="24.95" customHeight="1" x14ac:dyDescent="0.25">
      <c r="A49" s="126" t="s">
        <v>1619</v>
      </c>
      <c r="B49" s="183" t="s">
        <v>1703</v>
      </c>
      <c r="C49" s="184" t="s">
        <v>1579</v>
      </c>
      <c r="D49" s="126" t="s">
        <v>198</v>
      </c>
      <c r="E49" s="183" t="s">
        <v>1594</v>
      </c>
      <c r="F49" s="126" t="s">
        <v>938</v>
      </c>
      <c r="G49" s="126" t="s">
        <v>480</v>
      </c>
      <c r="H49" s="185">
        <v>48</v>
      </c>
      <c r="I49" s="183" t="s">
        <v>1704</v>
      </c>
    </row>
    <row r="50" spans="1:9" ht="24.95" customHeight="1" x14ac:dyDescent="0.25">
      <c r="A50" s="126" t="s">
        <v>1619</v>
      </c>
      <c r="B50" s="183" t="s">
        <v>1705</v>
      </c>
      <c r="C50" s="184" t="s">
        <v>1579</v>
      </c>
      <c r="D50" s="126" t="s">
        <v>198</v>
      </c>
      <c r="E50" s="183" t="s">
        <v>1594</v>
      </c>
      <c r="F50" s="126" t="s">
        <v>938</v>
      </c>
      <c r="G50" s="126"/>
      <c r="H50" s="185">
        <v>49</v>
      </c>
      <c r="I50" s="183" t="s">
        <v>1706</v>
      </c>
    </row>
    <row r="51" spans="1:9" ht="24.95" customHeight="1" x14ac:dyDescent="0.25">
      <c r="A51" s="126" t="s">
        <v>1566</v>
      </c>
      <c r="B51" s="183" t="s">
        <v>1707</v>
      </c>
      <c r="C51" s="184">
        <v>2025</v>
      </c>
      <c r="D51" s="126" t="s">
        <v>199</v>
      </c>
      <c r="E51" s="183" t="s">
        <v>1597</v>
      </c>
      <c r="F51" s="126" t="s">
        <v>606</v>
      </c>
      <c r="G51" s="126"/>
      <c r="H51" s="185">
        <v>50</v>
      </c>
      <c r="I51" s="183" t="s">
        <v>1708</v>
      </c>
    </row>
    <row r="52" spans="1:9" ht="24.95" customHeight="1" x14ac:dyDescent="0.25">
      <c r="A52" s="126" t="s">
        <v>1566</v>
      </c>
      <c r="B52" s="183" t="s">
        <v>1709</v>
      </c>
      <c r="C52" s="184">
        <v>2025</v>
      </c>
      <c r="D52" s="126" t="s">
        <v>199</v>
      </c>
      <c r="E52" s="183" t="s">
        <v>1597</v>
      </c>
      <c r="F52" s="126" t="s">
        <v>480</v>
      </c>
      <c r="G52" s="126"/>
      <c r="H52" s="185">
        <v>51</v>
      </c>
      <c r="I52" s="183" t="s">
        <v>1710</v>
      </c>
    </row>
    <row r="53" spans="1:9" ht="24.95" customHeight="1" x14ac:dyDescent="0.25">
      <c r="A53" s="126" t="s">
        <v>1566</v>
      </c>
      <c r="B53" s="183" t="s">
        <v>1711</v>
      </c>
      <c r="C53" s="184">
        <v>2023</v>
      </c>
      <c r="D53" s="126" t="s">
        <v>199</v>
      </c>
      <c r="E53" s="183" t="s">
        <v>1597</v>
      </c>
      <c r="F53" s="126" t="s">
        <v>480</v>
      </c>
      <c r="G53" s="126"/>
      <c r="H53" s="185">
        <v>52</v>
      </c>
      <c r="I53" s="183" t="s">
        <v>1712</v>
      </c>
    </row>
    <row r="54" spans="1:9" ht="24.95" customHeight="1" x14ac:dyDescent="0.25">
      <c r="A54" s="126" t="s">
        <v>1566</v>
      </c>
      <c r="B54" s="183" t="s">
        <v>1713</v>
      </c>
      <c r="C54" s="184">
        <v>2025</v>
      </c>
      <c r="D54" s="126" t="s">
        <v>199</v>
      </c>
      <c r="E54" s="183" t="s">
        <v>1597</v>
      </c>
      <c r="F54" s="126" t="s">
        <v>480</v>
      </c>
      <c r="G54" s="126"/>
      <c r="H54" s="185">
        <v>53</v>
      </c>
      <c r="I54" s="183" t="s">
        <v>1714</v>
      </c>
    </row>
    <row r="55" spans="1:9" ht="24.95" customHeight="1" x14ac:dyDescent="0.25">
      <c r="A55" s="126" t="s">
        <v>1566</v>
      </c>
      <c r="B55" s="183" t="s">
        <v>1715</v>
      </c>
      <c r="C55" s="184">
        <v>2023</v>
      </c>
      <c r="D55" s="126" t="s">
        <v>199</v>
      </c>
      <c r="E55" s="183" t="s">
        <v>1597</v>
      </c>
      <c r="F55" s="126" t="s">
        <v>480</v>
      </c>
      <c r="G55" s="126" t="s">
        <v>1716</v>
      </c>
      <c r="H55" s="185">
        <v>54</v>
      </c>
      <c r="I55" s="183" t="s">
        <v>1717</v>
      </c>
    </row>
    <row r="56" spans="1:9" ht="24.95" customHeight="1" x14ac:dyDescent="0.25">
      <c r="A56" s="126" t="s">
        <v>1566</v>
      </c>
      <c r="B56" s="183" t="s">
        <v>1718</v>
      </c>
      <c r="C56" s="184">
        <v>2023</v>
      </c>
      <c r="D56" s="126" t="s">
        <v>199</v>
      </c>
      <c r="E56" s="183" t="s">
        <v>1597</v>
      </c>
      <c r="F56" s="126" t="s">
        <v>1719</v>
      </c>
      <c r="G56" s="126" t="s">
        <v>1720</v>
      </c>
      <c r="H56" s="185">
        <v>55</v>
      </c>
      <c r="I56" s="183" t="s">
        <v>1721</v>
      </c>
    </row>
    <row r="57" spans="1:9" ht="24.95" customHeight="1" x14ac:dyDescent="0.25">
      <c r="A57" s="126" t="s">
        <v>1722</v>
      </c>
      <c r="B57" s="183" t="s">
        <v>1723</v>
      </c>
      <c r="C57" s="184">
        <v>2022</v>
      </c>
      <c r="D57" s="126" t="s">
        <v>199</v>
      </c>
      <c r="E57" s="183" t="s">
        <v>1597</v>
      </c>
      <c r="F57" s="126" t="s">
        <v>606</v>
      </c>
      <c r="G57" s="126"/>
      <c r="H57" s="185">
        <v>56</v>
      </c>
      <c r="I57" s="183" t="s">
        <v>1724</v>
      </c>
    </row>
    <row r="58" spans="1:9" ht="24.95" customHeight="1" x14ac:dyDescent="0.25">
      <c r="A58" s="126" t="s">
        <v>1566</v>
      </c>
      <c r="B58" s="183" t="s">
        <v>1725</v>
      </c>
      <c r="C58" s="126">
        <v>2024</v>
      </c>
      <c r="D58" s="126" t="s">
        <v>199</v>
      </c>
      <c r="E58" s="183" t="s">
        <v>1597</v>
      </c>
      <c r="F58" s="126" t="s">
        <v>1726</v>
      </c>
      <c r="G58" s="126" t="s">
        <v>1727</v>
      </c>
      <c r="H58" s="185">
        <v>57</v>
      </c>
      <c r="I58" s="183" t="s">
        <v>1728</v>
      </c>
    </row>
    <row r="59" spans="1:9" ht="24.95" customHeight="1" x14ac:dyDescent="0.25">
      <c r="A59" s="126" t="s">
        <v>1566</v>
      </c>
      <c r="B59" s="183" t="s">
        <v>1729</v>
      </c>
      <c r="C59" s="184" t="s">
        <v>1730</v>
      </c>
      <c r="D59" s="126" t="s">
        <v>200</v>
      </c>
      <c r="E59" s="183" t="s">
        <v>1600</v>
      </c>
      <c r="F59" s="126" t="s">
        <v>606</v>
      </c>
      <c r="G59" s="126"/>
      <c r="H59" s="185">
        <v>58</v>
      </c>
      <c r="I59" s="183" t="s">
        <v>1731</v>
      </c>
    </row>
    <row r="60" spans="1:9" ht="24.95" customHeight="1" x14ac:dyDescent="0.25">
      <c r="A60" s="126" t="s">
        <v>1566</v>
      </c>
      <c r="B60" s="183" t="s">
        <v>1732</v>
      </c>
      <c r="C60" s="184" t="s">
        <v>1579</v>
      </c>
      <c r="D60" s="126" t="s">
        <v>200</v>
      </c>
      <c r="E60" s="183" t="s">
        <v>1600</v>
      </c>
      <c r="F60" s="126" t="s">
        <v>700</v>
      </c>
      <c r="G60" s="126" t="s">
        <v>1733</v>
      </c>
      <c r="H60" s="185">
        <v>59</v>
      </c>
      <c r="I60" s="183" t="s">
        <v>1734</v>
      </c>
    </row>
    <row r="61" spans="1:9" ht="24.95" customHeight="1" x14ac:dyDescent="0.25">
      <c r="A61" s="126" t="s">
        <v>1566</v>
      </c>
      <c r="B61" s="183" t="s">
        <v>1735</v>
      </c>
      <c r="C61" s="184">
        <v>2023</v>
      </c>
      <c r="D61" s="126" t="s">
        <v>200</v>
      </c>
      <c r="E61" s="183" t="s">
        <v>1600</v>
      </c>
      <c r="F61" s="126" t="s">
        <v>700</v>
      </c>
      <c r="G61" s="126" t="s">
        <v>1736</v>
      </c>
      <c r="H61" s="185">
        <v>60</v>
      </c>
      <c r="I61" s="183" t="s">
        <v>1737</v>
      </c>
    </row>
    <row r="62" spans="1:9" ht="24.95" customHeight="1" x14ac:dyDescent="0.25">
      <c r="A62" s="126" t="s">
        <v>1566</v>
      </c>
      <c r="B62" s="183" t="s">
        <v>1738</v>
      </c>
      <c r="C62" s="184">
        <v>2023</v>
      </c>
      <c r="D62" s="126" t="s">
        <v>200</v>
      </c>
      <c r="E62" s="183" t="s">
        <v>1600</v>
      </c>
      <c r="F62" s="126" t="s">
        <v>606</v>
      </c>
      <c r="G62" s="126"/>
      <c r="H62" s="185">
        <v>61</v>
      </c>
      <c r="I62" s="183" t="s">
        <v>1739</v>
      </c>
    </row>
    <row r="63" spans="1:9" ht="24.95" customHeight="1" x14ac:dyDescent="0.25">
      <c r="A63" s="126" t="s">
        <v>1740</v>
      </c>
      <c r="B63" s="183" t="s">
        <v>1741</v>
      </c>
      <c r="C63" s="184">
        <v>2023</v>
      </c>
      <c r="D63" s="126" t="s">
        <v>200</v>
      </c>
      <c r="E63" s="183" t="s">
        <v>1600</v>
      </c>
      <c r="F63" s="126" t="s">
        <v>480</v>
      </c>
      <c r="G63" s="126" t="s">
        <v>1581</v>
      </c>
      <c r="H63" s="185">
        <v>62</v>
      </c>
      <c r="I63" s="183" t="s">
        <v>1742</v>
      </c>
    </row>
    <row r="64" spans="1:9" ht="24.95" customHeight="1" x14ac:dyDescent="0.25">
      <c r="A64" s="126" t="s">
        <v>1566</v>
      </c>
      <c r="B64" s="183" t="s">
        <v>1743</v>
      </c>
      <c r="C64" s="184">
        <v>2023</v>
      </c>
      <c r="D64" s="126" t="s">
        <v>200</v>
      </c>
      <c r="E64" s="183" t="s">
        <v>1600</v>
      </c>
      <c r="F64" s="126" t="s">
        <v>480</v>
      </c>
      <c r="G64" s="126" t="s">
        <v>1581</v>
      </c>
      <c r="H64" s="185">
        <v>63</v>
      </c>
      <c r="I64" s="183" t="s">
        <v>1744</v>
      </c>
    </row>
    <row r="65" spans="1:9" ht="24.95" customHeight="1" x14ac:dyDescent="0.25">
      <c r="A65" s="126" t="s">
        <v>1566</v>
      </c>
      <c r="B65" s="183" t="s">
        <v>1745</v>
      </c>
      <c r="C65" s="184">
        <v>2023</v>
      </c>
      <c r="D65" s="126" t="s">
        <v>200</v>
      </c>
      <c r="E65" s="183" t="s">
        <v>1600</v>
      </c>
      <c r="F65" s="126" t="s">
        <v>1746</v>
      </c>
      <c r="G65" s="126"/>
      <c r="H65" s="185">
        <v>64</v>
      </c>
      <c r="I65" s="183" t="s">
        <v>1747</v>
      </c>
    </row>
    <row r="66" spans="1:9" ht="24.95" customHeight="1" x14ac:dyDescent="0.25">
      <c r="A66" s="126" t="s">
        <v>1566</v>
      </c>
      <c r="B66" s="183" t="s">
        <v>1748</v>
      </c>
      <c r="C66" s="184">
        <v>2024</v>
      </c>
      <c r="D66" s="126" t="s">
        <v>201</v>
      </c>
      <c r="E66" s="183" t="s">
        <v>1607</v>
      </c>
      <c r="F66" s="126" t="s">
        <v>1749</v>
      </c>
      <c r="G66" s="126"/>
      <c r="H66" s="185">
        <v>65</v>
      </c>
      <c r="I66" s="183" t="s">
        <v>1750</v>
      </c>
    </row>
    <row r="67" spans="1:9" ht="24.95" customHeight="1" x14ac:dyDescent="0.25">
      <c r="A67" s="126" t="s">
        <v>1566</v>
      </c>
      <c r="B67" s="183" t="s">
        <v>1751</v>
      </c>
      <c r="C67" s="184">
        <v>2023</v>
      </c>
      <c r="D67" s="126" t="s">
        <v>201</v>
      </c>
      <c r="E67" s="183" t="s">
        <v>1607</v>
      </c>
      <c r="F67" s="126" t="s">
        <v>629</v>
      </c>
      <c r="G67" s="126"/>
      <c r="H67" s="185">
        <v>66</v>
      </c>
      <c r="I67" s="183" t="s">
        <v>1752</v>
      </c>
    </row>
    <row r="68" spans="1:9" ht="24.95" customHeight="1" x14ac:dyDescent="0.25">
      <c r="A68" s="126" t="s">
        <v>1566</v>
      </c>
      <c r="B68" s="183" t="s">
        <v>1753</v>
      </c>
      <c r="C68" s="184">
        <v>2023</v>
      </c>
      <c r="D68" s="126" t="s">
        <v>201</v>
      </c>
      <c r="E68" s="183" t="s">
        <v>1607</v>
      </c>
      <c r="F68" s="126" t="s">
        <v>1754</v>
      </c>
      <c r="G68" s="126"/>
      <c r="H68" s="185">
        <v>67</v>
      </c>
      <c r="I68" s="183" t="s">
        <v>1755</v>
      </c>
    </row>
    <row r="69" spans="1:9" ht="24.95" customHeight="1" x14ac:dyDescent="0.25">
      <c r="A69" s="126" t="s">
        <v>1566</v>
      </c>
      <c r="B69" s="183" t="s">
        <v>1756</v>
      </c>
      <c r="C69" s="184">
        <v>2024</v>
      </c>
      <c r="D69" s="126" t="s">
        <v>1603</v>
      </c>
      <c r="E69" s="183" t="s">
        <v>1604</v>
      </c>
      <c r="F69" s="126" t="s">
        <v>606</v>
      </c>
      <c r="G69" s="126"/>
      <c r="H69" s="185">
        <v>68</v>
      </c>
      <c r="I69" s="183" t="s">
        <v>1757</v>
      </c>
    </row>
    <row r="70" spans="1:9" ht="24.95" customHeight="1" x14ac:dyDescent="0.25">
      <c r="A70" s="126" t="s">
        <v>1566</v>
      </c>
      <c r="B70" s="183" t="s">
        <v>1758</v>
      </c>
      <c r="C70" s="184">
        <v>2025</v>
      </c>
      <c r="D70" s="126" t="s">
        <v>1603</v>
      </c>
      <c r="E70" s="183" t="s">
        <v>1604</v>
      </c>
      <c r="F70" s="126" t="s">
        <v>606</v>
      </c>
      <c r="G70" s="126"/>
      <c r="H70" s="185">
        <v>69</v>
      </c>
      <c r="I70" s="183" t="s">
        <v>1759</v>
      </c>
    </row>
    <row r="71" spans="1:9" ht="24.95" customHeight="1" x14ac:dyDescent="0.25">
      <c r="A71" s="126" t="s">
        <v>1566</v>
      </c>
      <c r="B71" s="183" t="s">
        <v>1760</v>
      </c>
      <c r="C71" s="184">
        <v>2023</v>
      </c>
      <c r="D71" s="126" t="s">
        <v>1603</v>
      </c>
      <c r="E71" s="183" t="s">
        <v>1604</v>
      </c>
      <c r="F71" s="126" t="s">
        <v>480</v>
      </c>
      <c r="G71" s="126"/>
      <c r="H71" s="185">
        <v>70</v>
      </c>
      <c r="I71" s="183" t="s">
        <v>1761</v>
      </c>
    </row>
    <row r="72" spans="1:9" ht="24.95" customHeight="1" x14ac:dyDescent="0.25">
      <c r="A72" s="126" t="s">
        <v>1566</v>
      </c>
      <c r="B72" s="183" t="s">
        <v>1762</v>
      </c>
      <c r="C72" s="184">
        <v>2025</v>
      </c>
      <c r="D72" s="126" t="s">
        <v>1603</v>
      </c>
      <c r="E72" s="183" t="s">
        <v>1604</v>
      </c>
      <c r="F72" s="126" t="s">
        <v>480</v>
      </c>
      <c r="G72" s="126"/>
      <c r="H72" s="185">
        <v>71</v>
      </c>
      <c r="I72" s="183" t="s">
        <v>1763</v>
      </c>
    </row>
    <row r="73" spans="1:9" ht="24.95" customHeight="1" x14ac:dyDescent="0.25">
      <c r="A73" s="126" t="s">
        <v>1764</v>
      </c>
      <c r="B73" s="183" t="s">
        <v>1765</v>
      </c>
      <c r="C73" s="184">
        <v>2023</v>
      </c>
      <c r="D73" s="126" t="s">
        <v>203</v>
      </c>
      <c r="E73" s="183" t="s">
        <v>1611</v>
      </c>
      <c r="F73" s="126" t="s">
        <v>1612</v>
      </c>
      <c r="G73" s="126"/>
      <c r="H73" s="185">
        <v>72</v>
      </c>
      <c r="I73" s="183" t="s">
        <v>1766</v>
      </c>
    </row>
    <row r="74" spans="1:9" ht="24.95" customHeight="1" x14ac:dyDescent="0.25">
      <c r="A74" s="126" t="s">
        <v>1566</v>
      </c>
      <c r="B74" s="183" t="s">
        <v>1767</v>
      </c>
      <c r="C74" s="184">
        <v>2024</v>
      </c>
      <c r="D74" s="126" t="s">
        <v>203</v>
      </c>
      <c r="E74" s="183" t="s">
        <v>1611</v>
      </c>
      <c r="F74" s="126" t="s">
        <v>508</v>
      </c>
      <c r="G74" s="126"/>
      <c r="H74" s="185">
        <v>73</v>
      </c>
      <c r="I74" s="183" t="s">
        <v>1768</v>
      </c>
    </row>
    <row r="75" spans="1:9" ht="24.95" customHeight="1" x14ac:dyDescent="0.25">
      <c r="A75" s="126" t="s">
        <v>1764</v>
      </c>
      <c r="B75" s="183" t="s">
        <v>1769</v>
      </c>
      <c r="C75" s="184">
        <v>2024</v>
      </c>
      <c r="D75" s="126" t="s">
        <v>203</v>
      </c>
      <c r="E75" s="183" t="s">
        <v>1611</v>
      </c>
      <c r="F75" s="126" t="s">
        <v>1088</v>
      </c>
      <c r="G75" s="126"/>
      <c r="H75" s="185">
        <v>74</v>
      </c>
      <c r="I75" s="183" t="s">
        <v>1770</v>
      </c>
    </row>
    <row r="76" spans="1:9" ht="24.95" customHeight="1" x14ac:dyDescent="0.25">
      <c r="A76" s="126" t="s">
        <v>1764</v>
      </c>
      <c r="B76" s="183" t="s">
        <v>1771</v>
      </c>
      <c r="C76" s="184">
        <v>2024</v>
      </c>
      <c r="D76" s="126" t="s">
        <v>203</v>
      </c>
      <c r="E76" s="183" t="s">
        <v>1611</v>
      </c>
      <c r="F76" s="126" t="s">
        <v>400</v>
      </c>
      <c r="G76" s="126"/>
      <c r="H76" s="185">
        <v>75</v>
      </c>
      <c r="I76" s="183" t="s">
        <v>1772</v>
      </c>
    </row>
    <row r="77" spans="1:9" ht="24.95" customHeight="1" x14ac:dyDescent="0.25">
      <c r="A77" s="126" t="s">
        <v>1566</v>
      </c>
      <c r="B77" s="183" t="s">
        <v>1773</v>
      </c>
      <c r="C77" s="184">
        <v>2023</v>
      </c>
      <c r="D77" s="126" t="s">
        <v>203</v>
      </c>
      <c r="E77" s="183" t="s">
        <v>1611</v>
      </c>
      <c r="F77" s="126" t="s">
        <v>700</v>
      </c>
      <c r="G77" s="126"/>
      <c r="H77" s="185">
        <v>76</v>
      </c>
      <c r="I77" s="183" t="s">
        <v>1774</v>
      </c>
    </row>
    <row r="78" spans="1:9" ht="24.95" customHeight="1" x14ac:dyDescent="0.25">
      <c r="A78" s="126" t="s">
        <v>1764</v>
      </c>
      <c r="B78" s="183" t="s">
        <v>1775</v>
      </c>
      <c r="C78" s="184">
        <v>2023</v>
      </c>
      <c r="D78" s="126" t="s">
        <v>203</v>
      </c>
      <c r="E78" s="183" t="s">
        <v>1611</v>
      </c>
      <c r="F78" s="126" t="s">
        <v>400</v>
      </c>
      <c r="G78" s="126"/>
      <c r="H78" s="185">
        <v>77</v>
      </c>
      <c r="I78" s="183" t="s">
        <v>1776</v>
      </c>
    </row>
    <row r="79" spans="1:9" ht="24.95" customHeight="1" x14ac:dyDescent="0.25">
      <c r="A79" s="126" t="s">
        <v>1764</v>
      </c>
      <c r="B79" s="183" t="s">
        <v>1777</v>
      </c>
      <c r="C79" s="184">
        <v>2023</v>
      </c>
      <c r="D79" s="126" t="s">
        <v>203</v>
      </c>
      <c r="E79" s="183" t="s">
        <v>1611</v>
      </c>
      <c r="F79" s="126" t="s">
        <v>700</v>
      </c>
      <c r="G79" s="126"/>
      <c r="H79" s="185">
        <v>78</v>
      </c>
      <c r="I79" s="183" t="s">
        <v>1778</v>
      </c>
    </row>
    <row r="80" spans="1:9" ht="24.95" customHeight="1" x14ac:dyDescent="0.25">
      <c r="A80" s="126" t="s">
        <v>1764</v>
      </c>
      <c r="B80" s="183" t="s">
        <v>1779</v>
      </c>
      <c r="C80" s="184">
        <v>2023</v>
      </c>
      <c r="D80" s="126" t="s">
        <v>203</v>
      </c>
      <c r="E80" s="183" t="s">
        <v>1611</v>
      </c>
      <c r="F80" s="126" t="s">
        <v>454</v>
      </c>
      <c r="G80" s="126"/>
      <c r="H80" s="185">
        <v>79</v>
      </c>
      <c r="I80" s="183" t="s">
        <v>1780</v>
      </c>
    </row>
    <row r="81" spans="1:9" ht="24.95" customHeight="1" x14ac:dyDescent="0.25">
      <c r="A81" s="126" t="s">
        <v>1764</v>
      </c>
      <c r="B81" s="183" t="s">
        <v>1781</v>
      </c>
      <c r="C81" s="184">
        <v>2023</v>
      </c>
      <c r="D81" s="126" t="s">
        <v>203</v>
      </c>
      <c r="E81" s="183" t="s">
        <v>1611</v>
      </c>
      <c r="F81" s="126" t="s">
        <v>454</v>
      </c>
      <c r="G81" s="126"/>
      <c r="H81" s="185">
        <v>80</v>
      </c>
      <c r="I81" s="183" t="s">
        <v>1782</v>
      </c>
    </row>
    <row r="82" spans="1:9" ht="24.95" customHeight="1" x14ac:dyDescent="0.25">
      <c r="A82" s="126" t="s">
        <v>1592</v>
      </c>
      <c r="B82" s="183" t="s">
        <v>1783</v>
      </c>
      <c r="C82" s="184">
        <v>2024</v>
      </c>
      <c r="D82" s="126" t="s">
        <v>203</v>
      </c>
      <c r="E82" s="183" t="s">
        <v>1611</v>
      </c>
      <c r="F82" s="126" t="s">
        <v>480</v>
      </c>
      <c r="G82" s="126"/>
      <c r="H82" s="185">
        <v>81</v>
      </c>
      <c r="I82" s="183" t="s">
        <v>1784</v>
      </c>
    </row>
    <row r="83" spans="1:9" ht="24.95" customHeight="1" x14ac:dyDescent="0.25">
      <c r="A83" s="126" t="s">
        <v>1614</v>
      </c>
      <c r="B83" s="183" t="s">
        <v>1785</v>
      </c>
      <c r="C83" s="184">
        <v>2023</v>
      </c>
      <c r="D83" s="126" t="s">
        <v>204</v>
      </c>
      <c r="E83" s="183" t="s">
        <v>1616</v>
      </c>
      <c r="F83" s="126" t="s">
        <v>1786</v>
      </c>
      <c r="G83" s="126"/>
      <c r="H83" s="185">
        <v>82</v>
      </c>
      <c r="I83" s="183" t="s">
        <v>1787</v>
      </c>
    </row>
    <row r="84" spans="1:9" ht="24.95" customHeight="1" x14ac:dyDescent="0.25">
      <c r="A84" s="126" t="s">
        <v>1614</v>
      </c>
      <c r="B84" s="183" t="s">
        <v>1788</v>
      </c>
      <c r="C84" s="184">
        <v>2023</v>
      </c>
      <c r="D84" s="126" t="s">
        <v>204</v>
      </c>
      <c r="E84" s="183" t="s">
        <v>1616</v>
      </c>
      <c r="F84" s="126" t="s">
        <v>1789</v>
      </c>
      <c r="G84" s="126"/>
      <c r="H84" s="185">
        <v>83</v>
      </c>
      <c r="I84" s="183" t="s">
        <v>1790</v>
      </c>
    </row>
    <row r="85" spans="1:9" ht="24.95" customHeight="1" x14ac:dyDescent="0.25">
      <c r="A85" s="126" t="s">
        <v>1614</v>
      </c>
      <c r="B85" s="183" t="s">
        <v>1791</v>
      </c>
      <c r="C85" s="184">
        <v>2024</v>
      </c>
      <c r="D85" s="126" t="s">
        <v>204</v>
      </c>
      <c r="E85" s="183" t="s">
        <v>1616</v>
      </c>
      <c r="F85" s="126" t="s">
        <v>1789</v>
      </c>
      <c r="G85" s="126"/>
      <c r="H85" s="185">
        <v>84</v>
      </c>
      <c r="I85" s="183" t="s">
        <v>1792</v>
      </c>
    </row>
    <row r="86" spans="1:9" ht="24.95" customHeight="1" x14ac:dyDescent="0.25">
      <c r="A86" s="126" t="s">
        <v>1614</v>
      </c>
      <c r="B86" s="183" t="s">
        <v>1793</v>
      </c>
      <c r="C86" s="184">
        <v>2023</v>
      </c>
      <c r="D86" s="126" t="s">
        <v>204</v>
      </c>
      <c r="E86" s="183" t="s">
        <v>1616</v>
      </c>
      <c r="F86" s="126" t="s">
        <v>1794</v>
      </c>
      <c r="G86" s="126"/>
      <c r="H86" s="185">
        <v>85</v>
      </c>
      <c r="I86" s="183" t="s">
        <v>1795</v>
      </c>
    </row>
    <row r="87" spans="1:9" ht="24.95" customHeight="1" x14ac:dyDescent="0.25">
      <c r="A87" s="126" t="s">
        <v>1614</v>
      </c>
      <c r="B87" s="183" t="s">
        <v>1796</v>
      </c>
      <c r="C87" s="184">
        <v>2024</v>
      </c>
      <c r="D87" s="126" t="s">
        <v>204</v>
      </c>
      <c r="E87" s="183" t="s">
        <v>1616</v>
      </c>
      <c r="F87" s="126" t="s">
        <v>1797</v>
      </c>
      <c r="G87" s="126"/>
      <c r="H87" s="185">
        <v>86</v>
      </c>
      <c r="I87" s="183" t="s">
        <v>1798</v>
      </c>
    </row>
    <row r="88" spans="1:9" ht="24.95" customHeight="1" x14ac:dyDescent="0.25">
      <c r="A88" s="126" t="s">
        <v>1614</v>
      </c>
      <c r="B88" s="183" t="s">
        <v>1799</v>
      </c>
      <c r="C88" s="184">
        <v>2023</v>
      </c>
      <c r="D88" s="126" t="s">
        <v>204</v>
      </c>
      <c r="E88" s="183" t="s">
        <v>1616</v>
      </c>
      <c r="F88" s="126" t="s">
        <v>1800</v>
      </c>
      <c r="G88" s="126"/>
      <c r="H88" s="185">
        <v>87</v>
      </c>
      <c r="I88" s="126" t="s">
        <v>1801</v>
      </c>
    </row>
    <row r="89" spans="1:9" ht="24.95" customHeight="1" x14ac:dyDescent="0.25">
      <c r="A89" s="126" t="s">
        <v>1614</v>
      </c>
      <c r="B89" s="183" t="s">
        <v>1802</v>
      </c>
      <c r="C89" s="184">
        <v>2023</v>
      </c>
      <c r="D89" s="126" t="s">
        <v>204</v>
      </c>
      <c r="E89" s="183" t="s">
        <v>1616</v>
      </c>
      <c r="F89" s="126" t="s">
        <v>1803</v>
      </c>
      <c r="G89" s="126"/>
      <c r="H89" s="185">
        <v>88</v>
      </c>
      <c r="I89" s="183" t="s">
        <v>1804</v>
      </c>
    </row>
    <row r="90" spans="1:9" ht="24.95" customHeight="1" x14ac:dyDescent="0.25">
      <c r="A90" s="126" t="s">
        <v>1614</v>
      </c>
      <c r="B90" s="183" t="s">
        <v>1805</v>
      </c>
      <c r="C90" s="184" t="s">
        <v>1579</v>
      </c>
      <c r="D90" s="126" t="s">
        <v>204</v>
      </c>
      <c r="E90" s="183" t="s">
        <v>1616</v>
      </c>
      <c r="F90" s="126" t="s">
        <v>1806</v>
      </c>
      <c r="G90" s="126"/>
      <c r="H90" s="185">
        <v>89</v>
      </c>
      <c r="I90" s="183" t="s">
        <v>1807</v>
      </c>
    </row>
    <row r="91" spans="1:9" ht="24.95" customHeight="1" x14ac:dyDescent="0.25">
      <c r="A91" s="126" t="s">
        <v>1614</v>
      </c>
      <c r="B91" s="183" t="s">
        <v>1808</v>
      </c>
      <c r="C91" s="184">
        <v>2023</v>
      </c>
      <c r="D91" s="126" t="s">
        <v>204</v>
      </c>
      <c r="E91" s="183" t="s">
        <v>1616</v>
      </c>
      <c r="F91" s="126" t="s">
        <v>1809</v>
      </c>
      <c r="G91" s="126"/>
      <c r="H91" s="185">
        <v>90</v>
      </c>
      <c r="I91" s="183" t="s">
        <v>1810</v>
      </c>
    </row>
    <row r="92" spans="1:9" ht="24.95" customHeight="1" x14ac:dyDescent="0.25">
      <c r="A92" s="126" t="s">
        <v>1614</v>
      </c>
      <c r="B92" s="183" t="s">
        <v>1811</v>
      </c>
      <c r="C92" s="184">
        <v>2023</v>
      </c>
      <c r="D92" s="126" t="s">
        <v>204</v>
      </c>
      <c r="E92" s="183" t="s">
        <v>1616</v>
      </c>
      <c r="F92" s="126" t="s">
        <v>1812</v>
      </c>
      <c r="G92" s="126"/>
      <c r="H92" s="185">
        <v>91</v>
      </c>
      <c r="I92" s="183" t="s">
        <v>1813</v>
      </c>
    </row>
    <row r="93" spans="1:9" ht="24.95" customHeight="1" x14ac:dyDescent="0.25">
      <c r="A93" s="126" t="s">
        <v>1614</v>
      </c>
      <c r="B93" s="183" t="s">
        <v>1814</v>
      </c>
      <c r="C93" s="184">
        <v>2023</v>
      </c>
      <c r="D93" s="126" t="s">
        <v>204</v>
      </c>
      <c r="E93" s="183" t="s">
        <v>1616</v>
      </c>
      <c r="F93" s="126" t="s">
        <v>1815</v>
      </c>
      <c r="G93" s="126"/>
      <c r="H93" s="185">
        <v>92</v>
      </c>
      <c r="I93" s="183" t="s">
        <v>1816</v>
      </c>
    </row>
    <row r="94" spans="1:9" ht="24.95" customHeight="1" x14ac:dyDescent="0.25">
      <c r="A94" s="126" t="s">
        <v>1614</v>
      </c>
      <c r="B94" s="183" t="s">
        <v>1817</v>
      </c>
      <c r="C94" s="184" t="s">
        <v>1818</v>
      </c>
      <c r="D94" s="126" t="s">
        <v>204</v>
      </c>
      <c r="E94" s="183" t="s">
        <v>1616</v>
      </c>
      <c r="F94" s="126" t="s">
        <v>454</v>
      </c>
      <c r="G94" s="126"/>
      <c r="H94" s="185">
        <v>93</v>
      </c>
      <c r="I94" s="183" t="s">
        <v>1819</v>
      </c>
    </row>
    <row r="95" spans="1:9" ht="24.95" customHeight="1" x14ac:dyDescent="0.25">
      <c r="A95" s="126" t="s">
        <v>1614</v>
      </c>
      <c r="B95" s="183" t="s">
        <v>1820</v>
      </c>
      <c r="C95" s="184">
        <v>2023</v>
      </c>
      <c r="D95" s="126" t="s">
        <v>204</v>
      </c>
      <c r="E95" s="183" t="s">
        <v>1616</v>
      </c>
      <c r="F95" s="126" t="s">
        <v>1821</v>
      </c>
      <c r="G95" s="126"/>
      <c r="H95" s="185">
        <v>94</v>
      </c>
      <c r="I95" s="183" t="s">
        <v>1822</v>
      </c>
    </row>
  </sheetData>
  <autoFilter ref="A1:I95" xr:uid="{67C547E8-FAAE-4674-B8AB-D3E31F7153E8}">
    <sortState xmlns:xlrd2="http://schemas.microsoft.com/office/spreadsheetml/2017/richdata2" ref="A2:I95">
      <sortCondition ref="H1:H95"/>
    </sortState>
  </autoFilter>
  <phoneticPr fontId="16" type="noConversion"/>
  <pageMargins left="0.7" right="0.7" top="0.75" bottom="0.75" header="0.3" footer="0.3"/>
  <legacy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C0BCF84-3C4B-4050-B223-52F445BD8F7D}">
  <dimension ref="A1:R66"/>
  <sheetViews>
    <sheetView workbookViewId="0">
      <selection activeCell="R2" sqref="R2:R8"/>
    </sheetView>
  </sheetViews>
  <sheetFormatPr defaultRowHeight="15" x14ac:dyDescent="0.25"/>
  <cols>
    <col min="1" max="1" width="8.7109375" style="2"/>
    <col min="17" max="17" width="10.140625" customWidth="1"/>
    <col min="18" max="18" width="10.5703125" bestFit="1" customWidth="1"/>
  </cols>
  <sheetData>
    <row r="1" spans="1:18" x14ac:dyDescent="0.25">
      <c r="A1" s="109" t="s">
        <v>1823</v>
      </c>
      <c r="B1" s="109" t="s">
        <v>1824</v>
      </c>
      <c r="C1" s="109" t="s">
        <v>1825</v>
      </c>
      <c r="D1" s="109" t="s">
        <v>1826</v>
      </c>
      <c r="E1" s="109" t="s">
        <v>1827</v>
      </c>
      <c r="F1" s="109" t="s">
        <v>1828</v>
      </c>
      <c r="G1" s="109" t="s">
        <v>1829</v>
      </c>
      <c r="H1" s="109" t="s">
        <v>1830</v>
      </c>
      <c r="I1" s="109" t="s">
        <v>1831</v>
      </c>
      <c r="J1" s="109" t="s">
        <v>1832</v>
      </c>
      <c r="K1" s="109" t="s">
        <v>1833</v>
      </c>
      <c r="L1" s="109" t="s">
        <v>1834</v>
      </c>
      <c r="M1" s="109" t="s">
        <v>1835</v>
      </c>
      <c r="N1" s="109" t="s">
        <v>1836</v>
      </c>
      <c r="O1" s="109" t="s">
        <v>1837</v>
      </c>
      <c r="P1" s="109" t="s">
        <v>1838</v>
      </c>
      <c r="Q1" s="112" t="s">
        <v>1839</v>
      </c>
      <c r="R1" s="112" t="s">
        <v>1840</v>
      </c>
    </row>
    <row r="2" spans="1:18" x14ac:dyDescent="0.25">
      <c r="A2" s="87" t="s">
        <v>207</v>
      </c>
      <c r="B2" s="110" t="s">
        <v>393</v>
      </c>
      <c r="C2" s="110" t="s">
        <v>401</v>
      </c>
      <c r="D2" s="110" t="s">
        <v>408</v>
      </c>
      <c r="E2" s="110" t="s">
        <v>414</v>
      </c>
      <c r="F2" s="110"/>
      <c r="G2" s="110"/>
      <c r="H2" s="110"/>
      <c r="I2" s="110"/>
      <c r="J2" s="110"/>
      <c r="K2" s="110"/>
      <c r="L2" s="110"/>
      <c r="M2" s="110"/>
      <c r="N2" s="110"/>
      <c r="O2" s="110"/>
      <c r="P2" s="110"/>
      <c r="Q2" s="111">
        <f t="shared" ref="Q2:Q33" si="0">COUNTA(B2:P2)</f>
        <v>4</v>
      </c>
      <c r="R2" s="244">
        <f>SUM(Q2:Q8)</f>
        <v>45</v>
      </c>
    </row>
    <row r="3" spans="1:18" x14ac:dyDescent="0.25">
      <c r="A3" s="87" t="s">
        <v>211</v>
      </c>
      <c r="B3" s="110" t="s">
        <v>419</v>
      </c>
      <c r="C3" s="110" t="s">
        <v>425</v>
      </c>
      <c r="D3" s="110" t="s">
        <v>430</v>
      </c>
      <c r="E3" s="110" t="s">
        <v>434</v>
      </c>
      <c r="F3" s="110" t="s">
        <v>438</v>
      </c>
      <c r="G3" s="110" t="s">
        <v>442</v>
      </c>
      <c r="H3" s="110" t="s">
        <v>446</v>
      </c>
      <c r="I3" s="110" t="s">
        <v>450</v>
      </c>
      <c r="J3" s="110" t="s">
        <v>455</v>
      </c>
      <c r="K3" s="110" t="s">
        <v>459</v>
      </c>
      <c r="L3" s="110"/>
      <c r="M3" s="110"/>
      <c r="N3" s="110"/>
      <c r="O3" s="110"/>
      <c r="P3" s="110"/>
      <c r="Q3" s="111">
        <f t="shared" si="0"/>
        <v>10</v>
      </c>
      <c r="R3" s="244"/>
    </row>
    <row r="4" spans="1:18" x14ac:dyDescent="0.25">
      <c r="A4" s="87" t="s">
        <v>214</v>
      </c>
      <c r="B4" s="110" t="s">
        <v>465</v>
      </c>
      <c r="C4" s="110" t="s">
        <v>470</v>
      </c>
      <c r="D4" s="110" t="s">
        <v>476</v>
      </c>
      <c r="E4" s="110" t="s">
        <v>481</v>
      </c>
      <c r="F4" s="110" t="s">
        <v>485</v>
      </c>
      <c r="G4" s="110" t="s">
        <v>488</v>
      </c>
      <c r="H4" s="110" t="s">
        <v>491</v>
      </c>
      <c r="I4" s="110" t="s">
        <v>495</v>
      </c>
      <c r="J4" s="110" t="s">
        <v>499</v>
      </c>
      <c r="K4" s="110"/>
      <c r="L4" s="110"/>
      <c r="M4" s="110"/>
      <c r="N4" s="110"/>
      <c r="O4" s="110"/>
      <c r="P4" s="110"/>
      <c r="Q4" s="111">
        <f t="shared" si="0"/>
        <v>9</v>
      </c>
      <c r="R4" s="244"/>
    </row>
    <row r="5" spans="1:18" x14ac:dyDescent="0.25">
      <c r="A5" s="87" t="s">
        <v>217</v>
      </c>
      <c r="B5" s="110" t="s">
        <v>504</v>
      </c>
      <c r="C5" s="110" t="s">
        <v>510</v>
      </c>
      <c r="D5" s="110" t="s">
        <v>516</v>
      </c>
      <c r="E5" s="110" t="s">
        <v>521</v>
      </c>
      <c r="F5" s="110" t="s">
        <v>525</v>
      </c>
      <c r="G5" s="110" t="s">
        <v>530</v>
      </c>
      <c r="H5" s="110" t="s">
        <v>534</v>
      </c>
      <c r="I5" s="110"/>
      <c r="J5" s="110"/>
      <c r="K5" s="110"/>
      <c r="L5" s="110"/>
      <c r="M5" s="110"/>
      <c r="N5" s="110"/>
      <c r="O5" s="110"/>
      <c r="P5" s="110"/>
      <c r="Q5" s="111">
        <f t="shared" si="0"/>
        <v>7</v>
      </c>
      <c r="R5" s="244"/>
    </row>
    <row r="6" spans="1:18" x14ac:dyDescent="0.25">
      <c r="A6" s="87" t="s">
        <v>220</v>
      </c>
      <c r="B6" s="110" t="s">
        <v>538</v>
      </c>
      <c r="C6" s="110" t="s">
        <v>543</v>
      </c>
      <c r="D6" s="110" t="s">
        <v>547</v>
      </c>
      <c r="E6" s="110" t="s">
        <v>552</v>
      </c>
      <c r="F6" s="110" t="s">
        <v>557</v>
      </c>
      <c r="G6" s="110"/>
      <c r="H6" s="110"/>
      <c r="I6" s="110"/>
      <c r="J6" s="110"/>
      <c r="K6" s="110"/>
      <c r="L6" s="110"/>
      <c r="M6" s="110"/>
      <c r="N6" s="110"/>
      <c r="O6" s="110"/>
      <c r="P6" s="110"/>
      <c r="Q6" s="111">
        <f t="shared" si="0"/>
        <v>5</v>
      </c>
      <c r="R6" s="244"/>
    </row>
    <row r="7" spans="1:18" x14ac:dyDescent="0.25">
      <c r="A7" s="87" t="s">
        <v>222</v>
      </c>
      <c r="B7" s="110" t="s">
        <v>561</v>
      </c>
      <c r="C7" s="110" t="s">
        <v>565</v>
      </c>
      <c r="D7" s="110" t="s">
        <v>569</v>
      </c>
      <c r="E7" s="110" t="s">
        <v>573</v>
      </c>
      <c r="F7" s="110" t="s">
        <v>578</v>
      </c>
      <c r="G7" s="110" t="s">
        <v>582</v>
      </c>
      <c r="H7" s="110" t="s">
        <v>586</v>
      </c>
      <c r="I7" s="110"/>
      <c r="J7" s="110"/>
      <c r="K7" s="110"/>
      <c r="L7" s="110"/>
      <c r="M7" s="110"/>
      <c r="N7" s="110"/>
      <c r="O7" s="110"/>
      <c r="P7" s="110"/>
      <c r="Q7" s="111">
        <f t="shared" si="0"/>
        <v>7</v>
      </c>
      <c r="R7" s="244"/>
    </row>
    <row r="8" spans="1:18" x14ac:dyDescent="0.25">
      <c r="A8" s="87" t="s">
        <v>225</v>
      </c>
      <c r="B8" s="110" t="s">
        <v>590</v>
      </c>
      <c r="C8" s="110" t="s">
        <v>594</v>
      </c>
      <c r="D8" s="110" t="s">
        <v>598</v>
      </c>
      <c r="E8" s="110"/>
      <c r="F8" s="110"/>
      <c r="G8" s="110"/>
      <c r="H8" s="110"/>
      <c r="I8" s="110"/>
      <c r="J8" s="110"/>
      <c r="K8" s="110"/>
      <c r="L8" s="110"/>
      <c r="M8" s="110"/>
      <c r="N8" s="110"/>
      <c r="O8" s="110"/>
      <c r="P8" s="110"/>
      <c r="Q8" s="111">
        <f t="shared" si="0"/>
        <v>3</v>
      </c>
      <c r="R8" s="244"/>
    </row>
    <row r="9" spans="1:18" x14ac:dyDescent="0.25">
      <c r="A9" s="87" t="s">
        <v>228</v>
      </c>
      <c r="B9" s="110" t="s">
        <v>602</v>
      </c>
      <c r="C9" s="110" t="s">
        <v>607</v>
      </c>
      <c r="D9" s="110" t="s">
        <v>611</v>
      </c>
      <c r="E9" s="110" t="s">
        <v>615</v>
      </c>
      <c r="F9" s="110" t="s">
        <v>620</v>
      </c>
      <c r="G9" s="110"/>
      <c r="H9" s="110"/>
      <c r="I9" s="110"/>
      <c r="J9" s="110"/>
      <c r="K9" s="110"/>
      <c r="L9" s="110"/>
      <c r="M9" s="110"/>
      <c r="N9" s="110"/>
      <c r="O9" s="110"/>
      <c r="P9" s="110"/>
      <c r="Q9" s="111">
        <f t="shared" si="0"/>
        <v>5</v>
      </c>
      <c r="R9" s="244">
        <f>SUM(Q9:Q21)</f>
        <v>53</v>
      </c>
    </row>
    <row r="10" spans="1:18" x14ac:dyDescent="0.25">
      <c r="A10" s="87" t="s">
        <v>231</v>
      </c>
      <c r="B10" s="110" t="s">
        <v>625</v>
      </c>
      <c r="C10" s="110"/>
      <c r="D10" s="110"/>
      <c r="E10" s="110"/>
      <c r="F10" s="110"/>
      <c r="G10" s="110"/>
      <c r="H10" s="110"/>
      <c r="I10" s="110"/>
      <c r="J10" s="110"/>
      <c r="K10" s="110"/>
      <c r="L10" s="110"/>
      <c r="M10" s="110"/>
      <c r="N10" s="110"/>
      <c r="O10" s="110"/>
      <c r="P10" s="110"/>
      <c r="Q10" s="111">
        <f t="shared" si="0"/>
        <v>1</v>
      </c>
      <c r="R10" s="244"/>
    </row>
    <row r="11" spans="1:18" x14ac:dyDescent="0.25">
      <c r="A11" s="87" t="s">
        <v>233</v>
      </c>
      <c r="B11" s="110" t="s">
        <v>631</v>
      </c>
      <c r="C11" s="110" t="s">
        <v>636</v>
      </c>
      <c r="D11" s="110" t="s">
        <v>640</v>
      </c>
      <c r="E11" s="110" t="s">
        <v>645</v>
      </c>
      <c r="F11" s="110" t="s">
        <v>650</v>
      </c>
      <c r="G11" s="110"/>
      <c r="H11" s="110"/>
      <c r="I11" s="110"/>
      <c r="J11" s="110"/>
      <c r="K11" s="110"/>
      <c r="L11" s="110"/>
      <c r="M11" s="110"/>
      <c r="N11" s="110"/>
      <c r="O11" s="110"/>
      <c r="P11" s="110"/>
      <c r="Q11" s="111">
        <f t="shared" si="0"/>
        <v>5</v>
      </c>
      <c r="R11" s="244"/>
    </row>
    <row r="12" spans="1:18" x14ac:dyDescent="0.25">
      <c r="A12" s="87" t="s">
        <v>236</v>
      </c>
      <c r="B12" s="110" t="s">
        <v>654</v>
      </c>
      <c r="C12" s="110" t="s">
        <v>660</v>
      </c>
      <c r="D12" s="110" t="s">
        <v>665</v>
      </c>
      <c r="E12" s="110" t="s">
        <v>669</v>
      </c>
      <c r="F12" s="110" t="s">
        <v>674</v>
      </c>
      <c r="G12" s="110" t="s">
        <v>678</v>
      </c>
      <c r="H12" s="110" t="s">
        <v>682</v>
      </c>
      <c r="I12" s="110" t="s">
        <v>687</v>
      </c>
      <c r="J12" s="110"/>
      <c r="K12" s="110"/>
      <c r="L12" s="110"/>
      <c r="M12" s="110"/>
      <c r="N12" s="110"/>
      <c r="O12" s="110"/>
      <c r="P12" s="110"/>
      <c r="Q12" s="111">
        <f t="shared" si="0"/>
        <v>8</v>
      </c>
      <c r="R12" s="244"/>
    </row>
    <row r="13" spans="1:18" x14ac:dyDescent="0.25">
      <c r="A13" s="87" t="s">
        <v>239</v>
      </c>
      <c r="B13" s="110" t="s">
        <v>691</v>
      </c>
      <c r="C13" s="110" t="s">
        <v>696</v>
      </c>
      <c r="D13" s="110" t="s">
        <v>701</v>
      </c>
      <c r="E13" s="110" t="s">
        <v>705</v>
      </c>
      <c r="F13" s="110"/>
      <c r="G13" s="110"/>
      <c r="H13" s="110"/>
      <c r="I13" s="110"/>
      <c r="J13" s="110"/>
      <c r="K13" s="110"/>
      <c r="L13" s="110"/>
      <c r="M13" s="110"/>
      <c r="N13" s="110"/>
      <c r="O13" s="110"/>
      <c r="P13" s="110"/>
      <c r="Q13" s="111">
        <f t="shared" si="0"/>
        <v>4</v>
      </c>
      <c r="R13" s="244"/>
    </row>
    <row r="14" spans="1:18" x14ac:dyDescent="0.25">
      <c r="A14" s="87" t="s">
        <v>241</v>
      </c>
      <c r="B14" s="110" t="s">
        <v>710</v>
      </c>
      <c r="C14" s="110" t="s">
        <v>714</v>
      </c>
      <c r="D14" s="110" t="s">
        <v>719</v>
      </c>
      <c r="E14" s="110" t="s">
        <v>724</v>
      </c>
      <c r="F14" s="110"/>
      <c r="G14" s="110"/>
      <c r="H14" s="110"/>
      <c r="I14" s="110"/>
      <c r="J14" s="110"/>
      <c r="K14" s="110"/>
      <c r="L14" s="110"/>
      <c r="M14" s="110"/>
      <c r="N14" s="110"/>
      <c r="O14" s="110"/>
      <c r="P14" s="110"/>
      <c r="Q14" s="111">
        <f t="shared" si="0"/>
        <v>4</v>
      </c>
      <c r="R14" s="244"/>
    </row>
    <row r="15" spans="1:18" x14ac:dyDescent="0.25">
      <c r="A15" s="87" t="s">
        <v>243</v>
      </c>
      <c r="B15" s="110" t="s">
        <v>729</v>
      </c>
      <c r="C15" s="110" t="s">
        <v>733</v>
      </c>
      <c r="D15" s="110" t="s">
        <v>737</v>
      </c>
      <c r="E15" s="110" t="s">
        <v>741</v>
      </c>
      <c r="F15" s="110" t="s">
        <v>745</v>
      </c>
      <c r="G15" s="110"/>
      <c r="H15" s="110"/>
      <c r="I15" s="110"/>
      <c r="J15" s="110"/>
      <c r="K15" s="110"/>
      <c r="L15" s="110"/>
      <c r="M15" s="110"/>
      <c r="N15" s="110"/>
      <c r="O15" s="110"/>
      <c r="P15" s="110"/>
      <c r="Q15" s="111">
        <f t="shared" si="0"/>
        <v>5</v>
      </c>
      <c r="R15" s="244"/>
    </row>
    <row r="16" spans="1:18" x14ac:dyDescent="0.25">
      <c r="A16" s="87" t="s">
        <v>246</v>
      </c>
      <c r="B16" s="110" t="s">
        <v>749</v>
      </c>
      <c r="C16" s="110" t="s">
        <v>754</v>
      </c>
      <c r="D16" s="110" t="s">
        <v>758</v>
      </c>
      <c r="E16" s="110"/>
      <c r="F16" s="110"/>
      <c r="G16" s="110"/>
      <c r="H16" s="110"/>
      <c r="I16" s="110"/>
      <c r="J16" s="110"/>
      <c r="K16" s="110"/>
      <c r="L16" s="110"/>
      <c r="M16" s="110"/>
      <c r="N16" s="110"/>
      <c r="O16" s="110"/>
      <c r="P16" s="110"/>
      <c r="Q16" s="111">
        <f t="shared" si="0"/>
        <v>3</v>
      </c>
      <c r="R16" s="244"/>
    </row>
    <row r="17" spans="1:18" x14ac:dyDescent="0.25">
      <c r="A17" s="87" t="s">
        <v>248</v>
      </c>
      <c r="B17" s="110" t="s">
        <v>761</v>
      </c>
      <c r="C17" s="110" t="s">
        <v>766</v>
      </c>
      <c r="D17" s="110" t="s">
        <v>770</v>
      </c>
      <c r="E17" s="110" t="s">
        <v>774</v>
      </c>
      <c r="F17" s="110"/>
      <c r="G17" s="110"/>
      <c r="H17" s="110"/>
      <c r="I17" s="110"/>
      <c r="J17" s="110"/>
      <c r="K17" s="110"/>
      <c r="L17" s="110"/>
      <c r="M17" s="110"/>
      <c r="N17" s="110"/>
      <c r="O17" s="110"/>
      <c r="P17" s="110"/>
      <c r="Q17" s="111">
        <f t="shared" si="0"/>
        <v>4</v>
      </c>
      <c r="R17" s="244"/>
    </row>
    <row r="18" spans="1:18" x14ac:dyDescent="0.25">
      <c r="A18" s="87" t="s">
        <v>251</v>
      </c>
      <c r="B18" s="110" t="s">
        <v>778</v>
      </c>
      <c r="C18" s="110" t="s">
        <v>783</v>
      </c>
      <c r="D18" s="110" t="s">
        <v>788</v>
      </c>
      <c r="E18" s="110" t="s">
        <v>792</v>
      </c>
      <c r="F18" s="110"/>
      <c r="G18" s="110"/>
      <c r="H18" s="110"/>
      <c r="I18" s="110"/>
      <c r="J18" s="110"/>
      <c r="K18" s="110"/>
      <c r="L18" s="110"/>
      <c r="M18" s="110"/>
      <c r="N18" s="110"/>
      <c r="O18" s="110"/>
      <c r="P18" s="110"/>
      <c r="Q18" s="111">
        <f t="shared" si="0"/>
        <v>4</v>
      </c>
      <c r="R18" s="244"/>
    </row>
    <row r="19" spans="1:18" x14ac:dyDescent="0.25">
      <c r="A19" s="87" t="s">
        <v>255</v>
      </c>
      <c r="B19" s="110" t="s">
        <v>796</v>
      </c>
      <c r="C19" s="110" t="s">
        <v>802</v>
      </c>
      <c r="D19" s="110"/>
      <c r="E19" s="110"/>
      <c r="F19" s="110"/>
      <c r="G19" s="110"/>
      <c r="H19" s="110"/>
      <c r="I19" s="110"/>
      <c r="J19" s="110"/>
      <c r="K19" s="110"/>
      <c r="L19" s="110"/>
      <c r="M19" s="110"/>
      <c r="N19" s="110"/>
      <c r="O19" s="110"/>
      <c r="P19" s="110"/>
      <c r="Q19" s="111">
        <f t="shared" si="0"/>
        <v>2</v>
      </c>
      <c r="R19" s="244"/>
    </row>
    <row r="20" spans="1:18" x14ac:dyDescent="0.25">
      <c r="A20" s="87" t="s">
        <v>257</v>
      </c>
      <c r="B20" s="110" t="s">
        <v>807</v>
      </c>
      <c r="C20" s="110" t="s">
        <v>812</v>
      </c>
      <c r="D20" s="110" t="s">
        <v>817</v>
      </c>
      <c r="E20" s="110" t="s">
        <v>821</v>
      </c>
      <c r="F20" s="110"/>
      <c r="G20" s="110"/>
      <c r="H20" s="110"/>
      <c r="I20" s="110"/>
      <c r="J20" s="110"/>
      <c r="K20" s="110"/>
      <c r="L20" s="110"/>
      <c r="M20" s="110"/>
      <c r="N20" s="110"/>
      <c r="O20" s="110"/>
      <c r="P20" s="110"/>
      <c r="Q20" s="111">
        <f t="shared" si="0"/>
        <v>4</v>
      </c>
      <c r="R20" s="244"/>
    </row>
    <row r="21" spans="1:18" x14ac:dyDescent="0.25">
      <c r="A21" s="87" t="s">
        <v>259</v>
      </c>
      <c r="B21" s="110" t="s">
        <v>825</v>
      </c>
      <c r="C21" s="110" t="s">
        <v>831</v>
      </c>
      <c r="D21" s="110" t="s">
        <v>835</v>
      </c>
      <c r="E21" s="110" t="s">
        <v>839</v>
      </c>
      <c r="F21" s="110"/>
      <c r="G21" s="110"/>
      <c r="H21" s="110"/>
      <c r="I21" s="110"/>
      <c r="J21" s="110"/>
      <c r="K21" s="110"/>
      <c r="L21" s="110"/>
      <c r="M21" s="110"/>
      <c r="N21" s="110"/>
      <c r="O21" s="110"/>
      <c r="P21" s="110"/>
      <c r="Q21" s="111">
        <f t="shared" si="0"/>
        <v>4</v>
      </c>
      <c r="R21" s="244"/>
    </row>
    <row r="22" spans="1:18" x14ac:dyDescent="0.25">
      <c r="A22" s="87" t="s">
        <v>261</v>
      </c>
      <c r="B22" s="110" t="s">
        <v>843</v>
      </c>
      <c r="C22" s="110" t="s">
        <v>849</v>
      </c>
      <c r="D22" s="110"/>
      <c r="E22" s="110"/>
      <c r="F22" s="110"/>
      <c r="G22" s="110"/>
      <c r="H22" s="110"/>
      <c r="I22" s="110"/>
      <c r="J22" s="110"/>
      <c r="K22" s="110"/>
      <c r="L22" s="110"/>
      <c r="M22" s="110"/>
      <c r="N22" s="110"/>
      <c r="O22" s="110"/>
      <c r="P22" s="110"/>
      <c r="Q22" s="111">
        <f t="shared" si="0"/>
        <v>2</v>
      </c>
      <c r="R22" s="244">
        <f>SUM(Q22:Q34)</f>
        <v>45</v>
      </c>
    </row>
    <row r="23" spans="1:18" x14ac:dyDescent="0.25">
      <c r="A23" s="87" t="s">
        <v>264</v>
      </c>
      <c r="B23" s="110" t="s">
        <v>854</v>
      </c>
      <c r="C23" s="110" t="s">
        <v>860</v>
      </c>
      <c r="D23" s="110" t="s">
        <v>865</v>
      </c>
      <c r="E23" s="110" t="s">
        <v>870</v>
      </c>
      <c r="F23" s="110" t="s">
        <v>875</v>
      </c>
      <c r="G23" s="110" t="s">
        <v>880</v>
      </c>
      <c r="H23" s="110" t="s">
        <v>885</v>
      </c>
      <c r="I23" s="110" t="s">
        <v>889</v>
      </c>
      <c r="J23" s="110"/>
      <c r="K23" s="110"/>
      <c r="L23" s="110"/>
      <c r="M23" s="110"/>
      <c r="N23" s="110"/>
      <c r="O23" s="110"/>
      <c r="P23" s="110"/>
      <c r="Q23" s="111">
        <f t="shared" si="0"/>
        <v>8</v>
      </c>
      <c r="R23" s="244"/>
    </row>
    <row r="24" spans="1:18" x14ac:dyDescent="0.25">
      <c r="A24" s="87" t="s">
        <v>267</v>
      </c>
      <c r="B24" s="110" t="s">
        <v>893</v>
      </c>
      <c r="C24" s="110" t="s">
        <v>899</v>
      </c>
      <c r="D24" s="110" t="s">
        <v>904</v>
      </c>
      <c r="E24" s="110" t="s">
        <v>909</v>
      </c>
      <c r="F24" s="110"/>
      <c r="G24" s="110"/>
      <c r="H24" s="110"/>
      <c r="I24" s="110"/>
      <c r="J24" s="110"/>
      <c r="K24" s="110"/>
      <c r="L24" s="110"/>
      <c r="M24" s="110"/>
      <c r="N24" s="110"/>
      <c r="O24" s="110"/>
      <c r="P24" s="110"/>
      <c r="Q24" s="111">
        <f t="shared" si="0"/>
        <v>4</v>
      </c>
      <c r="R24" s="244"/>
    </row>
    <row r="25" spans="1:18" x14ac:dyDescent="0.25">
      <c r="A25" s="87" t="s">
        <v>271</v>
      </c>
      <c r="B25" s="110" t="s">
        <v>914</v>
      </c>
      <c r="C25" s="110" t="s">
        <v>920</v>
      </c>
      <c r="D25" s="110" t="s">
        <v>925</v>
      </c>
      <c r="E25" s="110" t="s">
        <v>929</v>
      </c>
      <c r="F25" s="110"/>
      <c r="G25" s="110"/>
      <c r="H25" s="110"/>
      <c r="I25" s="110"/>
      <c r="J25" s="110"/>
      <c r="K25" s="110"/>
      <c r="L25" s="110"/>
      <c r="M25" s="110"/>
      <c r="N25" s="110"/>
      <c r="O25" s="110"/>
      <c r="P25" s="110"/>
      <c r="Q25" s="111">
        <f t="shared" si="0"/>
        <v>4</v>
      </c>
      <c r="R25" s="244"/>
    </row>
    <row r="26" spans="1:18" x14ac:dyDescent="0.25">
      <c r="A26" s="87" t="s">
        <v>274</v>
      </c>
      <c r="B26" s="110" t="s">
        <v>934</v>
      </c>
      <c r="C26" s="110" t="s">
        <v>940</v>
      </c>
      <c r="D26" s="110" t="s">
        <v>945</v>
      </c>
      <c r="E26" s="110"/>
      <c r="F26" s="110"/>
      <c r="G26" s="110"/>
      <c r="H26" s="110"/>
      <c r="I26" s="110"/>
      <c r="J26" s="110"/>
      <c r="K26" s="110"/>
      <c r="L26" s="110"/>
      <c r="M26" s="110"/>
      <c r="N26" s="110"/>
      <c r="O26" s="110"/>
      <c r="P26" s="110"/>
      <c r="Q26" s="111">
        <f t="shared" si="0"/>
        <v>3</v>
      </c>
      <c r="R26" s="244"/>
    </row>
    <row r="27" spans="1:18" x14ac:dyDescent="0.25">
      <c r="A27" s="87" t="s">
        <v>277</v>
      </c>
      <c r="B27" s="110" t="s">
        <v>949</v>
      </c>
      <c r="C27" s="110" t="s">
        <v>954</v>
      </c>
      <c r="D27" s="110"/>
      <c r="E27" s="110"/>
      <c r="F27" s="110"/>
      <c r="G27" s="110"/>
      <c r="H27" s="110"/>
      <c r="I27" s="110"/>
      <c r="J27" s="110"/>
      <c r="K27" s="110"/>
      <c r="L27" s="110"/>
      <c r="M27" s="110"/>
      <c r="N27" s="110"/>
      <c r="O27" s="110"/>
      <c r="P27" s="110"/>
      <c r="Q27" s="111">
        <f t="shared" si="0"/>
        <v>2</v>
      </c>
      <c r="R27" s="244"/>
    </row>
    <row r="28" spans="1:18" x14ac:dyDescent="0.25">
      <c r="A28" s="87" t="s">
        <v>280</v>
      </c>
      <c r="B28" s="110" t="s">
        <v>958</v>
      </c>
      <c r="C28" s="110" t="s">
        <v>964</v>
      </c>
      <c r="D28" s="110"/>
      <c r="E28" s="110"/>
      <c r="F28" s="110"/>
      <c r="G28" s="110"/>
      <c r="H28" s="110"/>
      <c r="I28" s="110"/>
      <c r="J28" s="110"/>
      <c r="K28" s="110"/>
      <c r="L28" s="110"/>
      <c r="M28" s="110"/>
      <c r="N28" s="110"/>
      <c r="O28" s="110"/>
      <c r="P28" s="110"/>
      <c r="Q28" s="111">
        <f t="shared" si="0"/>
        <v>2</v>
      </c>
      <c r="R28" s="244"/>
    </row>
    <row r="29" spans="1:18" x14ac:dyDescent="0.25">
      <c r="A29" s="87" t="s">
        <v>283</v>
      </c>
      <c r="B29" s="110" t="s">
        <v>969</v>
      </c>
      <c r="C29" s="110" t="s">
        <v>973</v>
      </c>
      <c r="D29" s="110" t="s">
        <v>978</v>
      </c>
      <c r="E29" s="110" t="s">
        <v>983</v>
      </c>
      <c r="F29" s="110" t="s">
        <v>987</v>
      </c>
      <c r="G29" s="110"/>
      <c r="H29" s="110"/>
      <c r="I29" s="110"/>
      <c r="J29" s="110"/>
      <c r="K29" s="110"/>
      <c r="L29" s="110"/>
      <c r="M29" s="110"/>
      <c r="N29" s="110"/>
      <c r="O29" s="110"/>
      <c r="P29" s="110"/>
      <c r="Q29" s="111">
        <f t="shared" si="0"/>
        <v>5</v>
      </c>
      <c r="R29" s="244"/>
    </row>
    <row r="30" spans="1:18" x14ac:dyDescent="0.25">
      <c r="A30" s="87" t="s">
        <v>286</v>
      </c>
      <c r="B30" s="110" t="s">
        <v>992</v>
      </c>
      <c r="C30" s="110" t="s">
        <v>998</v>
      </c>
      <c r="D30" s="110"/>
      <c r="E30" s="110"/>
      <c r="F30" s="110"/>
      <c r="G30" s="110"/>
      <c r="H30" s="110"/>
      <c r="I30" s="110"/>
      <c r="J30" s="110"/>
      <c r="K30" s="110"/>
      <c r="L30" s="110"/>
      <c r="M30" s="110"/>
      <c r="N30" s="110"/>
      <c r="O30" s="110"/>
      <c r="P30" s="110"/>
      <c r="Q30" s="111">
        <f t="shared" si="0"/>
        <v>2</v>
      </c>
      <c r="R30" s="244"/>
    </row>
    <row r="31" spans="1:18" x14ac:dyDescent="0.25">
      <c r="A31" s="87" t="s">
        <v>289</v>
      </c>
      <c r="B31" s="110" t="s">
        <v>1003</v>
      </c>
      <c r="C31" s="110" t="s">
        <v>1007</v>
      </c>
      <c r="D31" s="110" t="s">
        <v>1012</v>
      </c>
      <c r="E31" s="110" t="s">
        <v>1017</v>
      </c>
      <c r="F31" s="110"/>
      <c r="G31" s="110"/>
      <c r="H31" s="110"/>
      <c r="I31" s="110"/>
      <c r="J31" s="110"/>
      <c r="K31" s="110"/>
      <c r="L31" s="110"/>
      <c r="M31" s="110"/>
      <c r="N31" s="110"/>
      <c r="O31" s="110"/>
      <c r="P31" s="110"/>
      <c r="Q31" s="111">
        <f t="shared" si="0"/>
        <v>4</v>
      </c>
      <c r="R31" s="244"/>
    </row>
    <row r="32" spans="1:18" x14ac:dyDescent="0.25">
      <c r="A32" s="87" t="s">
        <v>292</v>
      </c>
      <c r="B32" s="110" t="s">
        <v>1021</v>
      </c>
      <c r="C32" s="110" t="s">
        <v>1025</v>
      </c>
      <c r="D32" s="110"/>
      <c r="E32" s="110"/>
      <c r="F32" s="110"/>
      <c r="G32" s="110"/>
      <c r="H32" s="110"/>
      <c r="I32" s="110"/>
      <c r="J32" s="110"/>
      <c r="K32" s="110"/>
      <c r="L32" s="110"/>
      <c r="M32" s="110"/>
      <c r="N32" s="110"/>
      <c r="O32" s="110"/>
      <c r="P32" s="110"/>
      <c r="Q32" s="111">
        <f t="shared" si="0"/>
        <v>2</v>
      </c>
      <c r="R32" s="244"/>
    </row>
    <row r="33" spans="1:18" x14ac:dyDescent="0.25">
      <c r="A33" s="87" t="s">
        <v>295</v>
      </c>
      <c r="B33" s="110" t="s">
        <v>1030</v>
      </c>
      <c r="C33" s="110" t="s">
        <v>1034</v>
      </c>
      <c r="D33" s="110" t="s">
        <v>1039</v>
      </c>
      <c r="E33" s="110" t="s">
        <v>1043</v>
      </c>
      <c r="F33" s="110"/>
      <c r="G33" s="110"/>
      <c r="H33" s="110"/>
      <c r="I33" s="110"/>
      <c r="J33" s="110"/>
      <c r="K33" s="110"/>
      <c r="L33" s="110"/>
      <c r="M33" s="110"/>
      <c r="N33" s="110"/>
      <c r="O33" s="110"/>
      <c r="P33" s="110"/>
      <c r="Q33" s="111">
        <f t="shared" si="0"/>
        <v>4</v>
      </c>
      <c r="R33" s="244"/>
    </row>
    <row r="34" spans="1:18" x14ac:dyDescent="0.25">
      <c r="A34" s="87" t="s">
        <v>299</v>
      </c>
      <c r="B34" s="110" t="s">
        <v>1048</v>
      </c>
      <c r="C34" s="110" t="s">
        <v>1054</v>
      </c>
      <c r="D34" s="110" t="s">
        <v>1059</v>
      </c>
      <c r="E34" s="110"/>
      <c r="F34" s="110"/>
      <c r="G34" s="110"/>
      <c r="H34" s="110"/>
      <c r="I34" s="110"/>
      <c r="J34" s="110"/>
      <c r="K34" s="110"/>
      <c r="L34" s="110"/>
      <c r="M34" s="110"/>
      <c r="N34" s="110"/>
      <c r="O34" s="110"/>
      <c r="P34" s="110"/>
      <c r="Q34" s="111">
        <f t="shared" ref="Q34:Q62" si="1">COUNTA(B34:P34)</f>
        <v>3</v>
      </c>
      <c r="R34" s="244"/>
    </row>
    <row r="35" spans="1:18" x14ac:dyDescent="0.25">
      <c r="A35" s="87" t="s">
        <v>302</v>
      </c>
      <c r="B35" s="110" t="s">
        <v>1064</v>
      </c>
      <c r="C35" s="110" t="s">
        <v>1068</v>
      </c>
      <c r="D35" s="110" t="s">
        <v>1072</v>
      </c>
      <c r="E35" s="110" t="s">
        <v>1076</v>
      </c>
      <c r="F35" s="110"/>
      <c r="G35" s="110"/>
      <c r="H35" s="110"/>
      <c r="I35" s="110"/>
      <c r="J35" s="110"/>
      <c r="K35" s="110"/>
      <c r="L35" s="110"/>
      <c r="M35" s="110"/>
      <c r="N35" s="110"/>
      <c r="O35" s="110"/>
      <c r="P35" s="110"/>
      <c r="Q35" s="111">
        <f t="shared" si="1"/>
        <v>4</v>
      </c>
      <c r="R35" s="244">
        <f>SUM(Q35:Q44)</f>
        <v>23</v>
      </c>
    </row>
    <row r="36" spans="1:18" x14ac:dyDescent="0.25">
      <c r="A36" s="87" t="s">
        <v>305</v>
      </c>
      <c r="B36" s="110" t="s">
        <v>1080</v>
      </c>
      <c r="C36" s="110"/>
      <c r="D36" s="110"/>
      <c r="E36" s="110"/>
      <c r="F36" s="110"/>
      <c r="G36" s="110"/>
      <c r="H36" s="110"/>
      <c r="I36" s="110"/>
      <c r="J36" s="110"/>
      <c r="K36" s="110"/>
      <c r="L36" s="110"/>
      <c r="M36" s="110"/>
      <c r="N36" s="110"/>
      <c r="O36" s="110"/>
      <c r="P36" s="110"/>
      <c r="Q36" s="111">
        <f t="shared" si="1"/>
        <v>1</v>
      </c>
      <c r="R36" s="244"/>
    </row>
    <row r="37" spans="1:18" x14ac:dyDescent="0.25">
      <c r="A37" s="87" t="s">
        <v>307</v>
      </c>
      <c r="B37" s="110" t="s">
        <v>1084</v>
      </c>
      <c r="C37" s="110" t="s">
        <v>1090</v>
      </c>
      <c r="D37" s="110" t="s">
        <v>1841</v>
      </c>
      <c r="E37" s="110" t="s">
        <v>1100</v>
      </c>
      <c r="F37" s="110"/>
      <c r="G37" s="110"/>
      <c r="H37" s="110"/>
      <c r="I37" s="110"/>
      <c r="J37" s="110"/>
      <c r="K37" s="110"/>
      <c r="L37" s="110"/>
      <c r="M37" s="110"/>
      <c r="N37" s="110"/>
      <c r="O37" s="110"/>
      <c r="P37" s="110"/>
      <c r="Q37" s="111">
        <f t="shared" si="1"/>
        <v>4</v>
      </c>
      <c r="R37" s="244"/>
    </row>
    <row r="38" spans="1:18" x14ac:dyDescent="0.25">
      <c r="A38" s="87" t="s">
        <v>310</v>
      </c>
      <c r="B38" s="110" t="s">
        <v>1104</v>
      </c>
      <c r="C38" s="110" t="s">
        <v>1109</v>
      </c>
      <c r="D38" s="110"/>
      <c r="E38" s="110"/>
      <c r="F38" s="110"/>
      <c r="G38" s="110"/>
      <c r="H38" s="110"/>
      <c r="I38" s="110"/>
      <c r="J38" s="110"/>
      <c r="K38" s="110"/>
      <c r="L38" s="110"/>
      <c r="M38" s="110"/>
      <c r="N38" s="110"/>
      <c r="O38" s="110"/>
      <c r="P38" s="110"/>
      <c r="Q38" s="111">
        <f t="shared" si="1"/>
        <v>2</v>
      </c>
      <c r="R38" s="244"/>
    </row>
    <row r="39" spans="1:18" x14ac:dyDescent="0.25">
      <c r="A39" s="87" t="s">
        <v>312</v>
      </c>
      <c r="B39" s="110" t="s">
        <v>1115</v>
      </c>
      <c r="C39" s="110" t="s">
        <v>1119</v>
      </c>
      <c r="D39" s="110"/>
      <c r="E39" s="110"/>
      <c r="F39" s="110"/>
      <c r="G39" s="110"/>
      <c r="H39" s="110"/>
      <c r="I39" s="110"/>
      <c r="J39" s="110"/>
      <c r="K39" s="110"/>
      <c r="L39" s="110"/>
      <c r="M39" s="110"/>
      <c r="N39" s="110"/>
      <c r="O39" s="110"/>
      <c r="P39" s="110"/>
      <c r="Q39" s="111">
        <f t="shared" si="1"/>
        <v>2</v>
      </c>
      <c r="R39" s="244"/>
    </row>
    <row r="40" spans="1:18" x14ac:dyDescent="0.25">
      <c r="A40" s="87" t="s">
        <v>314</v>
      </c>
      <c r="B40" s="110" t="s">
        <v>1123</v>
      </c>
      <c r="C40" s="110"/>
      <c r="D40" s="110"/>
      <c r="E40" s="110"/>
      <c r="F40" s="110"/>
      <c r="G40" s="110"/>
      <c r="H40" s="110"/>
      <c r="I40" s="110"/>
      <c r="J40" s="110"/>
      <c r="K40" s="110"/>
      <c r="L40" s="110"/>
      <c r="M40" s="110"/>
      <c r="N40" s="110"/>
      <c r="O40" s="110"/>
      <c r="P40" s="110"/>
      <c r="Q40" s="111">
        <f t="shared" si="1"/>
        <v>1</v>
      </c>
      <c r="R40" s="244"/>
    </row>
    <row r="41" spans="1:18" x14ac:dyDescent="0.25">
      <c r="A41" s="87" t="s">
        <v>316</v>
      </c>
      <c r="B41" s="110" t="s">
        <v>1127</v>
      </c>
      <c r="C41" s="110"/>
      <c r="D41" s="110"/>
      <c r="E41" s="110"/>
      <c r="F41" s="110"/>
      <c r="G41" s="110"/>
      <c r="H41" s="110"/>
      <c r="I41" s="110"/>
      <c r="J41" s="110"/>
      <c r="K41" s="110"/>
      <c r="L41" s="110"/>
      <c r="M41" s="110"/>
      <c r="N41" s="110"/>
      <c r="O41" s="110"/>
      <c r="P41" s="110"/>
      <c r="Q41" s="111">
        <f t="shared" si="1"/>
        <v>1</v>
      </c>
      <c r="R41" s="244"/>
    </row>
    <row r="42" spans="1:18" x14ac:dyDescent="0.25">
      <c r="A42" s="87" t="s">
        <v>318</v>
      </c>
      <c r="B42" s="110" t="s">
        <v>1131</v>
      </c>
      <c r="C42" s="110"/>
      <c r="D42" s="110"/>
      <c r="E42" s="110"/>
      <c r="F42" s="110"/>
      <c r="G42" s="110"/>
      <c r="H42" s="110"/>
      <c r="I42" s="110"/>
      <c r="J42" s="110"/>
      <c r="K42" s="110"/>
      <c r="L42" s="110"/>
      <c r="M42" s="110"/>
      <c r="N42" s="110"/>
      <c r="O42" s="110"/>
      <c r="P42" s="110"/>
      <c r="Q42" s="111">
        <f t="shared" si="1"/>
        <v>1</v>
      </c>
      <c r="R42" s="244"/>
    </row>
    <row r="43" spans="1:18" x14ac:dyDescent="0.25">
      <c r="A43" s="87" t="s">
        <v>321</v>
      </c>
      <c r="B43" s="110" t="s">
        <v>1135</v>
      </c>
      <c r="C43" s="110" t="s">
        <v>1140</v>
      </c>
      <c r="D43" s="110" t="s">
        <v>1145</v>
      </c>
      <c r="E43" s="110" t="s">
        <v>1149</v>
      </c>
      <c r="F43" s="110" t="s">
        <v>1154</v>
      </c>
      <c r="G43" s="110" t="s">
        <v>1158</v>
      </c>
      <c r="H43" s="110"/>
      <c r="I43" s="110"/>
      <c r="J43" s="110"/>
      <c r="K43" s="110"/>
      <c r="L43" s="110"/>
      <c r="M43" s="110"/>
      <c r="N43" s="110"/>
      <c r="O43" s="110"/>
      <c r="P43" s="110"/>
      <c r="Q43" s="111">
        <f t="shared" si="1"/>
        <v>6</v>
      </c>
      <c r="R43" s="244"/>
    </row>
    <row r="44" spans="1:18" x14ac:dyDescent="0.25">
      <c r="A44" s="87" t="s">
        <v>323</v>
      </c>
      <c r="B44" s="110" t="s">
        <v>1163</v>
      </c>
      <c r="C44" s="110"/>
      <c r="D44" s="110"/>
      <c r="E44" s="110"/>
      <c r="F44" s="110"/>
      <c r="G44" s="110"/>
      <c r="H44" s="110"/>
      <c r="I44" s="110"/>
      <c r="J44" s="110"/>
      <c r="K44" s="110"/>
      <c r="L44" s="110"/>
      <c r="M44" s="110"/>
      <c r="N44" s="110"/>
      <c r="O44" s="110"/>
      <c r="P44" s="110"/>
      <c r="Q44" s="111">
        <f t="shared" si="1"/>
        <v>1</v>
      </c>
      <c r="R44" s="244"/>
    </row>
    <row r="45" spans="1:18" x14ac:dyDescent="0.25">
      <c r="A45" s="87" t="s">
        <v>325</v>
      </c>
      <c r="B45" s="110" t="s">
        <v>1168</v>
      </c>
      <c r="C45" s="110" t="s">
        <v>1172</v>
      </c>
      <c r="D45" s="110" t="s">
        <v>1177</v>
      </c>
      <c r="E45" s="110"/>
      <c r="F45" s="110"/>
      <c r="G45" s="110"/>
      <c r="H45" s="110"/>
      <c r="I45" s="110"/>
      <c r="J45" s="110"/>
      <c r="K45" s="110"/>
      <c r="L45" s="110"/>
      <c r="M45" s="110"/>
      <c r="N45" s="110"/>
      <c r="O45" s="110"/>
      <c r="P45" s="110"/>
      <c r="Q45" s="111">
        <f t="shared" si="1"/>
        <v>3</v>
      </c>
      <c r="R45" s="244">
        <f>SUM(Q45:Q62)</f>
        <v>85</v>
      </c>
    </row>
    <row r="46" spans="1:18" x14ac:dyDescent="0.25">
      <c r="A46" s="87" t="s">
        <v>328</v>
      </c>
      <c r="B46" s="110" t="s">
        <v>1182</v>
      </c>
      <c r="C46" s="110" t="s">
        <v>1187</v>
      </c>
      <c r="D46" s="110" t="s">
        <v>1191</v>
      </c>
      <c r="E46" s="110" t="s">
        <v>1195</v>
      </c>
      <c r="F46" s="110" t="s">
        <v>1199</v>
      </c>
      <c r="G46" s="110"/>
      <c r="H46" s="110"/>
      <c r="I46" s="110"/>
      <c r="J46" s="110"/>
      <c r="K46" s="110"/>
      <c r="L46" s="110"/>
      <c r="M46" s="110"/>
      <c r="N46" s="110"/>
      <c r="O46" s="110"/>
      <c r="P46" s="110"/>
      <c r="Q46" s="111">
        <f t="shared" si="1"/>
        <v>5</v>
      </c>
      <c r="R46" s="244"/>
    </row>
    <row r="47" spans="1:18" x14ac:dyDescent="0.25">
      <c r="A47" s="87" t="s">
        <v>331</v>
      </c>
      <c r="B47" s="110" t="s">
        <v>1203</v>
      </c>
      <c r="C47" s="110" t="s">
        <v>1207</v>
      </c>
      <c r="D47" s="110"/>
      <c r="E47" s="110"/>
      <c r="F47" s="110"/>
      <c r="G47" s="110"/>
      <c r="H47" s="110"/>
      <c r="I47" s="110"/>
      <c r="J47" s="110"/>
      <c r="K47" s="110"/>
      <c r="L47" s="110"/>
      <c r="M47" s="110"/>
      <c r="N47" s="110"/>
      <c r="O47" s="110"/>
      <c r="P47" s="110"/>
      <c r="Q47" s="111">
        <f t="shared" si="1"/>
        <v>2</v>
      </c>
      <c r="R47" s="244"/>
    </row>
    <row r="48" spans="1:18" x14ac:dyDescent="0.25">
      <c r="A48" s="87" t="s">
        <v>334</v>
      </c>
      <c r="B48" s="110" t="s">
        <v>1211</v>
      </c>
      <c r="C48" s="110" t="s">
        <v>1215</v>
      </c>
      <c r="D48" s="110" t="s">
        <v>1220</v>
      </c>
      <c r="E48" s="110" t="s">
        <v>1224</v>
      </c>
      <c r="F48" s="110" t="s">
        <v>1229</v>
      </c>
      <c r="G48" s="110" t="s">
        <v>1233</v>
      </c>
      <c r="H48" s="110"/>
      <c r="I48" s="110"/>
      <c r="J48" s="110"/>
      <c r="K48" s="110"/>
      <c r="L48" s="110"/>
      <c r="M48" s="110"/>
      <c r="N48" s="110"/>
      <c r="O48" s="110"/>
      <c r="P48" s="110"/>
      <c r="Q48" s="111">
        <f t="shared" si="1"/>
        <v>6</v>
      </c>
      <c r="R48" s="244"/>
    </row>
    <row r="49" spans="1:18" x14ac:dyDescent="0.25">
      <c r="A49" s="87" t="s">
        <v>337</v>
      </c>
      <c r="B49" s="110" t="s">
        <v>1237</v>
      </c>
      <c r="C49" s="110" t="s">
        <v>1243</v>
      </c>
      <c r="D49" s="110" t="s">
        <v>1247</v>
      </c>
      <c r="E49" s="110" t="s">
        <v>1252</v>
      </c>
      <c r="F49" s="110" t="s">
        <v>1257</v>
      </c>
      <c r="G49" s="110" t="s">
        <v>1263</v>
      </c>
      <c r="H49" s="110"/>
      <c r="I49" s="110"/>
      <c r="J49" s="110"/>
      <c r="K49" s="110"/>
      <c r="L49" s="110"/>
      <c r="M49" s="110"/>
      <c r="N49" s="110"/>
      <c r="O49" s="110"/>
      <c r="P49" s="110"/>
      <c r="Q49" s="111">
        <f t="shared" si="1"/>
        <v>6</v>
      </c>
      <c r="R49" s="244"/>
    </row>
    <row r="50" spans="1:18" x14ac:dyDescent="0.25">
      <c r="A50" s="87" t="s">
        <v>340</v>
      </c>
      <c r="B50" s="110" t="s">
        <v>1268</v>
      </c>
      <c r="C50" s="110" t="s">
        <v>1274</v>
      </c>
      <c r="D50" s="110" t="s">
        <v>1279</v>
      </c>
      <c r="E50" s="110" t="s">
        <v>1283</v>
      </c>
      <c r="F50" s="110" t="s">
        <v>1288</v>
      </c>
      <c r="G50" s="110" t="s">
        <v>1292</v>
      </c>
      <c r="H50" s="110" t="s">
        <v>1296</v>
      </c>
      <c r="I50" s="110" t="s">
        <v>1301</v>
      </c>
      <c r="J50" s="110" t="s">
        <v>1306</v>
      </c>
      <c r="K50" s="110" t="s">
        <v>1311</v>
      </c>
      <c r="L50" s="110" t="s">
        <v>1315</v>
      </c>
      <c r="M50" s="110" t="s">
        <v>1320</v>
      </c>
      <c r="N50" s="110" t="s">
        <v>1324</v>
      </c>
      <c r="O50" s="110" t="s">
        <v>1328</v>
      </c>
      <c r="P50" s="110" t="s">
        <v>1332</v>
      </c>
      <c r="Q50" s="111">
        <f t="shared" si="1"/>
        <v>15</v>
      </c>
      <c r="R50" s="244"/>
    </row>
    <row r="51" spans="1:18" x14ac:dyDescent="0.25">
      <c r="A51" s="87" t="s">
        <v>343</v>
      </c>
      <c r="B51" s="110" t="s">
        <v>1337</v>
      </c>
      <c r="C51" s="110" t="s">
        <v>1342</v>
      </c>
      <c r="D51" s="110" t="s">
        <v>1346</v>
      </c>
      <c r="E51" s="110" t="s">
        <v>1350</v>
      </c>
      <c r="F51" s="110" t="s">
        <v>1354</v>
      </c>
      <c r="G51" s="110" t="s">
        <v>1358</v>
      </c>
      <c r="H51" s="110"/>
      <c r="I51" s="110"/>
      <c r="J51" s="110"/>
      <c r="K51" s="110"/>
      <c r="L51" s="110"/>
      <c r="M51" s="110"/>
      <c r="N51" s="110"/>
      <c r="O51" s="110"/>
      <c r="P51" s="110"/>
      <c r="Q51" s="111">
        <f t="shared" si="1"/>
        <v>6</v>
      </c>
      <c r="R51" s="244"/>
    </row>
    <row r="52" spans="1:18" x14ac:dyDescent="0.25">
      <c r="A52" s="87" t="s">
        <v>346</v>
      </c>
      <c r="B52" s="110" t="s">
        <v>1362</v>
      </c>
      <c r="C52" s="110" t="s">
        <v>1366</v>
      </c>
      <c r="D52" s="110" t="s">
        <v>1370</v>
      </c>
      <c r="E52" s="110" t="s">
        <v>1374</v>
      </c>
      <c r="F52" s="110" t="s">
        <v>1378</v>
      </c>
      <c r="G52" s="110"/>
      <c r="H52" s="110"/>
      <c r="I52" s="110"/>
      <c r="J52" s="110"/>
      <c r="K52" s="110"/>
      <c r="L52" s="110"/>
      <c r="M52" s="110"/>
      <c r="N52" s="110"/>
      <c r="O52" s="110"/>
      <c r="P52" s="110"/>
      <c r="Q52" s="111">
        <f t="shared" si="1"/>
        <v>5</v>
      </c>
      <c r="R52" s="244"/>
    </row>
    <row r="53" spans="1:18" x14ac:dyDescent="0.25">
      <c r="A53" s="87" t="s">
        <v>349</v>
      </c>
      <c r="B53" s="110" t="s">
        <v>1382</v>
      </c>
      <c r="C53" s="110" t="s">
        <v>1386</v>
      </c>
      <c r="D53" s="110" t="s">
        <v>1390</v>
      </c>
      <c r="E53" s="110"/>
      <c r="F53" s="110"/>
      <c r="G53" s="110"/>
      <c r="H53" s="110"/>
      <c r="I53" s="110"/>
      <c r="J53" s="110"/>
      <c r="K53" s="110"/>
      <c r="L53" s="110"/>
      <c r="M53" s="110"/>
      <c r="N53" s="110"/>
      <c r="O53" s="110"/>
      <c r="P53" s="110"/>
      <c r="Q53" s="111">
        <f t="shared" si="1"/>
        <v>3</v>
      </c>
      <c r="R53" s="244"/>
    </row>
    <row r="54" spans="1:18" x14ac:dyDescent="0.25">
      <c r="A54" s="87" t="s">
        <v>352</v>
      </c>
      <c r="B54" s="110" t="s">
        <v>1394</v>
      </c>
      <c r="C54" s="110" t="s">
        <v>1398</v>
      </c>
      <c r="D54" s="110"/>
      <c r="E54" s="110"/>
      <c r="F54" s="110"/>
      <c r="G54" s="110"/>
      <c r="H54" s="110"/>
      <c r="I54" s="110"/>
      <c r="J54" s="110"/>
      <c r="K54" s="110"/>
      <c r="L54" s="110"/>
      <c r="M54" s="110"/>
      <c r="N54" s="110"/>
      <c r="O54" s="110"/>
      <c r="P54" s="110"/>
      <c r="Q54" s="111">
        <f t="shared" si="1"/>
        <v>2</v>
      </c>
      <c r="R54" s="244"/>
    </row>
    <row r="55" spans="1:18" x14ac:dyDescent="0.25">
      <c r="A55" s="87" t="s">
        <v>355</v>
      </c>
      <c r="B55" s="110" t="s">
        <v>1402</v>
      </c>
      <c r="C55" s="110" t="s">
        <v>1406</v>
      </c>
      <c r="D55" s="110" t="s">
        <v>1411</v>
      </c>
      <c r="E55" s="110"/>
      <c r="F55" s="110"/>
      <c r="G55" s="110"/>
      <c r="H55" s="110"/>
      <c r="I55" s="110"/>
      <c r="J55" s="110"/>
      <c r="K55" s="110"/>
      <c r="L55" s="110"/>
      <c r="M55" s="110"/>
      <c r="N55" s="110"/>
      <c r="O55" s="110"/>
      <c r="P55" s="110"/>
      <c r="Q55" s="111">
        <f t="shared" si="1"/>
        <v>3</v>
      </c>
      <c r="R55" s="244"/>
    </row>
    <row r="56" spans="1:18" x14ac:dyDescent="0.25">
      <c r="A56" s="87" t="s">
        <v>358</v>
      </c>
      <c r="B56" s="110" t="s">
        <v>1415</v>
      </c>
      <c r="C56" s="110" t="s">
        <v>1420</v>
      </c>
      <c r="D56" s="110"/>
      <c r="E56" s="110"/>
      <c r="F56" s="110"/>
      <c r="G56" s="110"/>
      <c r="H56" s="110"/>
      <c r="I56" s="110"/>
      <c r="J56" s="110"/>
      <c r="K56" s="110"/>
      <c r="L56" s="110"/>
      <c r="M56" s="110"/>
      <c r="N56" s="110"/>
      <c r="O56" s="110"/>
      <c r="P56" s="110"/>
      <c r="Q56" s="111">
        <f t="shared" si="1"/>
        <v>2</v>
      </c>
      <c r="R56" s="244"/>
    </row>
    <row r="57" spans="1:18" x14ac:dyDescent="0.25">
      <c r="A57" s="87" t="s">
        <v>361</v>
      </c>
      <c r="B57" s="110" t="s">
        <v>1424</v>
      </c>
      <c r="C57" s="110"/>
      <c r="D57" s="110"/>
      <c r="E57" s="110"/>
      <c r="F57" s="110"/>
      <c r="G57" s="110"/>
      <c r="H57" s="110"/>
      <c r="I57" s="110"/>
      <c r="J57" s="110"/>
      <c r="K57" s="110"/>
      <c r="L57" s="110"/>
      <c r="M57" s="110"/>
      <c r="N57" s="110"/>
      <c r="O57" s="110"/>
      <c r="P57" s="110"/>
      <c r="Q57" s="111">
        <f t="shared" si="1"/>
        <v>1</v>
      </c>
      <c r="R57" s="244"/>
    </row>
    <row r="58" spans="1:18" x14ac:dyDescent="0.25">
      <c r="A58" s="87" t="s">
        <v>364</v>
      </c>
      <c r="B58" s="110" t="s">
        <v>1429</v>
      </c>
      <c r="C58" s="110" t="s">
        <v>1433</v>
      </c>
      <c r="D58" s="110" t="s">
        <v>1437</v>
      </c>
      <c r="E58" s="110" t="s">
        <v>1441</v>
      </c>
      <c r="F58" s="110" t="s">
        <v>1445</v>
      </c>
      <c r="G58" s="110" t="s">
        <v>1448</v>
      </c>
      <c r="H58" s="110"/>
      <c r="I58" s="110"/>
      <c r="J58" s="110"/>
      <c r="K58" s="110"/>
      <c r="L58" s="110"/>
      <c r="M58" s="110"/>
      <c r="N58" s="110"/>
      <c r="O58" s="110"/>
      <c r="P58" s="110"/>
      <c r="Q58" s="111">
        <f t="shared" si="1"/>
        <v>6</v>
      </c>
      <c r="R58" s="244"/>
    </row>
    <row r="59" spans="1:18" x14ac:dyDescent="0.25">
      <c r="A59" s="87" t="s">
        <v>367</v>
      </c>
      <c r="B59" s="110" t="s">
        <v>1451</v>
      </c>
      <c r="C59" s="110" t="s">
        <v>1455</v>
      </c>
      <c r="D59" s="110" t="s">
        <v>1459</v>
      </c>
      <c r="E59" s="110"/>
      <c r="F59" s="110"/>
      <c r="G59" s="110"/>
      <c r="H59" s="110"/>
      <c r="I59" s="110"/>
      <c r="J59" s="110"/>
      <c r="K59" s="110"/>
      <c r="L59" s="110"/>
      <c r="M59" s="110"/>
      <c r="N59" s="110"/>
      <c r="O59" s="110"/>
      <c r="P59" s="110"/>
      <c r="Q59" s="111">
        <f t="shared" si="1"/>
        <v>3</v>
      </c>
      <c r="R59" s="244"/>
    </row>
    <row r="60" spans="1:18" x14ac:dyDescent="0.25">
      <c r="A60" s="87" t="s">
        <v>370</v>
      </c>
      <c r="B60" s="110" t="s">
        <v>1463</v>
      </c>
      <c r="C60" s="110" t="s">
        <v>1467</v>
      </c>
      <c r="D60" s="110" t="s">
        <v>1471</v>
      </c>
      <c r="E60" s="110" t="s">
        <v>1475</v>
      </c>
      <c r="F60" s="110"/>
      <c r="G60" s="110"/>
      <c r="H60" s="110"/>
      <c r="I60" s="110"/>
      <c r="J60" s="110"/>
      <c r="K60" s="110"/>
      <c r="L60" s="110"/>
      <c r="M60" s="110"/>
      <c r="N60" s="110"/>
      <c r="O60" s="110"/>
      <c r="P60" s="110"/>
      <c r="Q60" s="111">
        <f t="shared" si="1"/>
        <v>4</v>
      </c>
      <c r="R60" s="244"/>
    </row>
    <row r="61" spans="1:18" x14ac:dyDescent="0.25">
      <c r="A61" s="87" t="s">
        <v>373</v>
      </c>
      <c r="B61" s="110" t="s">
        <v>1479</v>
      </c>
      <c r="C61" s="110" t="s">
        <v>1483</v>
      </c>
      <c r="D61" s="110" t="s">
        <v>1488</v>
      </c>
      <c r="E61" s="110" t="s">
        <v>1492</v>
      </c>
      <c r="F61" s="110" t="s">
        <v>1496</v>
      </c>
      <c r="G61" s="110" t="s">
        <v>1499</v>
      </c>
      <c r="H61" s="110" t="s">
        <v>1504</v>
      </c>
      <c r="I61" s="110" t="s">
        <v>1507</v>
      </c>
      <c r="J61" s="110" t="s">
        <v>1511</v>
      </c>
      <c r="K61" s="110" t="s">
        <v>1514</v>
      </c>
      <c r="L61" s="110"/>
      <c r="M61" s="110"/>
      <c r="N61" s="110"/>
      <c r="O61" s="110"/>
      <c r="P61" s="110"/>
      <c r="Q61" s="111">
        <f t="shared" si="1"/>
        <v>10</v>
      </c>
      <c r="R61" s="244"/>
    </row>
    <row r="62" spans="1:18" x14ac:dyDescent="0.25">
      <c r="A62" s="87" t="s">
        <v>376</v>
      </c>
      <c r="B62" s="110" t="s">
        <v>1518</v>
      </c>
      <c r="C62" s="110" t="s">
        <v>1523</v>
      </c>
      <c r="D62" s="110" t="s">
        <v>1527</v>
      </c>
      <c r="E62" s="110"/>
      <c r="F62" s="110"/>
      <c r="G62" s="110"/>
      <c r="H62" s="110"/>
      <c r="I62" s="110"/>
      <c r="J62" s="110"/>
      <c r="K62" s="110"/>
      <c r="L62" s="110"/>
      <c r="M62" s="110"/>
      <c r="N62" s="110"/>
      <c r="O62" s="110"/>
      <c r="P62" s="110"/>
      <c r="Q62" s="111">
        <f t="shared" si="1"/>
        <v>3</v>
      </c>
      <c r="R62" s="244"/>
    </row>
    <row r="63" spans="1:18" x14ac:dyDescent="0.25">
      <c r="A63" s="108"/>
    </row>
    <row r="64" spans="1:18" x14ac:dyDescent="0.25">
      <c r="A64" s="108"/>
      <c r="Q64" s="2" t="s">
        <v>1544</v>
      </c>
      <c r="R64" s="2">
        <f>SUM(R2,R9,R22,R35,R45)</f>
        <v>251</v>
      </c>
    </row>
    <row r="65" spans="1:1" x14ac:dyDescent="0.25">
      <c r="A65" s="108"/>
    </row>
    <row r="66" spans="1:1" x14ac:dyDescent="0.25">
      <c r="A66" s="108"/>
    </row>
  </sheetData>
  <autoFilter ref="A1:Q62" xr:uid="{7C0BCF84-3C4B-4050-B223-52F445BD8F7D}">
    <sortState xmlns:xlrd2="http://schemas.microsoft.com/office/spreadsheetml/2017/richdata2" ref="A2:Q62">
      <sortCondition ref="A1:A62"/>
    </sortState>
  </autoFilter>
  <mergeCells count="5">
    <mergeCell ref="R2:R8"/>
    <mergeCell ref="R9:R21"/>
    <mergeCell ref="R22:R34"/>
    <mergeCell ref="R35:R44"/>
    <mergeCell ref="R45:R62"/>
  </mergeCells>
  <phoneticPr fontId="16" type="noConversion"/>
  <conditionalFormatting sqref="B2:P7 L8:P62 B8:K1048576">
    <cfRule type="cellIs" dxfId="0" priority="1" operator="greaterThan">
      <formula>0</formula>
    </cfRule>
  </conditionalFormatting>
  <pageMargins left="0.7" right="0.7" top="0.75" bottom="0.75" header="0.3" footer="0.3"/>
  <pageSetup orientation="portrait" r:id="rId1"/>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89B819-3B96-40E9-9192-70FF092D8E34}">
  <dimension ref="A1:A65"/>
  <sheetViews>
    <sheetView workbookViewId="0"/>
  </sheetViews>
  <sheetFormatPr defaultColWidth="8.7109375" defaultRowHeight="15" x14ac:dyDescent="0.25"/>
  <cols>
    <col min="1" max="1" width="81" style="40" customWidth="1"/>
    <col min="2" max="16384" width="8.7109375" style="40"/>
  </cols>
  <sheetData>
    <row r="1" spans="1:1" x14ac:dyDescent="0.25">
      <c r="A1" s="132" t="s">
        <v>159</v>
      </c>
    </row>
    <row r="2" spans="1:1" x14ac:dyDescent="0.25">
      <c r="A2" s="40" t="s">
        <v>1842</v>
      </c>
    </row>
    <row r="3" spans="1:1" x14ac:dyDescent="0.25">
      <c r="A3" s="40" t="s">
        <v>1843</v>
      </c>
    </row>
    <row r="4" spans="1:1" x14ac:dyDescent="0.25">
      <c r="A4" s="40" t="s">
        <v>1844</v>
      </c>
    </row>
    <row r="5" spans="1:1" x14ac:dyDescent="0.25">
      <c r="A5" s="40" t="s">
        <v>1845</v>
      </c>
    </row>
    <row r="6" spans="1:1" x14ac:dyDescent="0.25">
      <c r="A6" s="40" t="s">
        <v>1846</v>
      </c>
    </row>
    <row r="7" spans="1:1" x14ac:dyDescent="0.25">
      <c r="A7" s="40" t="s">
        <v>1847</v>
      </c>
    </row>
    <row r="8" spans="1:1" x14ac:dyDescent="0.25">
      <c r="A8" s="40" t="s">
        <v>1848</v>
      </c>
    </row>
    <row r="9" spans="1:1" x14ac:dyDescent="0.25">
      <c r="A9" s="40" t="s">
        <v>1849</v>
      </c>
    </row>
    <row r="10" spans="1:1" x14ac:dyDescent="0.25">
      <c r="A10" s="40" t="s">
        <v>1850</v>
      </c>
    </row>
    <row r="11" spans="1:1" x14ac:dyDescent="0.25">
      <c r="A11" s="40" t="s">
        <v>1851</v>
      </c>
    </row>
    <row r="12" spans="1:1" x14ac:dyDescent="0.25">
      <c r="A12" s="40" t="s">
        <v>1852</v>
      </c>
    </row>
    <row r="13" spans="1:1" x14ac:dyDescent="0.25">
      <c r="A13" s="40" t="s">
        <v>1853</v>
      </c>
    </row>
    <row r="14" spans="1:1" x14ac:dyDescent="0.25">
      <c r="A14" s="40" t="s">
        <v>1854</v>
      </c>
    </row>
    <row r="15" spans="1:1" x14ac:dyDescent="0.25">
      <c r="A15" s="40" t="s">
        <v>1855</v>
      </c>
    </row>
    <row r="16" spans="1:1" x14ac:dyDescent="0.25">
      <c r="A16" s="40" t="s">
        <v>1856</v>
      </c>
    </row>
    <row r="17" spans="1:1" x14ac:dyDescent="0.25">
      <c r="A17" s="40" t="s">
        <v>1857</v>
      </c>
    </row>
    <row r="18" spans="1:1" x14ac:dyDescent="0.25">
      <c r="A18" s="40" t="s">
        <v>1858</v>
      </c>
    </row>
    <row r="19" spans="1:1" x14ac:dyDescent="0.25">
      <c r="A19" s="40" t="s">
        <v>1859</v>
      </c>
    </row>
    <row r="20" spans="1:1" x14ac:dyDescent="0.25">
      <c r="A20" s="40" t="s">
        <v>1860</v>
      </c>
    </row>
    <row r="21" spans="1:1" x14ac:dyDescent="0.25">
      <c r="A21" s="40" t="s">
        <v>1861</v>
      </c>
    </row>
    <row r="22" spans="1:1" x14ac:dyDescent="0.25">
      <c r="A22" s="40" t="s">
        <v>1862</v>
      </c>
    </row>
    <row r="23" spans="1:1" x14ac:dyDescent="0.25">
      <c r="A23" s="40" t="s">
        <v>1863</v>
      </c>
    </row>
    <row r="24" spans="1:1" x14ac:dyDescent="0.25">
      <c r="A24" s="40" t="s">
        <v>1864</v>
      </c>
    </row>
    <row r="25" spans="1:1" x14ac:dyDescent="0.25">
      <c r="A25" s="40" t="s">
        <v>1865</v>
      </c>
    </row>
    <row r="26" spans="1:1" x14ac:dyDescent="0.25">
      <c r="A26" s="40" t="s">
        <v>1866</v>
      </c>
    </row>
    <row r="27" spans="1:1" x14ac:dyDescent="0.25">
      <c r="A27" s="40" t="s">
        <v>1867</v>
      </c>
    </row>
    <row r="28" spans="1:1" x14ac:dyDescent="0.25">
      <c r="A28" s="40" t="s">
        <v>1868</v>
      </c>
    </row>
    <row r="29" spans="1:1" x14ac:dyDescent="0.25">
      <c r="A29" s="40" t="s">
        <v>1869</v>
      </c>
    </row>
    <row r="30" spans="1:1" x14ac:dyDescent="0.25">
      <c r="A30" s="40" t="s">
        <v>1870</v>
      </c>
    </row>
    <row r="31" spans="1:1" x14ac:dyDescent="0.25">
      <c r="A31" s="40" t="s">
        <v>1871</v>
      </c>
    </row>
    <row r="32" spans="1:1" x14ac:dyDescent="0.25">
      <c r="A32" s="40" t="s">
        <v>1872</v>
      </c>
    </row>
    <row r="33" spans="1:1" x14ac:dyDescent="0.25">
      <c r="A33" s="40" t="s">
        <v>1873</v>
      </c>
    </row>
    <row r="34" spans="1:1" x14ac:dyDescent="0.25">
      <c r="A34" s="40" t="s">
        <v>1874</v>
      </c>
    </row>
    <row r="35" spans="1:1" x14ac:dyDescent="0.25">
      <c r="A35" s="40" t="s">
        <v>1875</v>
      </c>
    </row>
    <row r="36" spans="1:1" x14ac:dyDescent="0.25">
      <c r="A36" s="40" t="s">
        <v>1876</v>
      </c>
    </row>
    <row r="37" spans="1:1" x14ac:dyDescent="0.25">
      <c r="A37" s="40" t="s">
        <v>1877</v>
      </c>
    </row>
    <row r="38" spans="1:1" x14ac:dyDescent="0.25">
      <c r="A38" s="40" t="s">
        <v>1878</v>
      </c>
    </row>
    <row r="39" spans="1:1" x14ac:dyDescent="0.25">
      <c r="A39" s="40" t="s">
        <v>1879</v>
      </c>
    </row>
    <row r="40" spans="1:1" x14ac:dyDescent="0.25">
      <c r="A40" s="40" t="s">
        <v>1880</v>
      </c>
    </row>
    <row r="41" spans="1:1" x14ac:dyDescent="0.25">
      <c r="A41" s="40" t="s">
        <v>1881</v>
      </c>
    </row>
    <row r="42" spans="1:1" x14ac:dyDescent="0.25">
      <c r="A42" s="40" t="s">
        <v>1882</v>
      </c>
    </row>
    <row r="43" spans="1:1" x14ac:dyDescent="0.25">
      <c r="A43" s="40" t="s">
        <v>1883</v>
      </c>
    </row>
    <row r="44" spans="1:1" x14ac:dyDescent="0.25">
      <c r="A44" s="40" t="s">
        <v>1884</v>
      </c>
    </row>
    <row r="45" spans="1:1" x14ac:dyDescent="0.25">
      <c r="A45" s="40" t="s">
        <v>1885</v>
      </c>
    </row>
    <row r="46" spans="1:1" x14ac:dyDescent="0.25">
      <c r="A46" s="40" t="s">
        <v>1886</v>
      </c>
    </row>
    <row r="47" spans="1:1" x14ac:dyDescent="0.25">
      <c r="A47" s="40" t="s">
        <v>1887</v>
      </c>
    </row>
    <row r="48" spans="1:1" x14ac:dyDescent="0.25">
      <c r="A48" s="40" t="s">
        <v>1888</v>
      </c>
    </row>
    <row r="49" spans="1:1" x14ac:dyDescent="0.25">
      <c r="A49" s="40" t="s">
        <v>1889</v>
      </c>
    </row>
    <row r="50" spans="1:1" x14ac:dyDescent="0.25">
      <c r="A50" s="40" t="s">
        <v>1890</v>
      </c>
    </row>
    <row r="51" spans="1:1" x14ac:dyDescent="0.25">
      <c r="A51" s="40" t="s">
        <v>1891</v>
      </c>
    </row>
    <row r="52" spans="1:1" x14ac:dyDescent="0.25">
      <c r="A52" s="40" t="s">
        <v>1892</v>
      </c>
    </row>
    <row r="53" spans="1:1" x14ac:dyDescent="0.25">
      <c r="A53" s="40" t="s">
        <v>1893</v>
      </c>
    </row>
    <row r="54" spans="1:1" x14ac:dyDescent="0.25">
      <c r="A54" s="40" t="s">
        <v>1894</v>
      </c>
    </row>
    <row r="55" spans="1:1" x14ac:dyDescent="0.25">
      <c r="A55" s="40" t="s">
        <v>1895</v>
      </c>
    </row>
    <row r="56" spans="1:1" x14ac:dyDescent="0.25">
      <c r="A56" s="40" t="s">
        <v>1896</v>
      </c>
    </row>
    <row r="57" spans="1:1" x14ac:dyDescent="0.25">
      <c r="A57" s="40" t="s">
        <v>1897</v>
      </c>
    </row>
    <row r="58" spans="1:1" x14ac:dyDescent="0.25">
      <c r="A58" s="40" t="s">
        <v>1898</v>
      </c>
    </row>
    <row r="59" spans="1:1" x14ac:dyDescent="0.25">
      <c r="A59" s="40" t="s">
        <v>1899</v>
      </c>
    </row>
    <row r="60" spans="1:1" x14ac:dyDescent="0.25">
      <c r="A60" s="40" t="s">
        <v>1900</v>
      </c>
    </row>
    <row r="61" spans="1:1" x14ac:dyDescent="0.25">
      <c r="A61" s="40" t="s">
        <v>1901</v>
      </c>
    </row>
    <row r="62" spans="1:1" x14ac:dyDescent="0.25">
      <c r="A62" s="40" t="s">
        <v>1902</v>
      </c>
    </row>
    <row r="63" spans="1:1" x14ac:dyDescent="0.25">
      <c r="A63" s="40" t="s">
        <v>1903</v>
      </c>
    </row>
    <row r="64" spans="1:1" x14ac:dyDescent="0.25">
      <c r="A64" s="40" t="s">
        <v>1904</v>
      </c>
    </row>
    <row r="65" spans="1:1" x14ac:dyDescent="0.25">
      <c r="A65" s="40" t="s">
        <v>1905</v>
      </c>
    </row>
  </sheetData>
  <pageMargins left="0.7" right="0.7" top="0.75" bottom="0.75" header="0.3" footer="0.3"/>
  <legacy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4D6C71E-F740-4877-9F84-FECAA8BAEB5B}">
  <dimension ref="A1:K48"/>
  <sheetViews>
    <sheetView workbookViewId="0">
      <selection sqref="A1:C1"/>
    </sheetView>
  </sheetViews>
  <sheetFormatPr defaultColWidth="8.7109375" defaultRowHeight="15" x14ac:dyDescent="0.25"/>
  <cols>
    <col min="1" max="1" width="48.85546875" style="102" bestFit="1" customWidth="1"/>
    <col min="2" max="2" width="87.85546875" style="102" customWidth="1"/>
    <col min="3" max="3" width="35.28515625" style="102" customWidth="1"/>
    <col min="4" max="4" width="8.7109375" style="102"/>
    <col min="5" max="5" width="19.42578125" style="102" customWidth="1"/>
    <col min="6" max="6" width="32.5703125" style="102" customWidth="1"/>
    <col min="7" max="16384" width="8.7109375" style="102"/>
  </cols>
  <sheetData>
    <row r="1" spans="1:11" s="179" customFormat="1" ht="27.95" customHeight="1" x14ac:dyDescent="0.25">
      <c r="A1" s="245" t="s">
        <v>1906</v>
      </c>
      <c r="B1" s="245"/>
      <c r="C1" s="245"/>
    </row>
    <row r="2" spans="1:11" x14ac:dyDescent="0.25">
      <c r="A2" s="142"/>
      <c r="B2" s="142"/>
      <c r="C2" s="142"/>
      <c r="D2" s="142"/>
      <c r="E2" s="142"/>
      <c r="F2" s="142"/>
      <c r="G2" s="142"/>
      <c r="H2" s="142"/>
      <c r="I2" s="142"/>
      <c r="J2" s="142"/>
      <c r="K2" s="142"/>
    </row>
    <row r="3" spans="1:11" s="182" customFormat="1" x14ac:dyDescent="0.25">
      <c r="A3" s="180" t="s">
        <v>1907</v>
      </c>
      <c r="B3" s="181"/>
      <c r="C3" s="181"/>
      <c r="D3" s="181"/>
      <c r="E3" s="181"/>
      <c r="F3" s="181"/>
      <c r="G3" s="181"/>
      <c r="H3" s="181"/>
      <c r="I3" s="181"/>
      <c r="J3" s="181"/>
      <c r="K3" s="181"/>
    </row>
    <row r="4" spans="1:11" x14ac:dyDescent="0.25">
      <c r="A4" s="143"/>
      <c r="B4" s="142"/>
      <c r="C4" s="142"/>
      <c r="D4" s="142"/>
      <c r="E4" s="142"/>
      <c r="F4" s="142"/>
      <c r="G4" s="142"/>
      <c r="H4" s="142"/>
      <c r="I4" s="142"/>
      <c r="J4" s="142"/>
      <c r="K4" s="142"/>
    </row>
    <row r="5" spans="1:11" s="141" customFormat="1" x14ac:dyDescent="0.25">
      <c r="A5" s="144" t="s">
        <v>1908</v>
      </c>
      <c r="B5" s="144" t="s">
        <v>1909</v>
      </c>
      <c r="C5" s="144" t="s">
        <v>1910</v>
      </c>
      <c r="D5" s="145"/>
      <c r="E5" s="145"/>
      <c r="F5" s="145"/>
      <c r="G5" s="145"/>
      <c r="H5" s="145"/>
      <c r="I5" s="145"/>
      <c r="J5" s="145"/>
      <c r="K5" s="145"/>
    </row>
    <row r="6" spans="1:11" ht="45" x14ac:dyDescent="0.25">
      <c r="A6" s="146" t="s">
        <v>396</v>
      </c>
      <c r="B6" s="146" t="s">
        <v>1911</v>
      </c>
      <c r="C6" s="147" t="s">
        <v>1912</v>
      </c>
      <c r="D6" s="142"/>
      <c r="E6" s="142"/>
      <c r="F6" s="142"/>
      <c r="G6" s="142"/>
      <c r="H6" s="142"/>
      <c r="I6" s="142"/>
      <c r="J6" s="142"/>
      <c r="K6" s="142"/>
    </row>
    <row r="7" spans="1:11" ht="75" x14ac:dyDescent="0.25">
      <c r="A7" s="147" t="s">
        <v>421</v>
      </c>
      <c r="B7" s="146" t="s">
        <v>1913</v>
      </c>
      <c r="C7" s="147" t="s">
        <v>1912</v>
      </c>
      <c r="D7" s="142"/>
      <c r="E7" s="142"/>
      <c r="F7" s="142"/>
      <c r="G7" s="142"/>
      <c r="H7" s="142"/>
      <c r="I7" s="142"/>
      <c r="J7" s="142"/>
      <c r="K7" s="142"/>
    </row>
    <row r="8" spans="1:11" ht="30" x14ac:dyDescent="0.25">
      <c r="A8" s="147" t="s">
        <v>472</v>
      </c>
      <c r="B8" s="146" t="s">
        <v>1914</v>
      </c>
      <c r="C8" s="147" t="s">
        <v>1912</v>
      </c>
      <c r="D8" s="142"/>
      <c r="E8" s="142"/>
      <c r="F8" s="142"/>
      <c r="G8" s="142"/>
      <c r="H8" s="142"/>
      <c r="I8" s="142"/>
      <c r="J8" s="142"/>
      <c r="K8" s="142"/>
    </row>
    <row r="9" spans="1:11" ht="30" x14ac:dyDescent="0.25">
      <c r="A9" s="147" t="s">
        <v>33</v>
      </c>
      <c r="B9" s="146" t="s">
        <v>1915</v>
      </c>
      <c r="C9" s="147" t="s">
        <v>1912</v>
      </c>
      <c r="D9" s="142"/>
      <c r="E9" s="142"/>
      <c r="F9" s="142"/>
      <c r="G9" s="142"/>
      <c r="H9" s="142"/>
      <c r="I9" s="142"/>
      <c r="J9" s="142"/>
      <c r="K9" s="142"/>
    </row>
    <row r="10" spans="1:11" x14ac:dyDescent="0.25">
      <c r="A10" s="147" t="s">
        <v>1425</v>
      </c>
      <c r="B10" s="147" t="s">
        <v>1916</v>
      </c>
      <c r="C10" s="147" t="s">
        <v>1917</v>
      </c>
      <c r="D10" s="142"/>
      <c r="E10" s="142"/>
      <c r="F10" s="142"/>
      <c r="G10" s="142"/>
      <c r="H10" s="142"/>
      <c r="I10" s="142"/>
      <c r="J10" s="142"/>
      <c r="K10" s="142"/>
    </row>
    <row r="11" spans="1:11" x14ac:dyDescent="0.25">
      <c r="A11" s="142"/>
      <c r="B11" s="142"/>
      <c r="C11" s="142"/>
      <c r="D11" s="142"/>
      <c r="E11" s="142"/>
      <c r="F11" s="142"/>
      <c r="G11" s="142"/>
      <c r="H11" s="142"/>
      <c r="I11" s="142"/>
      <c r="J11" s="142"/>
      <c r="K11" s="142"/>
    </row>
    <row r="12" spans="1:11" s="182" customFormat="1" x14ac:dyDescent="0.25">
      <c r="A12" s="180" t="s">
        <v>1918</v>
      </c>
      <c r="B12" s="181"/>
      <c r="C12" s="181"/>
      <c r="D12" s="181"/>
      <c r="E12" s="181"/>
      <c r="F12" s="181"/>
      <c r="G12" s="181"/>
      <c r="H12" s="181"/>
      <c r="I12" s="181"/>
      <c r="J12" s="181"/>
      <c r="K12" s="181"/>
    </row>
    <row r="13" spans="1:11" x14ac:dyDescent="0.25">
      <c r="A13" s="142"/>
      <c r="B13" s="142"/>
      <c r="C13" s="142"/>
      <c r="D13" s="142"/>
      <c r="E13" s="142"/>
      <c r="F13" s="142"/>
      <c r="G13" s="142"/>
      <c r="H13" s="142"/>
      <c r="I13" s="142"/>
      <c r="J13" s="142"/>
      <c r="K13" s="142"/>
    </row>
    <row r="14" spans="1:11" x14ac:dyDescent="0.25">
      <c r="A14" s="144" t="s">
        <v>1919</v>
      </c>
      <c r="B14" s="144" t="s">
        <v>146</v>
      </c>
      <c r="C14" s="147" t="s">
        <v>1910</v>
      </c>
      <c r="D14" s="142"/>
      <c r="E14" s="142"/>
      <c r="F14" s="142"/>
      <c r="G14" s="142"/>
      <c r="H14" s="142"/>
      <c r="I14" s="142"/>
      <c r="J14" s="142"/>
      <c r="K14" s="142"/>
    </row>
    <row r="15" spans="1:11" x14ac:dyDescent="0.25">
      <c r="A15" s="147" t="s">
        <v>20</v>
      </c>
      <c r="B15" s="146" t="s">
        <v>1920</v>
      </c>
      <c r="C15" s="147" t="s">
        <v>1921</v>
      </c>
      <c r="D15" s="142"/>
      <c r="E15" s="142"/>
      <c r="F15" s="142"/>
      <c r="G15" s="142"/>
      <c r="H15" s="142"/>
      <c r="I15" s="142"/>
      <c r="J15" s="142"/>
      <c r="K15" s="142"/>
    </row>
    <row r="16" spans="1:11" x14ac:dyDescent="0.25">
      <c r="A16" s="147" t="s">
        <v>30</v>
      </c>
      <c r="B16" s="146" t="s">
        <v>1922</v>
      </c>
      <c r="C16" s="147" t="s">
        <v>1921</v>
      </c>
      <c r="D16" s="142"/>
      <c r="E16" s="142"/>
      <c r="F16" s="142"/>
      <c r="G16" s="142"/>
      <c r="H16" s="142"/>
      <c r="I16" s="142"/>
      <c r="J16" s="142"/>
      <c r="K16" s="142"/>
    </row>
    <row r="17" spans="1:11" ht="30" x14ac:dyDescent="0.25">
      <c r="A17" s="147" t="s">
        <v>53</v>
      </c>
      <c r="B17" s="146" t="s">
        <v>1923</v>
      </c>
      <c r="C17" s="147" t="s">
        <v>1921</v>
      </c>
      <c r="D17" s="142"/>
      <c r="E17" s="142"/>
      <c r="F17" s="142"/>
      <c r="G17" s="142"/>
      <c r="H17" s="142"/>
      <c r="I17" s="142"/>
      <c r="J17" s="142"/>
      <c r="K17" s="142"/>
    </row>
    <row r="18" spans="1:11" x14ac:dyDescent="0.25">
      <c r="A18" s="142"/>
      <c r="B18" s="142"/>
      <c r="C18" s="142"/>
      <c r="D18" s="142"/>
      <c r="E18" s="142"/>
      <c r="F18" s="142"/>
      <c r="G18" s="142"/>
      <c r="H18" s="142"/>
      <c r="I18" s="142"/>
      <c r="J18" s="142"/>
      <c r="K18" s="142"/>
    </row>
    <row r="19" spans="1:11" s="182" customFormat="1" x14ac:dyDescent="0.25">
      <c r="A19" s="180" t="s">
        <v>1924</v>
      </c>
      <c r="B19" s="181"/>
      <c r="C19" s="181"/>
      <c r="D19" s="181"/>
      <c r="E19" s="181"/>
      <c r="F19" s="181"/>
      <c r="G19" s="181"/>
      <c r="H19" s="181"/>
      <c r="I19" s="181"/>
      <c r="J19" s="181"/>
      <c r="K19" s="181"/>
    </row>
    <row r="20" spans="1:11" x14ac:dyDescent="0.25">
      <c r="A20" s="142"/>
      <c r="B20" s="142"/>
      <c r="C20" s="142"/>
      <c r="D20" s="142"/>
      <c r="E20" s="142"/>
      <c r="F20" s="142"/>
      <c r="G20" s="142"/>
      <c r="H20" s="142"/>
      <c r="I20" s="142"/>
      <c r="J20" s="142"/>
      <c r="K20" s="142"/>
    </row>
    <row r="21" spans="1:11" x14ac:dyDescent="0.25">
      <c r="A21" s="140" t="s">
        <v>1925</v>
      </c>
      <c r="B21" s="144" t="s">
        <v>146</v>
      </c>
      <c r="C21" s="144" t="s">
        <v>1910</v>
      </c>
      <c r="D21" s="142"/>
      <c r="E21" s="142"/>
      <c r="F21" s="142"/>
      <c r="G21" s="142"/>
      <c r="H21" s="142"/>
      <c r="I21" s="142"/>
      <c r="J21" s="142"/>
      <c r="K21" s="142"/>
    </row>
    <row r="22" spans="1:11" ht="23.45" customHeight="1" x14ac:dyDescent="0.25">
      <c r="A22" s="147" t="s">
        <v>405</v>
      </c>
      <c r="B22" s="146" t="s">
        <v>1926</v>
      </c>
      <c r="C22" s="147" t="s">
        <v>1921</v>
      </c>
      <c r="D22" s="142"/>
      <c r="E22" s="142"/>
      <c r="F22" s="142"/>
      <c r="G22" s="142"/>
      <c r="H22" s="142"/>
      <c r="I22" s="142"/>
      <c r="J22" s="142"/>
      <c r="K22" s="142"/>
    </row>
    <row r="23" spans="1:11" ht="33.6" customHeight="1" x14ac:dyDescent="0.25">
      <c r="A23" s="147" t="s">
        <v>463</v>
      </c>
      <c r="B23" s="146" t="s">
        <v>1927</v>
      </c>
      <c r="C23" s="147" t="s">
        <v>1921</v>
      </c>
      <c r="D23" s="142"/>
      <c r="E23" s="142"/>
      <c r="F23" s="142"/>
      <c r="G23" s="142"/>
      <c r="H23" s="142"/>
      <c r="I23" s="142"/>
      <c r="J23" s="142"/>
      <c r="K23" s="142"/>
    </row>
    <row r="24" spans="1:11" ht="30" x14ac:dyDescent="0.25">
      <c r="A24" s="147" t="s">
        <v>398</v>
      </c>
      <c r="B24" s="146" t="s">
        <v>1928</v>
      </c>
      <c r="C24" s="147" t="s">
        <v>1921</v>
      </c>
      <c r="D24" s="142"/>
      <c r="E24" s="142"/>
      <c r="F24" s="142"/>
      <c r="G24" s="142"/>
      <c r="H24" s="142"/>
      <c r="I24" s="142"/>
      <c r="J24" s="142"/>
      <c r="K24" s="142"/>
    </row>
    <row r="25" spans="1:11" ht="30" x14ac:dyDescent="0.25">
      <c r="A25" s="147" t="s">
        <v>411</v>
      </c>
      <c r="B25" s="146" t="s">
        <v>1929</v>
      </c>
      <c r="C25" s="147" t="s">
        <v>1921</v>
      </c>
      <c r="D25" s="142"/>
      <c r="E25" s="142"/>
      <c r="F25" s="142"/>
      <c r="G25" s="142"/>
      <c r="H25" s="142"/>
      <c r="I25" s="142"/>
      <c r="J25" s="142"/>
      <c r="K25" s="142"/>
    </row>
    <row r="26" spans="1:11" ht="30" x14ac:dyDescent="0.25">
      <c r="A26" s="147" t="s">
        <v>417</v>
      </c>
      <c r="B26" s="146" t="s">
        <v>1930</v>
      </c>
      <c r="C26" s="147" t="s">
        <v>1921</v>
      </c>
      <c r="D26" s="142"/>
      <c r="E26" s="142"/>
      <c r="F26" s="142"/>
      <c r="G26" s="142"/>
      <c r="H26" s="142"/>
      <c r="I26" s="142"/>
      <c r="J26" s="142"/>
      <c r="K26" s="142"/>
    </row>
    <row r="27" spans="1:11" x14ac:dyDescent="0.25">
      <c r="A27" s="142"/>
      <c r="B27" s="142"/>
      <c r="C27" s="142"/>
      <c r="D27" s="142"/>
      <c r="E27" s="142"/>
      <c r="F27" s="142"/>
      <c r="G27" s="142"/>
      <c r="H27" s="142"/>
      <c r="I27" s="142"/>
      <c r="J27" s="142"/>
      <c r="K27" s="142"/>
    </row>
    <row r="28" spans="1:11" s="182" customFormat="1" x14ac:dyDescent="0.25">
      <c r="A28" s="180" t="s">
        <v>1931</v>
      </c>
      <c r="B28" s="181"/>
      <c r="C28" s="181"/>
      <c r="D28" s="181"/>
      <c r="E28" s="181"/>
      <c r="F28" s="181"/>
      <c r="G28" s="181"/>
      <c r="H28" s="181"/>
      <c r="I28" s="181"/>
      <c r="J28" s="181"/>
      <c r="K28" s="181"/>
    </row>
    <row r="29" spans="1:11" x14ac:dyDescent="0.25">
      <c r="A29" s="142"/>
      <c r="B29" s="142"/>
      <c r="C29" s="142"/>
      <c r="D29" s="142"/>
      <c r="E29" s="142"/>
      <c r="F29" s="142"/>
      <c r="G29" s="142"/>
      <c r="H29" s="142"/>
      <c r="I29" s="142"/>
      <c r="J29" s="142"/>
      <c r="K29" s="142"/>
    </row>
    <row r="30" spans="1:11" x14ac:dyDescent="0.25">
      <c r="A30" s="140" t="s">
        <v>1932</v>
      </c>
      <c r="B30" s="144" t="s">
        <v>146</v>
      </c>
      <c r="C30" s="144" t="s">
        <v>1910</v>
      </c>
      <c r="D30" s="142"/>
      <c r="E30" s="142"/>
      <c r="F30" s="142"/>
      <c r="G30" s="142"/>
      <c r="H30" s="142"/>
      <c r="I30" s="142"/>
      <c r="J30" s="142"/>
      <c r="K30" s="142"/>
    </row>
    <row r="31" spans="1:11" x14ac:dyDescent="0.25">
      <c r="A31" s="147" t="s">
        <v>403</v>
      </c>
      <c r="B31" s="146" t="s">
        <v>1933</v>
      </c>
      <c r="C31" s="147" t="s">
        <v>1921</v>
      </c>
      <c r="D31" s="142"/>
      <c r="E31" s="142"/>
      <c r="F31" s="142"/>
      <c r="G31" s="142"/>
      <c r="H31" s="142"/>
      <c r="I31" s="142"/>
      <c r="J31" s="142"/>
      <c r="K31" s="142"/>
    </row>
    <row r="32" spans="1:11" x14ac:dyDescent="0.25">
      <c r="A32" s="147" t="s">
        <v>395</v>
      </c>
      <c r="B32" s="146" t="s">
        <v>1934</v>
      </c>
      <c r="C32" s="147" t="s">
        <v>1921</v>
      </c>
      <c r="D32" s="142"/>
      <c r="E32" s="142"/>
      <c r="F32" s="142"/>
      <c r="G32" s="142"/>
      <c r="H32" s="142"/>
      <c r="I32" s="142"/>
      <c r="J32" s="142"/>
      <c r="K32" s="142"/>
    </row>
    <row r="33" spans="1:11" x14ac:dyDescent="0.25">
      <c r="A33" s="147" t="s">
        <v>461</v>
      </c>
      <c r="B33" s="146" t="s">
        <v>1935</v>
      </c>
      <c r="C33" s="147" t="s">
        <v>1921</v>
      </c>
      <c r="D33" s="142"/>
      <c r="E33" s="142"/>
      <c r="F33" s="142"/>
      <c r="G33" s="142"/>
      <c r="H33" s="142"/>
      <c r="I33" s="142"/>
      <c r="J33" s="142"/>
      <c r="K33" s="142"/>
    </row>
    <row r="34" spans="1:11" x14ac:dyDescent="0.25">
      <c r="A34" s="142"/>
      <c r="B34" s="142"/>
      <c r="C34" s="142"/>
      <c r="D34" s="142"/>
      <c r="E34" s="142"/>
      <c r="F34" s="142"/>
      <c r="G34" s="142"/>
      <c r="H34" s="142"/>
      <c r="I34" s="142"/>
      <c r="J34" s="142"/>
      <c r="K34" s="142"/>
    </row>
    <row r="35" spans="1:11" x14ac:dyDescent="0.25">
      <c r="A35" s="142"/>
      <c r="B35" s="142"/>
      <c r="C35" s="142"/>
      <c r="D35" s="142"/>
      <c r="E35" s="142"/>
      <c r="F35" s="142"/>
      <c r="G35" s="142"/>
      <c r="H35" s="142"/>
      <c r="I35" s="142"/>
      <c r="J35" s="142"/>
      <c r="K35" s="142"/>
    </row>
    <row r="36" spans="1:11" x14ac:dyDescent="0.25">
      <c r="A36" s="142"/>
      <c r="B36" s="142"/>
      <c r="C36" s="142"/>
      <c r="D36" s="142"/>
      <c r="E36" s="142"/>
      <c r="F36" s="142"/>
      <c r="G36" s="142"/>
      <c r="H36" s="142"/>
      <c r="I36" s="142"/>
      <c r="J36" s="142"/>
      <c r="K36" s="142"/>
    </row>
    <row r="37" spans="1:11" x14ac:dyDescent="0.25">
      <c r="A37" s="142"/>
      <c r="B37" s="142"/>
      <c r="C37" s="142"/>
      <c r="D37" s="142"/>
      <c r="E37" s="142"/>
      <c r="F37" s="142"/>
      <c r="G37" s="142"/>
      <c r="H37" s="142"/>
      <c r="I37" s="142"/>
      <c r="J37" s="142"/>
      <c r="K37" s="142"/>
    </row>
    <row r="38" spans="1:11" x14ac:dyDescent="0.25">
      <c r="A38" s="142"/>
      <c r="B38" s="142"/>
      <c r="C38" s="142"/>
      <c r="D38" s="142"/>
      <c r="E38" s="142"/>
      <c r="F38" s="142"/>
      <c r="G38" s="142"/>
      <c r="H38" s="142"/>
      <c r="I38" s="142"/>
      <c r="J38" s="142"/>
      <c r="K38" s="142"/>
    </row>
    <row r="39" spans="1:11" x14ac:dyDescent="0.25">
      <c r="A39" s="142"/>
      <c r="B39" s="142"/>
      <c r="C39" s="142"/>
      <c r="D39" s="142"/>
      <c r="E39" s="142"/>
      <c r="F39" s="142"/>
      <c r="G39" s="142"/>
      <c r="H39" s="142"/>
      <c r="I39" s="142"/>
      <c r="J39" s="142"/>
      <c r="K39" s="142"/>
    </row>
    <row r="40" spans="1:11" x14ac:dyDescent="0.25">
      <c r="A40" s="142"/>
      <c r="B40" s="142"/>
      <c r="C40" s="142"/>
      <c r="D40" s="142"/>
      <c r="E40" s="142"/>
      <c r="F40" s="142"/>
      <c r="G40" s="142"/>
      <c r="H40" s="142"/>
      <c r="I40" s="142"/>
      <c r="J40" s="142"/>
      <c r="K40" s="142"/>
    </row>
    <row r="41" spans="1:11" x14ac:dyDescent="0.25">
      <c r="A41" s="142"/>
      <c r="B41" s="142"/>
      <c r="C41" s="142"/>
      <c r="D41" s="142"/>
      <c r="E41" s="142"/>
      <c r="F41" s="142"/>
      <c r="G41" s="142"/>
      <c r="H41" s="142"/>
      <c r="I41" s="142"/>
      <c r="J41" s="142"/>
      <c r="K41" s="142"/>
    </row>
    <row r="42" spans="1:11" x14ac:dyDescent="0.25">
      <c r="A42" s="142"/>
      <c r="B42" s="142"/>
      <c r="C42" s="142"/>
      <c r="D42" s="142"/>
      <c r="E42" s="142"/>
      <c r="F42" s="142"/>
      <c r="G42" s="142"/>
      <c r="H42" s="142"/>
      <c r="I42" s="142"/>
      <c r="J42" s="142"/>
      <c r="K42" s="142"/>
    </row>
    <row r="43" spans="1:11" x14ac:dyDescent="0.25">
      <c r="A43" s="142"/>
      <c r="B43" s="142"/>
      <c r="C43" s="142"/>
      <c r="D43" s="142"/>
      <c r="E43" s="142"/>
      <c r="F43" s="142"/>
      <c r="G43" s="142"/>
      <c r="H43" s="142"/>
      <c r="I43" s="142"/>
      <c r="J43" s="142"/>
      <c r="K43" s="142"/>
    </row>
    <row r="44" spans="1:11" x14ac:dyDescent="0.25">
      <c r="A44" s="142"/>
      <c r="B44" s="142"/>
      <c r="C44" s="142"/>
      <c r="D44" s="142"/>
      <c r="E44" s="142"/>
      <c r="F44" s="142"/>
      <c r="G44" s="142"/>
      <c r="H44" s="142"/>
      <c r="I44" s="142"/>
      <c r="J44" s="142"/>
      <c r="K44" s="142"/>
    </row>
    <row r="45" spans="1:11" x14ac:dyDescent="0.25">
      <c r="A45" s="142"/>
      <c r="B45" s="142"/>
      <c r="C45" s="142"/>
      <c r="D45" s="142"/>
      <c r="E45" s="142"/>
      <c r="F45" s="142"/>
      <c r="G45" s="142"/>
      <c r="H45" s="142"/>
      <c r="I45" s="142"/>
      <c r="J45" s="142"/>
      <c r="K45" s="142"/>
    </row>
    <row r="46" spans="1:11" x14ac:dyDescent="0.25">
      <c r="A46" s="142"/>
      <c r="B46" s="142"/>
      <c r="C46" s="142"/>
      <c r="D46" s="142"/>
      <c r="E46" s="142"/>
      <c r="F46" s="142"/>
      <c r="G46" s="142"/>
      <c r="H46" s="142"/>
      <c r="I46" s="142"/>
      <c r="J46" s="142"/>
      <c r="K46" s="142"/>
    </row>
    <row r="47" spans="1:11" x14ac:dyDescent="0.25">
      <c r="A47" s="142"/>
      <c r="B47" s="142"/>
      <c r="C47" s="142"/>
      <c r="D47" s="142"/>
      <c r="E47" s="142"/>
      <c r="F47" s="142"/>
      <c r="G47" s="142"/>
      <c r="H47" s="142"/>
      <c r="I47" s="142"/>
      <c r="J47" s="142"/>
      <c r="K47" s="142"/>
    </row>
    <row r="48" spans="1:11" x14ac:dyDescent="0.25">
      <c r="A48" s="142"/>
      <c r="B48" s="142"/>
      <c r="C48" s="142"/>
      <c r="D48" s="142"/>
      <c r="E48" s="142"/>
      <c r="F48" s="142"/>
      <c r="G48" s="142"/>
      <c r="H48" s="142"/>
      <c r="I48" s="142"/>
      <c r="J48" s="142"/>
      <c r="K48" s="142"/>
    </row>
  </sheetData>
  <mergeCells count="1">
    <mergeCell ref="A1:C1"/>
  </mergeCells>
  <phoneticPr fontId="16" type="noConversion"/>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mso-contentType ?>
<SharedContentType xmlns="Microsoft.SharePoint.Taxonomy.ContentTypeSync" SourceId="d1117845-93f6-4da3-abaa-fcb4fa669c78" ContentTypeId="0x010100A5BF1C78D9F64B679A5EBDE1C6598EBC01" PreviousValue="false"/>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efra document" ma:contentTypeID="0x010100A5BF1C78D9F64B679A5EBDE1C6598EBC0100BA621F86D6B7CE438D54700DA2D0B09A" ma:contentTypeVersion="25" ma:contentTypeDescription="Create a new document." ma:contentTypeScope="" ma:versionID="e7f21841166f23b194166eb53ccbf87e">
  <xsd:schema xmlns:xsd="http://www.w3.org/2001/XMLSchema" xmlns:xs="http://www.w3.org/2001/XMLSchema" xmlns:p="http://schemas.microsoft.com/office/2006/metadata/properties" xmlns:ns1="http://schemas.microsoft.com/sharepoint/v3" xmlns:ns2="662745e8-e224-48e8-a2e3-254862b8c2f5" xmlns:ns3="b7969ffa-e39d-471d-bbf2-6dac38a71bcf" xmlns:ns4="3964904f-5f85-4184-bdfc-bbe062de5a69" targetNamespace="http://schemas.microsoft.com/office/2006/metadata/properties" ma:root="true" ma:fieldsID="81f9113c5d25165f5696c05791bae39a" ns1:_="" ns2:_="" ns3:_="" ns4:_="">
    <xsd:import namespace="http://schemas.microsoft.com/sharepoint/v3"/>
    <xsd:import namespace="662745e8-e224-48e8-a2e3-254862b8c2f5"/>
    <xsd:import namespace="b7969ffa-e39d-471d-bbf2-6dac38a71bcf"/>
    <xsd:import namespace="3964904f-5f85-4184-bdfc-bbe062de5a69"/>
    <xsd:element name="properties">
      <xsd:complexType>
        <xsd:sequence>
          <xsd:element name="documentManagement">
            <xsd:complexType>
              <xsd:all>
                <xsd:element ref="ns2:lae2bfa7b6474897ab4a53f76ea236c7" minOccurs="0"/>
                <xsd:element ref="ns2:TaxCatchAll" minOccurs="0"/>
                <xsd:element ref="ns2:TaxCatchAllLabel" minOccurs="0"/>
                <xsd:element ref="ns2:cf401361b24e474cb011be6eb76c0e76" minOccurs="0"/>
                <xsd:element ref="ns2:n7493b4506bf40e28c373b1e51a33445" minOccurs="0"/>
                <xsd:element ref="ns2:HOMigrated" minOccurs="0"/>
                <xsd:element ref="ns2:k85d23755b3a46b5a51451cf336b2e9b" minOccurs="0"/>
                <xsd:element ref="ns2:Team" minOccurs="0"/>
                <xsd:element ref="ns2:Topic" minOccurs="0"/>
                <xsd:element ref="ns2:ddeb1fd0a9ad4436a96525d34737dc44" minOccurs="0"/>
                <xsd:element ref="ns2:fe59e9859d6a491389c5b03567f5dda5" minOccurs="0"/>
                <xsd:element ref="ns3:MediaServiceMetadata" minOccurs="0"/>
                <xsd:element ref="ns3:MediaServiceFastMetadata" minOccurs="0"/>
                <xsd:element ref="ns3:MediaServiceAutoKeyPoints" minOccurs="0"/>
                <xsd:element ref="ns3:MediaServiceKeyPoints" minOccurs="0"/>
                <xsd:element ref="ns3:MediaServiceDateTaken" minOccurs="0"/>
                <xsd:element ref="ns3:MediaServiceAutoTags" minOccurs="0"/>
                <xsd:element ref="ns3:MediaServiceOCR" minOccurs="0"/>
                <xsd:element ref="ns3:MediaServiceGenerationTime" minOccurs="0"/>
                <xsd:element ref="ns3:MediaServiceEventHashCode" minOccurs="0"/>
                <xsd:element ref="ns3:MediaLengthInSeconds" minOccurs="0"/>
                <xsd:element ref="ns3:MediaServiceLocation" minOccurs="0"/>
                <xsd:element ref="ns1:_ip_UnifiedCompliancePolicyProperties" minOccurs="0"/>
                <xsd:element ref="ns1:_ip_UnifiedCompliancePolicyUIAction" minOccurs="0"/>
                <xsd:element ref="ns3:lcf76f155ced4ddcb4097134ff3c332f" minOccurs="0"/>
                <xsd:element ref="ns4:SharedWithUsers" minOccurs="0"/>
                <xsd:element ref="ns4:SharedWithDetails" minOccurs="0"/>
                <xsd:element ref="ns3:MediaServiceObjectDetectorVersions" minOccurs="0"/>
                <xsd:element ref="ns3: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36" nillable="true" ma:displayName="Unified Compliance Policy Properties" ma:hidden="true" ma:internalName="_ip_UnifiedCompliancePolicyProperties">
      <xsd:simpleType>
        <xsd:restriction base="dms:Note"/>
      </xsd:simpleType>
    </xsd:element>
    <xsd:element name="_ip_UnifiedCompliancePolicyUIAction" ma:index="37" nillable="true" ma:displayName="Unified Compliance Policy UI Action" ma:hidden="true" ma:internalName="_ip_UnifiedCompliancePolicyUIAction">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662745e8-e224-48e8-a2e3-254862b8c2f5" elementFormDefault="qualified">
    <xsd:import namespace="http://schemas.microsoft.com/office/2006/documentManagement/types"/>
    <xsd:import namespace="http://schemas.microsoft.com/office/infopath/2007/PartnerControls"/>
    <xsd:element name="lae2bfa7b6474897ab4a53f76ea236c7" ma:index="8" ma:taxonomy="true" ma:internalName="lae2bfa7b6474897ab4a53f76ea236c7" ma:taxonomyFieldName="HOGovernmentSecurityClassification" ma:displayName="Government Security Classification" ma:readOnly="false" ma:default="6;#Official|14c80daa-741b-422c-9722-f71693c9ede4" ma:fieldId="{5ae2bfa7-b647-4897-ab4a-53f76ea236c7}" ma:sspId="d1117845-93f6-4da3-abaa-fcb4fa669c78" ma:termSetId="56209604-fc17-4ace-9b7b-f45f0f17d50b" ma:anchorId="00000000-0000-0000-0000-000000000000" ma:open="false" ma:isKeyword="false">
      <xsd:complexType>
        <xsd:sequence>
          <xsd:element ref="pc:Terms" minOccurs="0" maxOccurs="1"/>
        </xsd:sequence>
      </xsd:complexType>
    </xsd:element>
    <xsd:element name="TaxCatchAll" ma:index="9" nillable="true" ma:displayName="Taxonomy Catch All Column" ma:hidden="true" ma:list="{ceb2d035-1d12-4971-b66d-8c082d82be43}" ma:internalName="TaxCatchAll" ma:showField="CatchAllData" ma:web="3964904f-5f85-4184-bdfc-bbe062de5a69">
      <xsd:complexType>
        <xsd:complexContent>
          <xsd:extension base="dms:MultiChoiceLookup">
            <xsd:sequence>
              <xsd:element name="Value" type="dms:Lookup" maxOccurs="unbounded" minOccurs="0" nillable="true"/>
            </xsd:sequence>
          </xsd:extension>
        </xsd:complexContent>
      </xsd:complexType>
    </xsd:element>
    <xsd:element name="TaxCatchAllLabel" ma:index="10" nillable="true" ma:displayName="Taxonomy Catch All Column1" ma:hidden="true" ma:list="{ceb2d035-1d12-4971-b66d-8c082d82be43}" ma:internalName="TaxCatchAllLabel" ma:readOnly="true" ma:showField="CatchAllDataLabel" ma:web="3964904f-5f85-4184-bdfc-bbe062de5a69">
      <xsd:complexType>
        <xsd:complexContent>
          <xsd:extension base="dms:MultiChoiceLookup">
            <xsd:sequence>
              <xsd:element name="Value" type="dms:Lookup" maxOccurs="unbounded" minOccurs="0" nillable="true"/>
            </xsd:sequence>
          </xsd:extension>
        </xsd:complexContent>
      </xsd:complexType>
    </xsd:element>
    <xsd:element name="cf401361b24e474cb011be6eb76c0e76" ma:index="12" ma:taxonomy="true" ma:internalName="cf401361b24e474cb011be6eb76c0e76" ma:taxonomyFieldName="HOCopyrightLevel" ma:displayName="Copyright level" ma:readOnly="false" ma:default="7;#Crown|69589897-2828-4761-976e-717fd8e631c9" ma:fieldId="{cf401361-b24e-474c-b011-be6eb76c0e76}" ma:sspId="d1117845-93f6-4da3-abaa-fcb4fa669c78" ma:termSetId="bdd694c6-7266-48f2-93d6-d15992cd203e" ma:anchorId="00000000-0000-0000-0000-000000000000" ma:open="false" ma:isKeyword="false">
      <xsd:complexType>
        <xsd:sequence>
          <xsd:element ref="pc:Terms" minOccurs="0" maxOccurs="1"/>
        </xsd:sequence>
      </xsd:complexType>
    </xsd:element>
    <xsd:element name="n7493b4506bf40e28c373b1e51a33445" ma:index="14" nillable="true" ma:taxonomy="true" ma:internalName="n7493b4506bf40e28c373b1e51a33445" ma:taxonomyFieldName="HOSiteType" ma:displayName="Site type" ma:default="10;#Team|ff0485df-0575-416f-802f-e999165821b7" ma:fieldId="{77493b45-06bf-40e2-8c37-3b1e51a33445}" ma:sspId="d1117845-93f6-4da3-abaa-fcb4fa669c78" ma:termSetId="4518b03a-1a05-49af-8bf2-e5548589f21b" ma:anchorId="00000000-0000-0000-0000-000000000000" ma:open="false" ma:isKeyword="false">
      <xsd:complexType>
        <xsd:sequence>
          <xsd:element ref="pc:Terms" minOccurs="0" maxOccurs="1"/>
        </xsd:sequence>
      </xsd:complexType>
    </xsd:element>
    <xsd:element name="HOMigrated" ma:index="16" nillable="true" ma:displayName="Migrated" ma:default="0" ma:internalName="HOMigrated">
      <xsd:simpleType>
        <xsd:restriction base="dms:Boolean"/>
      </xsd:simpleType>
    </xsd:element>
    <xsd:element name="k85d23755b3a46b5a51451cf336b2e9b" ma:index="17" nillable="true" ma:taxonomy="true" ma:internalName="k85d23755b3a46b5a51451cf336b2e9b" ma:taxonomyFieldName="InformationType" ma:displayName="Information Type" ma:fieldId="{485d2375-5b3a-46b5-a514-51cf336b2e9b}" ma:sspId="d1117845-93f6-4da3-abaa-fcb4fa669c78" ma:termSetId="75cb3767-2327-4339-b999-281b3f58ac0a" ma:anchorId="00000000-0000-0000-0000-000000000000" ma:open="false" ma:isKeyword="false">
      <xsd:complexType>
        <xsd:sequence>
          <xsd:element ref="pc:Terms" minOccurs="0" maxOccurs="1"/>
        </xsd:sequence>
      </xsd:complexType>
    </xsd:element>
    <xsd:element name="Team" ma:index="19" nillable="true" ma:displayName="Team" ma:default="Climate Change Committee" ma:internalName="Team">
      <xsd:simpleType>
        <xsd:restriction base="dms:Text"/>
      </xsd:simpleType>
    </xsd:element>
    <xsd:element name="Topic" ma:index="20" nillable="true" ma:displayName="Topic" ma:default="Adaptation" ma:internalName="Topic">
      <xsd:simpleType>
        <xsd:restriction base="dms:Text"/>
      </xsd:simpleType>
    </xsd:element>
    <xsd:element name="ddeb1fd0a9ad4436a96525d34737dc44" ma:index="21" nillable="true" ma:taxonomy="true" ma:internalName="ddeb1fd0a9ad4436a96525d34737dc44" ma:taxonomyFieldName="Distribution" ma:displayName="Distribution" ma:default="9;#Internal Defra Group|0867f7b3-e76e-40ca-bb1f-5ba341a49230" ma:fieldId="{ddeb1fd0-a9ad-4436-a965-25d34737dc44}" ma:sspId="d1117845-93f6-4da3-abaa-fcb4fa669c78" ma:termSetId="9c8b5dbf-8bad-46e4-8055-6e01c16178d6" ma:anchorId="00000000-0000-0000-0000-000000000000" ma:open="false" ma:isKeyword="false">
      <xsd:complexType>
        <xsd:sequence>
          <xsd:element ref="pc:Terms" minOccurs="0" maxOccurs="1"/>
        </xsd:sequence>
      </xsd:complexType>
    </xsd:element>
    <xsd:element name="fe59e9859d6a491389c5b03567f5dda5" ma:index="23" nillable="true" ma:taxonomy="true" ma:internalName="fe59e9859d6a491389c5b03567f5dda5" ma:taxonomyFieldName="OrganisationalUnit" ma:displayName="Organisational Unit" ma:default="8;#CCC|56fb4ae0-68c5-4508-b0e5-c5babc6316fa" ma:fieldId="{fe59e985-9d6a-4913-89c5-b03567f5dda5}" ma:sspId="d1117845-93f6-4da3-abaa-fcb4fa669c78" ma:termSetId="55eb802e-fbca-455b-a7d2-d5919d4ea3d2" ma:anchorId="00000000-0000-0000-0000-000000000000" ma:open="false" ma:isKeyword="false">
      <xsd:complexType>
        <xsd:sequence>
          <xsd:element ref="pc:Terms" minOccurs="0" maxOccurs="1"/>
        </xsd:sequence>
      </xsd:complexType>
    </xsd:element>
  </xsd:schema>
  <xsd:schema xmlns:xsd="http://www.w3.org/2001/XMLSchema" xmlns:xs="http://www.w3.org/2001/XMLSchema" xmlns:dms="http://schemas.microsoft.com/office/2006/documentManagement/types" xmlns:pc="http://schemas.microsoft.com/office/infopath/2007/PartnerControls" targetNamespace="b7969ffa-e39d-471d-bbf2-6dac38a71bcf" elementFormDefault="qualified">
    <xsd:import namespace="http://schemas.microsoft.com/office/2006/documentManagement/types"/>
    <xsd:import namespace="http://schemas.microsoft.com/office/infopath/2007/PartnerControls"/>
    <xsd:element name="MediaServiceMetadata" ma:index="25" nillable="true" ma:displayName="MediaServiceMetadata" ma:hidden="true" ma:internalName="MediaServiceMetadata" ma:readOnly="true">
      <xsd:simpleType>
        <xsd:restriction base="dms:Note"/>
      </xsd:simpleType>
    </xsd:element>
    <xsd:element name="MediaServiceFastMetadata" ma:index="26" nillable="true" ma:displayName="MediaServiceFastMetadata" ma:hidden="true" ma:internalName="MediaServiceFastMetadata" ma:readOnly="true">
      <xsd:simpleType>
        <xsd:restriction base="dms:Note"/>
      </xsd:simpleType>
    </xsd:element>
    <xsd:element name="MediaServiceAutoKeyPoints" ma:index="27" nillable="true" ma:displayName="MediaServiceAutoKeyPoints" ma:hidden="true" ma:internalName="MediaServiceAutoKeyPoints" ma:readOnly="true">
      <xsd:simpleType>
        <xsd:restriction base="dms:Note"/>
      </xsd:simpleType>
    </xsd:element>
    <xsd:element name="MediaServiceKeyPoints" ma:index="28" nillable="true" ma:displayName="KeyPoints" ma:internalName="MediaServiceKeyPoints" ma:readOnly="true">
      <xsd:simpleType>
        <xsd:restriction base="dms:Note">
          <xsd:maxLength value="255"/>
        </xsd:restriction>
      </xsd:simpleType>
    </xsd:element>
    <xsd:element name="MediaServiceDateTaken" ma:index="29" nillable="true" ma:displayName="MediaServiceDateTaken" ma:hidden="true" ma:internalName="MediaServiceDateTaken" ma:readOnly="true">
      <xsd:simpleType>
        <xsd:restriction base="dms:Text"/>
      </xsd:simpleType>
    </xsd:element>
    <xsd:element name="MediaServiceAutoTags" ma:index="30" nillable="true" ma:displayName="Tags" ma:internalName="MediaServiceAutoTags" ma:readOnly="true">
      <xsd:simpleType>
        <xsd:restriction base="dms:Text"/>
      </xsd:simpleType>
    </xsd:element>
    <xsd:element name="MediaServiceOCR" ma:index="31" nillable="true" ma:displayName="Extracted Text" ma:internalName="MediaServiceOCR" ma:readOnly="true">
      <xsd:simpleType>
        <xsd:restriction base="dms:Note">
          <xsd:maxLength value="255"/>
        </xsd:restriction>
      </xsd:simpleType>
    </xsd:element>
    <xsd:element name="MediaServiceGenerationTime" ma:index="32" nillable="true" ma:displayName="MediaServiceGenerationTime" ma:hidden="true" ma:internalName="MediaServiceGenerationTime" ma:readOnly="true">
      <xsd:simpleType>
        <xsd:restriction base="dms:Text"/>
      </xsd:simpleType>
    </xsd:element>
    <xsd:element name="MediaServiceEventHashCode" ma:index="33" nillable="true" ma:displayName="MediaServiceEventHashCode" ma:hidden="true" ma:internalName="MediaServiceEventHashCode" ma:readOnly="true">
      <xsd:simpleType>
        <xsd:restriction base="dms:Text"/>
      </xsd:simpleType>
    </xsd:element>
    <xsd:element name="MediaLengthInSeconds" ma:index="34" nillable="true" ma:displayName="MediaLengthInSeconds" ma:hidden="true" ma:internalName="MediaLengthInSeconds" ma:readOnly="true">
      <xsd:simpleType>
        <xsd:restriction base="dms:Unknown"/>
      </xsd:simpleType>
    </xsd:element>
    <xsd:element name="MediaServiceLocation" ma:index="35" nillable="true" ma:displayName="Location" ma:internalName="MediaServiceLocation" ma:readOnly="true">
      <xsd:simpleType>
        <xsd:restriction base="dms:Text"/>
      </xsd:simpleType>
    </xsd:element>
    <xsd:element name="lcf76f155ced4ddcb4097134ff3c332f" ma:index="39" nillable="true" ma:taxonomy="true" ma:internalName="lcf76f155ced4ddcb4097134ff3c332f" ma:taxonomyFieldName="MediaServiceImageTags" ma:displayName="Image Tags" ma:readOnly="false" ma:fieldId="{5cf76f15-5ced-4ddc-b409-7134ff3c332f}" ma:taxonomyMulti="true" ma:sspId="d1117845-93f6-4da3-abaa-fcb4fa669c78"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42" nillable="true" ma:displayName="MediaServiceObjectDetectorVersions" ma:hidden="true" ma:indexed="true" ma:internalName="MediaServiceObjectDetectorVersions" ma:readOnly="true">
      <xsd:simpleType>
        <xsd:restriction base="dms:Text"/>
      </xsd:simpleType>
    </xsd:element>
    <xsd:element name="MediaServiceSearchProperties" ma:index="43"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3964904f-5f85-4184-bdfc-bbe062de5a69" elementFormDefault="qualified">
    <xsd:import namespace="http://schemas.microsoft.com/office/2006/documentManagement/types"/>
    <xsd:import namespace="http://schemas.microsoft.com/office/infopath/2007/PartnerControls"/>
    <xsd:element name="SharedWithUsers" ma:index="40"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41"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4.xml><?xml version="1.0" encoding="utf-8"?>
<p:properties xmlns:p="http://schemas.microsoft.com/office/2006/metadata/properties" xmlns:xsi="http://www.w3.org/2001/XMLSchema-instance" xmlns:pc="http://schemas.microsoft.com/office/infopath/2007/PartnerControls">
  <documentManagement>
    <lcf76f155ced4ddcb4097134ff3c332f xmlns="b7969ffa-e39d-471d-bbf2-6dac38a71bcf">
      <Terms xmlns="http://schemas.microsoft.com/office/infopath/2007/PartnerControls"/>
    </lcf76f155ced4ddcb4097134ff3c332f>
    <TaxCatchAll xmlns="662745e8-e224-48e8-a2e3-254862b8c2f5">
      <Value>6</Value>
      <Value>10</Value>
      <Value>9</Value>
      <Value>8</Value>
      <Value>7</Value>
    </TaxCatchAll>
    <cf401361b24e474cb011be6eb76c0e76 xmlns="662745e8-e224-48e8-a2e3-254862b8c2f5">
      <Terms xmlns="http://schemas.microsoft.com/office/infopath/2007/PartnerControls">
        <TermInfo xmlns="http://schemas.microsoft.com/office/infopath/2007/PartnerControls">
          <TermName xmlns="http://schemas.microsoft.com/office/infopath/2007/PartnerControls">Crown</TermName>
          <TermId xmlns="http://schemas.microsoft.com/office/infopath/2007/PartnerControls">69589897-2828-4761-976e-717fd8e631c9</TermId>
        </TermInfo>
      </Terms>
    </cf401361b24e474cb011be6eb76c0e76>
    <_ip_UnifiedCompliancePolicyUIAction xmlns="http://schemas.microsoft.com/sharepoint/v3" xsi:nil="true"/>
    <k85d23755b3a46b5a51451cf336b2e9b xmlns="662745e8-e224-48e8-a2e3-254862b8c2f5">
      <Terms xmlns="http://schemas.microsoft.com/office/infopath/2007/PartnerControls"/>
    </k85d23755b3a46b5a51451cf336b2e9b>
    <Topic xmlns="662745e8-e224-48e8-a2e3-254862b8c2f5">Adaptation</Topic>
    <HOMigrated xmlns="662745e8-e224-48e8-a2e3-254862b8c2f5">false</HOMigrated>
    <ddeb1fd0a9ad4436a96525d34737dc44 xmlns="662745e8-e224-48e8-a2e3-254862b8c2f5">
      <Terms xmlns="http://schemas.microsoft.com/office/infopath/2007/PartnerControls">
        <TermInfo xmlns="http://schemas.microsoft.com/office/infopath/2007/PartnerControls">
          <TermName xmlns="http://schemas.microsoft.com/office/infopath/2007/PartnerControls">Internal Defra Group</TermName>
          <TermId xmlns="http://schemas.microsoft.com/office/infopath/2007/PartnerControls">0867f7b3-e76e-40ca-bb1f-5ba341a49230</TermId>
        </TermInfo>
      </Terms>
    </ddeb1fd0a9ad4436a96525d34737dc44>
    <_ip_UnifiedCompliancePolicyProperties xmlns="http://schemas.microsoft.com/sharepoint/v3" xsi:nil="true"/>
    <lae2bfa7b6474897ab4a53f76ea236c7 xmlns="662745e8-e224-48e8-a2e3-254862b8c2f5">
      <Terms xmlns="http://schemas.microsoft.com/office/infopath/2007/PartnerControls">
        <TermInfo xmlns="http://schemas.microsoft.com/office/infopath/2007/PartnerControls">
          <TermName xmlns="http://schemas.microsoft.com/office/infopath/2007/PartnerControls">Official</TermName>
          <TermId xmlns="http://schemas.microsoft.com/office/infopath/2007/PartnerControls">14c80daa-741b-422c-9722-f71693c9ede4</TermId>
        </TermInfo>
      </Terms>
    </lae2bfa7b6474897ab4a53f76ea236c7>
    <fe59e9859d6a491389c5b03567f5dda5 xmlns="662745e8-e224-48e8-a2e3-254862b8c2f5">
      <Terms xmlns="http://schemas.microsoft.com/office/infopath/2007/PartnerControls">
        <TermInfo xmlns="http://schemas.microsoft.com/office/infopath/2007/PartnerControls">
          <TermName xmlns="http://schemas.microsoft.com/office/infopath/2007/PartnerControls">CCC</TermName>
          <TermId xmlns="http://schemas.microsoft.com/office/infopath/2007/PartnerControls">56fb4ae0-68c5-4508-b0e5-c5babc6316fa</TermId>
        </TermInfo>
      </Terms>
    </fe59e9859d6a491389c5b03567f5dda5>
    <Team xmlns="662745e8-e224-48e8-a2e3-254862b8c2f5">Climate Change Committee</Team>
    <n7493b4506bf40e28c373b1e51a33445 xmlns="662745e8-e224-48e8-a2e3-254862b8c2f5">
      <Terms xmlns="http://schemas.microsoft.com/office/infopath/2007/PartnerControls">
        <TermInfo xmlns="http://schemas.microsoft.com/office/infopath/2007/PartnerControls">
          <TermName xmlns="http://schemas.microsoft.com/office/infopath/2007/PartnerControls">Team</TermName>
          <TermId xmlns="http://schemas.microsoft.com/office/infopath/2007/PartnerControls">ff0485df-0575-416f-802f-e999165821b7</TermId>
        </TermInfo>
      </Terms>
    </n7493b4506bf40e28c373b1e51a33445>
  </documentManagement>
</p:properties>
</file>

<file path=customXml/itemProps1.xml><?xml version="1.0" encoding="utf-8"?>
<ds:datastoreItem xmlns:ds="http://schemas.openxmlformats.org/officeDocument/2006/customXml" ds:itemID="{8CBF2BDC-3933-4874-B426-AA43D0D10340}">
  <ds:schemaRefs>
    <ds:schemaRef ds:uri="Microsoft.SharePoint.Taxonomy.ContentTypeSync"/>
  </ds:schemaRefs>
</ds:datastoreItem>
</file>

<file path=customXml/itemProps2.xml><?xml version="1.0" encoding="utf-8"?>
<ds:datastoreItem xmlns:ds="http://schemas.openxmlformats.org/officeDocument/2006/customXml" ds:itemID="{A2F51D69-A219-421E-AFF1-8AEADAA91F0D}">
  <ds:schemaRefs>
    <ds:schemaRef ds:uri="http://schemas.microsoft.com/sharepoint/v3/contenttype/forms"/>
  </ds:schemaRefs>
</ds:datastoreItem>
</file>

<file path=customXml/itemProps3.xml><?xml version="1.0" encoding="utf-8"?>
<ds:datastoreItem xmlns:ds="http://schemas.openxmlformats.org/officeDocument/2006/customXml" ds:itemID="{600B2EA5-744D-4567-81F1-986DB99E4DFA}">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http://schemas.microsoft.com/sharepoint/v3"/>
    <ds:schemaRef ds:uri="662745e8-e224-48e8-a2e3-254862b8c2f5"/>
    <ds:schemaRef ds:uri="b7969ffa-e39d-471d-bbf2-6dac38a71bcf"/>
    <ds:schemaRef ds:uri="3964904f-5f85-4184-bdfc-bbe062de5a69"/>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4.xml><?xml version="1.0" encoding="utf-8"?>
<ds:datastoreItem xmlns:ds="http://schemas.openxmlformats.org/officeDocument/2006/customXml" ds:itemID="{3D2DC106-DA25-4A9F-A75D-21C250435292}">
  <ds:schemaRefs>
    <ds:schemaRef ds:uri="http://schemas.microsoft.com/office/2006/documentManagement/types"/>
    <ds:schemaRef ds:uri="http://schemas.microsoft.com/office/infopath/2007/PartnerControls"/>
    <ds:schemaRef ds:uri="http://www.w3.org/XML/1998/namespace"/>
    <ds:schemaRef ds:uri="http://purl.org/dc/dcmitype/"/>
    <ds:schemaRef ds:uri="http://purl.org/dc/elements/1.1/"/>
    <ds:schemaRef ds:uri="http://schemas.openxmlformats.org/package/2006/metadata/core-properties"/>
    <ds:schemaRef ds:uri="http://purl.org/dc/terms/"/>
    <ds:schemaRef ds:uri="3964904f-5f85-4184-bdfc-bbe062de5a69"/>
    <ds:schemaRef ds:uri="662745e8-e224-48e8-a2e3-254862b8c2f5"/>
    <ds:schemaRef ds:uri="b7969ffa-e39d-471d-bbf2-6dac38a71bcf"/>
    <ds:schemaRef ds:uri="http://schemas.microsoft.com/sharepoint/v3"/>
    <ds:schemaRef ds:uri="http://schemas.microsoft.com/office/2006/metadata/properties"/>
  </ds:schemaRefs>
</ds:datastoreItem>
</file>

<file path=docProps/app.xml><?xml version="1.0" encoding="utf-8"?>
<Properties xmlns="http://schemas.openxmlformats.org/officeDocument/2006/extended-properties" xmlns:vt="http://schemas.openxmlformats.org/officeDocument/2006/docPropsVTypes">
  <DocSecurity>0</DocSecurity>
  <ScaleCrop>false</ScaleCrop>
  <HeadingPairs>
    <vt:vector size="4" baseType="variant">
      <vt:variant>
        <vt:lpstr>Worksheets</vt:lpstr>
      </vt:variant>
      <vt:variant>
        <vt:i4>10</vt:i4>
      </vt:variant>
      <vt:variant>
        <vt:lpstr>Named Ranges</vt:lpstr>
      </vt:variant>
      <vt:variant>
        <vt:i4>4</vt:i4>
      </vt:variant>
    </vt:vector>
  </HeadingPairs>
  <TitlesOfParts>
    <vt:vector size="14" baseType="lpstr">
      <vt:lpstr>Contents</vt:lpstr>
      <vt:lpstr>Full scores</vt:lpstr>
      <vt:lpstr>Contents Page</vt:lpstr>
      <vt:lpstr>CCRA3 Risks</vt:lpstr>
      <vt:lpstr>CCRA3 Actions for NAP3</vt:lpstr>
      <vt:lpstr>Graphs</vt:lpstr>
      <vt:lpstr>PR23 Recommendations</vt:lpstr>
      <vt:lpstr>No. actions per risk</vt:lpstr>
      <vt:lpstr>Glossary</vt:lpstr>
      <vt:lpstr>Key</vt:lpstr>
      <vt:lpstr>Confidence</vt:lpstr>
      <vt:lpstr>EvalScore</vt:lpstr>
      <vt:lpstr>RiskRelevant</vt:lpstr>
      <vt:lpstr>Typology</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Evaluation of NAP3 and CCRA3</dc:title>
  <dc:subject/>
  <cp:keywords/>
  <dc:description/>
  <cp:revision/>
  <dcterms:created xsi:type="dcterms:W3CDTF">2020-08-05T00:42:53Z</dcterms:created>
  <dcterms:modified xsi:type="dcterms:W3CDTF">2024-03-12T17:52:23Z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0x010100A5BF1C78D9F64B679A5EBDE1C6598EBC0100BA621F86D6B7CE438D54700DA2D0B09A</vt:lpwstr>
  </property>
  <property fmtid="{D5CDD505-2E9C-101B-9397-08002B2CF9AE}" pid="3" name="MediaServiceImageTags">
    <vt:lpwstr/>
  </property>
  <property fmtid="{D5CDD505-2E9C-101B-9397-08002B2CF9AE}" pid="4" name="InformationType">
    <vt:lpwstr/>
  </property>
  <property fmtid="{D5CDD505-2E9C-101B-9397-08002B2CF9AE}" pid="5" name="Distribution">
    <vt:lpwstr>9;#Internal Defra Group|0867f7b3-e76e-40ca-bb1f-5ba341a49230</vt:lpwstr>
  </property>
  <property fmtid="{D5CDD505-2E9C-101B-9397-08002B2CF9AE}" pid="6" name="HOCopyrightLevel">
    <vt:lpwstr>7;#Crown|69589897-2828-4761-976e-717fd8e631c9</vt:lpwstr>
  </property>
  <property fmtid="{D5CDD505-2E9C-101B-9397-08002B2CF9AE}" pid="7" name="HOGovernmentSecurityClassification">
    <vt:lpwstr>6;#Official|14c80daa-741b-422c-9722-f71693c9ede4</vt:lpwstr>
  </property>
  <property fmtid="{D5CDD505-2E9C-101B-9397-08002B2CF9AE}" pid="8" name="HOSiteType">
    <vt:lpwstr>10;#Team|ff0485df-0575-416f-802f-e999165821b7</vt:lpwstr>
  </property>
  <property fmtid="{D5CDD505-2E9C-101B-9397-08002B2CF9AE}" pid="9" name="OrganisationalUnit">
    <vt:lpwstr>8;#CCC|56fb4ae0-68c5-4508-b0e5-c5babc6316fa</vt:lpwstr>
  </property>
</Properties>
</file>